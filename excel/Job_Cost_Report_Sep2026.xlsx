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WIP Schedule" sheetId="2" state="visible" r:id="rId4"/>
    <sheet name="Job Detail" sheetId="3" state="visible" r:id="rId5"/>
    <sheet name="Monthly Cost" sheetId="4" state="visible" r:id="rId6"/>
    <sheet name="Cost Report" sheetId="5" state="visible" r:id="rId7"/>
    <sheet name="Data_Jobs" sheetId="6" state="visible" r:id="rId8"/>
    <sheet name="Data_CostCodes" sheetId="7" state="visible" r:id="rId9"/>
    <sheet name="Data_Budgets" sheetId="8" state="visible" r:id="rId10"/>
    <sheet name="Data_Progress" sheetId="9" state="visible" r:id="rId11"/>
    <sheet name="Data_Commitments" sheetId="10" state="visible" r:id="rId12"/>
    <sheet name="Data_JobCost" sheetId="11" state="visible" r:id="rId13"/>
    <sheet name="Data_Billings" sheetId="12" state="visible" r:id="rId14"/>
  </sheets>
  <definedNames>
    <definedName function="false" hidden="true" localSheetId="4" name="_xlnm._FilterDatabase" vbProcedure="false">'Cost Report'!$A$4:$R$180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7" authorId="0">
      <text>
        <r>
          <rPr>
            <sz val="10"/>
            <rFont val="Arial"/>
            <family val="2"/>
          </rPr>
          <t xml:space="preserve">Contract-weighted average bid margin.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6" authorId="0">
      <text>
        <r>
          <rPr>
            <sz val="10"/>
            <rFont val="Arial"/>
            <family val="2"/>
          </rPr>
          <t xml:space="preserve">Earned hours / actual hours on self-performed labour codes. Above 1.00 = ahead of budgeted productivity.</t>
        </r>
      </text>
    </comment>
  </commentList>
</comments>
</file>

<file path=xl/sharedStrings.xml><?xml version="1.0" encoding="utf-8"?>
<sst xmlns="http://schemas.openxmlformats.org/spreadsheetml/2006/main" count="22251" uniqueCount="2071">
  <si>
    <t xml:space="preserve">Job Cost &amp; WIP Report</t>
  </si>
  <si>
    <t xml:space="preserve">Boreal Ridge Construction Ltd. (fictional company)</t>
  </si>
  <si>
    <t xml:space="preserve">Period ending September 30, 2026</t>
  </si>
  <si>
    <t xml:space="preserve">SAMPLE DATA NOTICE</t>
  </si>
  <si>
    <t xml:space="preserve">Representative rebuild of ERP cost reporting delivered for construction clients. The company, jobs, vendors and all figures are synthetic; client data is confidential.</t>
  </si>
  <si>
    <t xml:space="preserve">Report date</t>
  </si>
  <si>
    <t xml:space="preserve">SHEETS</t>
  </si>
  <si>
    <t xml:space="preserve">WIP Schedule</t>
  </si>
  <si>
    <t xml:space="preserve">Portfolio view: contract, cost to date, forecast cost, % complete, earned revenue, over/(under) billing, projected margin and fade, CPI and backlog for every job.</t>
  </si>
  <si>
    <t xml:space="preserve">Job Detail</t>
  </si>
  <si>
    <t xml:space="preserve">Pick a job number in the yellow cell to see its cost-code report, forecast overruns and labour productivity.</t>
  </si>
  <si>
    <t xml:space="preserve">Cost Report</t>
  </si>
  <si>
    <t xml:space="preserve">Cost-code level calculation that feeds both reports (one row per job / cost code budget line).</t>
  </si>
  <si>
    <t xml:space="preserve">Monthly Cost</t>
  </si>
  <si>
    <t xml:space="preserve">Monthly and cumulative cost by job from the job cost ledger, with a portfolio cost curve.</t>
  </si>
  <si>
    <t xml:space="preserve">Data_* tabs</t>
  </si>
  <si>
    <t xml:space="preserve">Raw ERP exports: job master, cost codes, budgets, PM progress, commitments, job cost detail, billings. Paste a new month's export over these tables to refresh.</t>
  </si>
  <si>
    <t xml:space="preserve">METHOD</t>
  </si>
  <si>
    <t xml:space="preserve">Earned value</t>
  </si>
  <si>
    <t xml:space="preserve">Revised budget x PM-reported physical % complete for the cost code.</t>
  </si>
  <si>
    <t xml:space="preserve">CPI</t>
  </si>
  <si>
    <t xml:space="preserve">Earned value / actual cost. Below 1.00 means the work is costing more than budgeted.</t>
  </si>
  <si>
    <t xml:space="preserve">Forecast cost (EAC)</t>
  </si>
  <si>
    <t xml:space="preserve">Subcontract &amp; material lines with a commitment: the greater of committed value and cost to date. Other lines in progress: cost to date + remaining budget / CPI. Lines not started: revised budget.</t>
  </si>
  <si>
    <t xml:space="preserve">% complete (revenue)</t>
  </si>
  <si>
    <t xml:space="preserve">Cost-to-cost method: cost to date / forecast cost.</t>
  </si>
  <si>
    <t xml:space="preserve">Earned revenue</t>
  </si>
  <si>
    <t xml:space="preserve">Revised contract x % complete.</t>
  </si>
  <si>
    <t xml:space="preserve">Over/(under) billing</t>
  </si>
  <si>
    <t xml:space="preserve">Billed to date - earned revenue. Positive = billings in excess of revenue (liability); negative = revenue in excess of billings (asset).</t>
  </si>
  <si>
    <t xml:space="preserve">Margin fade</t>
  </si>
  <si>
    <t xml:space="preserve">Projected margin % - bid margin %. Negative = profit eroding since bid.</t>
  </si>
  <si>
    <t xml:space="preserve">COLOUR KEY</t>
  </si>
  <si>
    <t xml:space="preserve">Blue on yellow</t>
  </si>
  <si>
    <t xml:space="preserve">Input you can change (the job selector on Job Detail).</t>
  </si>
  <si>
    <t xml:space="preserve">Black</t>
  </si>
  <si>
    <t xml:space="preserve">Formula.</t>
  </si>
  <si>
    <t xml:space="preserve">Work-in-Progress Schedule</t>
  </si>
  <si>
    <t xml:space="preserve">Boreal Ridge Construction Ltd. (fictional) · Period ending September 30, 2026 · Percentage-of-completion, cost-to-cost method</t>
  </si>
  <si>
    <t xml:space="preserve">Job No</t>
  </si>
  <si>
    <t xml:space="preserve">Job Name</t>
  </si>
  <si>
    <t xml:space="preserve">PM</t>
  </si>
  <si>
    <t xml:space="preserve">Status</t>
  </si>
  <si>
    <t xml:space="preserve">Revised Contract</t>
  </si>
  <si>
    <t xml:space="preserve">Revised Budget</t>
  </si>
  <si>
    <t xml:space="preserve">Cost to Date</t>
  </si>
  <si>
    <t xml:space="preserve">Committed</t>
  </si>
  <si>
    <t xml:space="preserve">Forecast Cost (EAC)</t>
  </si>
  <si>
    <t xml:space="preserve">Cost to Complete</t>
  </si>
  <si>
    <t xml:space="preserve">% Complete</t>
  </si>
  <si>
    <t xml:space="preserve">Earned Revenue</t>
  </si>
  <si>
    <t xml:space="preserve">Billed to Date</t>
  </si>
  <si>
    <t xml:space="preserve">Over/(Under) Billing</t>
  </si>
  <si>
    <t xml:space="preserve">Projected Gross Profit</t>
  </si>
  <si>
    <t xml:space="preserve">Projected Margin</t>
  </si>
  <si>
    <t xml:space="preserve">Bid Margin</t>
  </si>
  <si>
    <t xml:space="preserve">Margin Fade</t>
  </si>
  <si>
    <t xml:space="preserve">Backlog</t>
  </si>
  <si>
    <t xml:space="preserve">23-098</t>
  </si>
  <si>
    <t xml:space="preserve">24-101</t>
  </si>
  <si>
    <t xml:space="preserve">24-104</t>
  </si>
  <si>
    <t xml:space="preserve">24-107</t>
  </si>
  <si>
    <t xml:space="preserve">25-110</t>
  </si>
  <si>
    <t xml:space="preserve">25-112</t>
  </si>
  <si>
    <t xml:space="preserve">25-115</t>
  </si>
  <si>
    <t xml:space="preserve">25-118</t>
  </si>
  <si>
    <t xml:space="preserve">25-121</t>
  </si>
  <si>
    <t xml:space="preserve">26-124</t>
  </si>
  <si>
    <t xml:space="preserve">26-127</t>
  </si>
  <si>
    <t xml:space="preserve">26-130</t>
  </si>
  <si>
    <t xml:space="preserve">Portfolio total</t>
  </si>
  <si>
    <t xml:space="preserve">Red: margin fade worse than -2.0 pts, or CPI below 0.97.  Over/(under) billing: positive = billings in excess of revenue (liability); negative = revenue in excess of billings (asset).</t>
  </si>
  <si>
    <t xml:space="preserve">Green text = pulled from the job master (Data_Jobs). All other figures are formulas on the Cost Report and Data_ tabs.</t>
  </si>
  <si>
    <t xml:space="preserve">Job Cost Detail</t>
  </si>
  <si>
    <t xml:space="preserve">Pick a job number from the yellow drop-down to refresh this page.</t>
  </si>
  <si>
    <t xml:space="preserve">Job:</t>
  </si>
  <si>
    <t xml:space="preserve">Project manager</t>
  </si>
  <si>
    <t xml:space="preserve">Revised contract</t>
  </si>
  <si>
    <t xml:space="preserve">Job CPI</t>
  </si>
  <si>
    <t xml:space="preserve">Client type</t>
  </si>
  <si>
    <t xml:space="preserve">Labour productivity</t>
  </si>
  <si>
    <t xml:space="preserve">Projected margin</t>
  </si>
  <si>
    <t xml:space="preserve">Forecast over budget</t>
  </si>
  <si>
    <t xml:space="preserve">Scheduled finish</t>
  </si>
  <si>
    <t xml:space="preserve">Bid margin</t>
  </si>
  <si>
    <t xml:space="preserve">Cost to complete</t>
  </si>
  <si>
    <t xml:space="preserve">Cost Code</t>
  </si>
  <si>
    <t xml:space="preserve">Description</t>
  </si>
  <si>
    <t xml:space="preserve">Cost Type</t>
  </si>
  <si>
    <t xml:space="preserve">Original Budget</t>
  </si>
  <si>
    <t xml:space="preserve">Budget Changes</t>
  </si>
  <si>
    <t xml:space="preserve">Actual Cost</t>
  </si>
  <si>
    <t xml:space="preserve">Earned Value</t>
  </si>
  <si>
    <t xml:space="preserve">Variance at Completion</t>
  </si>
  <si>
    <t xml:space="preserve">Budget Hours</t>
  </si>
  <si>
    <t xml:space="preserve">Actual Hours</t>
  </si>
  <si>
    <t xml:space="preserve">Earned Hours</t>
  </si>
  <si>
    <t xml:space="preserve">01-100</t>
  </si>
  <si>
    <t xml:space="preserve">01-200</t>
  </si>
  <si>
    <t xml:space="preserve">01-500</t>
  </si>
  <si>
    <t xml:space="preserve">02-200</t>
  </si>
  <si>
    <t xml:space="preserve">03-100</t>
  </si>
  <si>
    <t xml:space="preserve">03-200</t>
  </si>
  <si>
    <t xml:space="preserve">03-300</t>
  </si>
  <si>
    <t xml:space="preserve">04-200</t>
  </si>
  <si>
    <t xml:space="preserve">05-100</t>
  </si>
  <si>
    <t xml:space="preserve">06-100</t>
  </si>
  <si>
    <t xml:space="preserve">07-200</t>
  </si>
  <si>
    <t xml:space="preserve">08-100</t>
  </si>
  <si>
    <t xml:space="preserve">09-200</t>
  </si>
  <si>
    <t xml:space="preserve">15-000</t>
  </si>
  <si>
    <t xml:space="preserve">16-000</t>
  </si>
  <si>
    <t xml:space="preserve">Job total</t>
  </si>
  <si>
    <t xml:space="preserve">Cost codes not used on the selected job show as '-'. Red: forecast overrun above $25,000 or CPI below 0.95.</t>
  </si>
  <si>
    <t xml:space="preserve">Monthly Job Cost</t>
  </si>
  <si>
    <t xml:space="preserve">Posted cost by fiscal period from the job cost ledger (Data_JobCost).</t>
  </si>
  <si>
    <t xml:space="preserve">Period</t>
  </si>
  <si>
    <t xml:space="preserve">Portfolio</t>
  </si>
  <si>
    <t xml:space="preserve">Cumulative</t>
  </si>
  <si>
    <t xml:space="preserve">Total</t>
  </si>
  <si>
    <t xml:space="preserve">Cost Report — cost-code level (feeds WIP Schedule and Job Detail)</t>
  </si>
  <si>
    <t xml:space="preserve">One row per budget line in the ERP export. Every value is a formula on the Data_ tabs.</t>
  </si>
  <si>
    <t xml:space="preserve">job_no</t>
  </si>
  <si>
    <t xml:space="preserve">job_name</t>
  </si>
  <si>
    <t xml:space="preserve">job_type</t>
  </si>
  <si>
    <t xml:space="preserve">client_type</t>
  </si>
  <si>
    <t xml:space="preserve">project_manager</t>
  </si>
  <si>
    <t xml:space="preserve">original_contract</t>
  </si>
  <si>
    <t xml:space="preserve">approved_change_orders</t>
  </si>
  <si>
    <t xml:space="preserve">bid_margin_pct</t>
  </si>
  <si>
    <t xml:space="preserve">start_date</t>
  </si>
  <si>
    <t xml:space="preserve">scheduled_finish</t>
  </si>
  <si>
    <t xml:space="preserve">revised_contract</t>
  </si>
  <si>
    <t xml:space="preserve">status</t>
  </si>
  <si>
    <t xml:space="preserve">company</t>
  </si>
  <si>
    <t xml:space="preserve">Transit Bus Garage Upgrade</t>
  </si>
  <si>
    <t xml:space="preserve">Institutional</t>
  </si>
  <si>
    <t xml:space="preserve">Municipal</t>
  </si>
  <si>
    <t xml:space="preserve">R. Singh</t>
  </si>
  <si>
    <t xml:space="preserve">2024-06-03</t>
  </si>
  <si>
    <t xml:space="preserve">2026-08-28</t>
  </si>
  <si>
    <t xml:space="preserve">Substantially complete</t>
  </si>
  <si>
    <t xml:space="preserve">Boreal Ridge Construction Ltd. (fictional)</t>
  </si>
  <si>
    <t xml:space="preserve">Leduc Distribution Warehouse</t>
  </si>
  <si>
    <t xml:space="preserve">Industrial</t>
  </si>
  <si>
    <t xml:space="preserve">Private developer</t>
  </si>
  <si>
    <t xml:space="preserve">M. Okafor</t>
  </si>
  <si>
    <t xml:space="preserve">2025-03-03</t>
  </si>
  <si>
    <t xml:space="preserve">2026-12-18</t>
  </si>
  <si>
    <t xml:space="preserve">In progress</t>
  </si>
  <si>
    <t xml:space="preserve">School Modernization - Phase 2</t>
  </si>
  <si>
    <t xml:space="preserve">School board</t>
  </si>
  <si>
    <t xml:space="preserve">J. Tremblay</t>
  </si>
  <si>
    <t xml:space="preserve">2025-05-05</t>
  </si>
  <si>
    <t xml:space="preserve">2027-01-29</t>
  </si>
  <si>
    <t xml:space="preserve">Fabrication Shop Expansion</t>
  </si>
  <si>
    <t xml:space="preserve">Private industrial</t>
  </si>
  <si>
    <t xml:space="preserve">2025-06-02</t>
  </si>
  <si>
    <t xml:space="preserve">2026-10-30</t>
  </si>
  <si>
    <t xml:space="preserve">Medical Office Building</t>
  </si>
  <si>
    <t xml:space="preserve">Commercial</t>
  </si>
  <si>
    <t xml:space="preserve">S. Chen</t>
  </si>
  <si>
    <t xml:space="preserve">2025-08-04</t>
  </si>
  <si>
    <t xml:space="preserve">2027-05-28</t>
  </si>
  <si>
    <t xml:space="preserve">Fire Hall No. 4</t>
  </si>
  <si>
    <t xml:space="preserve">2025-09-08</t>
  </si>
  <si>
    <t xml:space="preserve">2026-11-27</t>
  </si>
  <si>
    <t xml:space="preserve">Recreation Centre Retrofit</t>
  </si>
  <si>
    <t xml:space="preserve">2025-10-06</t>
  </si>
  <si>
    <t xml:space="preserve">2027-03-26</t>
  </si>
  <si>
    <t xml:space="preserve">Cold Storage Facility</t>
  </si>
  <si>
    <t xml:space="preserve">2025-11-03</t>
  </si>
  <si>
    <t xml:space="preserve">2027-02-26</t>
  </si>
  <si>
    <t xml:space="preserve">Seniors Residence</t>
  </si>
  <si>
    <t xml:space="preserve">Residential</t>
  </si>
  <si>
    <t xml:space="preserve">Non-profit</t>
  </si>
  <si>
    <t xml:space="preserve">A. Dubois</t>
  </si>
  <si>
    <t xml:space="preserve">2026-01-12</t>
  </si>
  <si>
    <t xml:space="preserve">2027-08-27</t>
  </si>
  <si>
    <t xml:space="preserve">Process Building</t>
  </si>
  <si>
    <t xml:space="preserve">2026-03-02</t>
  </si>
  <si>
    <t xml:space="preserve">2027-06-25</t>
  </si>
  <si>
    <t xml:space="preserve">Retail Plaza</t>
  </si>
  <si>
    <t xml:space="preserve">2026-05-04</t>
  </si>
  <si>
    <t xml:space="preserve">2027-04-30</t>
  </si>
  <si>
    <t xml:space="preserve">Public Works Yard Building</t>
  </si>
  <si>
    <t xml:space="preserve">2026-07-06</t>
  </si>
  <si>
    <t xml:space="preserve">2027-07-30</t>
  </si>
  <si>
    <t xml:space="preserve">cost_code</t>
  </si>
  <si>
    <t xml:space="preserve">description</t>
  </si>
  <si>
    <t xml:space="preserve">division</t>
  </si>
  <si>
    <t xml:space="preserve">cost_type</t>
  </si>
  <si>
    <t xml:space="preserve">General Conditions - Supervision</t>
  </si>
  <si>
    <t xml:space="preserve">01</t>
  </si>
  <si>
    <t xml:space="preserve">Labour</t>
  </si>
  <si>
    <t xml:space="preserve">Site Facilities &amp; Temp Services</t>
  </si>
  <si>
    <t xml:space="preserve">Other</t>
  </si>
  <si>
    <t xml:space="preserve">Equipment Rental</t>
  </si>
  <si>
    <t xml:space="preserve">Equipment</t>
  </si>
  <si>
    <t xml:space="preserve">Earthwork &amp; Excavation</t>
  </si>
  <si>
    <t xml:space="preserve">02</t>
  </si>
  <si>
    <t xml:space="preserve">Subcontract</t>
  </si>
  <si>
    <t xml:space="preserve">Concrete Formwork</t>
  </si>
  <si>
    <t xml:space="preserve">03</t>
  </si>
  <si>
    <t xml:space="preserve">Reinforcing Steel</t>
  </si>
  <si>
    <t xml:space="preserve">Material</t>
  </si>
  <si>
    <t xml:space="preserve">Cast-in-Place Concrete</t>
  </si>
  <si>
    <t xml:space="preserve">Masonry</t>
  </si>
  <si>
    <t xml:space="preserve">04</t>
  </si>
  <si>
    <t xml:space="preserve">Structural Steel</t>
  </si>
  <si>
    <t xml:space="preserve">05</t>
  </si>
  <si>
    <t xml:space="preserve">Rough Carpentry</t>
  </si>
  <si>
    <t xml:space="preserve">06</t>
  </si>
  <si>
    <t xml:space="preserve">Roofing &amp; Insulation</t>
  </si>
  <si>
    <t xml:space="preserve">07</t>
  </si>
  <si>
    <t xml:space="preserve">Doors, Frames &amp; Hardware</t>
  </si>
  <si>
    <t xml:space="preserve">08</t>
  </si>
  <si>
    <t xml:space="preserve">Drywall &amp; Finishes</t>
  </si>
  <si>
    <t xml:space="preserve">09</t>
  </si>
  <si>
    <t xml:space="preserve">Mechanical</t>
  </si>
  <si>
    <t xml:space="preserve">15</t>
  </si>
  <si>
    <t xml:space="preserve">Electrical</t>
  </si>
  <si>
    <t xml:space="preserve">16</t>
  </si>
  <si>
    <t xml:space="preserve">original_budget</t>
  </si>
  <si>
    <t xml:space="preserve">approved_budget_changes</t>
  </si>
  <si>
    <t xml:space="preserve">revised_budget</t>
  </si>
  <si>
    <t xml:space="preserve">budget_hours</t>
  </si>
  <si>
    <t xml:space="preserve">pct_complete</t>
  </si>
  <si>
    <t xml:space="preserve">commitment_no</t>
  </si>
  <si>
    <t xml:space="preserve">commitment_type</t>
  </si>
  <si>
    <t xml:space="preserve">committed_amount</t>
  </si>
  <si>
    <t xml:space="preserve">SC-20001</t>
  </si>
  <si>
    <t xml:space="preserve">PO-20002</t>
  </si>
  <si>
    <t xml:space="preserve">PO-20003</t>
  </si>
  <si>
    <t xml:space="preserve">SC-20004</t>
  </si>
  <si>
    <t xml:space="preserve">SC-20005</t>
  </si>
  <si>
    <t xml:space="preserve">SC-20006</t>
  </si>
  <si>
    <t xml:space="preserve">PO-20007</t>
  </si>
  <si>
    <t xml:space="preserve">SC-20008</t>
  </si>
  <si>
    <t xml:space="preserve">SC-20009</t>
  </si>
  <si>
    <t xml:space="preserve">SC-20010</t>
  </si>
  <si>
    <t xml:space="preserve">SC-20011</t>
  </si>
  <si>
    <t xml:space="preserve">PO-20012</t>
  </si>
  <si>
    <t xml:space="preserve">PO-20013</t>
  </si>
  <si>
    <t xml:space="preserve">SC-20014</t>
  </si>
  <si>
    <t xml:space="preserve">SC-20015</t>
  </si>
  <si>
    <t xml:space="preserve">PO-20016</t>
  </si>
  <si>
    <t xml:space="preserve">SC-20017</t>
  </si>
  <si>
    <t xml:space="preserve">SC-20018</t>
  </si>
  <si>
    <t xml:space="preserve">SC-20019</t>
  </si>
  <si>
    <t xml:space="preserve">SC-20020</t>
  </si>
  <si>
    <t xml:space="preserve">PO-20021</t>
  </si>
  <si>
    <t xml:space="preserve">PO-20022</t>
  </si>
  <si>
    <t xml:space="preserve">SC-20023</t>
  </si>
  <si>
    <t xml:space="preserve">SC-20024</t>
  </si>
  <si>
    <t xml:space="preserve">SC-20025</t>
  </si>
  <si>
    <t xml:space="preserve">PO-20026</t>
  </si>
  <si>
    <t xml:space="preserve">SC-20027</t>
  </si>
  <si>
    <t xml:space="preserve">SC-20028</t>
  </si>
  <si>
    <t xml:space="preserve">SC-20029</t>
  </si>
  <si>
    <t xml:space="preserve">SC-20030</t>
  </si>
  <si>
    <t xml:space="preserve">PO-20031</t>
  </si>
  <si>
    <t xml:space="preserve">PO-20032</t>
  </si>
  <si>
    <t xml:space="preserve">SC-20033</t>
  </si>
  <si>
    <t xml:space="preserve">SC-20034</t>
  </si>
  <si>
    <t xml:space="preserve">PO-20035</t>
  </si>
  <si>
    <t xml:space="preserve">SC-20036</t>
  </si>
  <si>
    <t xml:space="preserve">SC-20037</t>
  </si>
  <si>
    <t xml:space="preserve">SC-20038</t>
  </si>
  <si>
    <t xml:space="preserve">SC-20039</t>
  </si>
  <si>
    <t xml:space="preserve">PO-20040</t>
  </si>
  <si>
    <t xml:space="preserve">PO-20041</t>
  </si>
  <si>
    <t xml:space="preserve">SC-20042</t>
  </si>
  <si>
    <t xml:space="preserve">SC-20043</t>
  </si>
  <si>
    <t xml:space="preserve">SC-20044</t>
  </si>
  <si>
    <t xml:space="preserve">PO-20045</t>
  </si>
  <si>
    <t xml:space="preserve">SC-20046</t>
  </si>
  <si>
    <t xml:space="preserve">SC-20047</t>
  </si>
  <si>
    <t xml:space="preserve">SC-20048</t>
  </si>
  <si>
    <t xml:space="preserve">SC-20049</t>
  </si>
  <si>
    <t xml:space="preserve">PO-20050</t>
  </si>
  <si>
    <t xml:space="preserve">PO-20051</t>
  </si>
  <si>
    <t xml:space="preserve">SC-20052</t>
  </si>
  <si>
    <t xml:space="preserve">SC-20053</t>
  </si>
  <si>
    <t xml:space="preserve">SC-20054</t>
  </si>
  <si>
    <t xml:space="preserve">PO-20055</t>
  </si>
  <si>
    <t xml:space="preserve">SC-20056</t>
  </si>
  <si>
    <t xml:space="preserve">SC-20057</t>
  </si>
  <si>
    <t xml:space="preserve">SC-20058</t>
  </si>
  <si>
    <t xml:space="preserve">SC-20059</t>
  </si>
  <si>
    <t xml:space="preserve">PO-20060</t>
  </si>
  <si>
    <t xml:space="preserve">PO-20061</t>
  </si>
  <si>
    <t xml:space="preserve">SC-20062</t>
  </si>
  <si>
    <t xml:space="preserve">SC-20063</t>
  </si>
  <si>
    <t xml:space="preserve">SC-20064</t>
  </si>
  <si>
    <t xml:space="preserve">PO-20065</t>
  </si>
  <si>
    <t xml:space="preserve">SC-20066</t>
  </si>
  <si>
    <t xml:space="preserve">SC-20067</t>
  </si>
  <si>
    <t xml:space="preserve">SC-20068</t>
  </si>
  <si>
    <t xml:space="preserve">SC-20069</t>
  </si>
  <si>
    <t xml:space="preserve">PO-20070</t>
  </si>
  <si>
    <t xml:space="preserve">PO-20071</t>
  </si>
  <si>
    <t xml:space="preserve">SC-20072</t>
  </si>
  <si>
    <t xml:space="preserve">SC-20073</t>
  </si>
  <si>
    <t xml:space="preserve">PO-20074</t>
  </si>
  <si>
    <t xml:space="preserve">SC-20075</t>
  </si>
  <si>
    <t xml:space="preserve">SC-20076</t>
  </si>
  <si>
    <t xml:space="preserve">SC-20077</t>
  </si>
  <si>
    <t xml:space="preserve">SC-20078</t>
  </si>
  <si>
    <t xml:space="preserve">PO-20079</t>
  </si>
  <si>
    <t xml:space="preserve">PO-20080</t>
  </si>
  <si>
    <t xml:space="preserve">SC-20081</t>
  </si>
  <si>
    <t xml:space="preserve">SC-20082</t>
  </si>
  <si>
    <t xml:space="preserve">SC-20083</t>
  </si>
  <si>
    <t xml:space="preserve">PO-20084</t>
  </si>
  <si>
    <t xml:space="preserve">SC-20085</t>
  </si>
  <si>
    <t xml:space="preserve">SC-20086</t>
  </si>
  <si>
    <t xml:space="preserve">SC-20087</t>
  </si>
  <si>
    <t xml:space="preserve">SC-20088</t>
  </si>
  <si>
    <t xml:space="preserve">PO-20089</t>
  </si>
  <si>
    <t xml:space="preserve">PO-20090</t>
  </si>
  <si>
    <t xml:space="preserve">SC-20091</t>
  </si>
  <si>
    <t xml:space="preserve">SC-20092</t>
  </si>
  <si>
    <t xml:space="preserve">PO-20093</t>
  </si>
  <si>
    <t xml:space="preserve">SC-20094</t>
  </si>
  <si>
    <t xml:space="preserve">SC-20095</t>
  </si>
  <si>
    <t xml:space="preserve">SC-20096</t>
  </si>
  <si>
    <t xml:space="preserve">SC-20097</t>
  </si>
  <si>
    <t xml:space="preserve">PO-20098</t>
  </si>
  <si>
    <t xml:space="preserve">PO-20099</t>
  </si>
  <si>
    <t xml:space="preserve">SC-20100</t>
  </si>
  <si>
    <t xml:space="preserve">SC-20101</t>
  </si>
  <si>
    <t xml:space="preserve">SC-20102</t>
  </si>
  <si>
    <t xml:space="preserve">PO-20103</t>
  </si>
  <si>
    <t xml:space="preserve">SC-20104</t>
  </si>
  <si>
    <t xml:space="preserve">SC-20105</t>
  </si>
  <si>
    <t xml:space="preserve">SC-20106</t>
  </si>
  <si>
    <t xml:space="preserve">SC-20107</t>
  </si>
  <si>
    <t xml:space="preserve">PO-20108</t>
  </si>
  <si>
    <t xml:space="preserve">PO-20109</t>
  </si>
  <si>
    <t xml:space="preserve">SC-20110</t>
  </si>
  <si>
    <t xml:space="preserve">SC-20111</t>
  </si>
  <si>
    <t xml:space="preserve">SC-20112</t>
  </si>
  <si>
    <t xml:space="preserve">SC-20113</t>
  </si>
  <si>
    <t xml:space="preserve">SC-20114</t>
  </si>
  <si>
    <t xml:space="preserve">transaction_id</t>
  </si>
  <si>
    <t xml:space="preserve">posting_date</t>
  </si>
  <si>
    <t xml:space="preserve">fiscal_period</t>
  </si>
  <si>
    <t xml:space="preserve">source</t>
  </si>
  <si>
    <t xml:space="preserve">vendor_id</t>
  </si>
  <si>
    <t xml:space="preserve">vendor_name</t>
  </si>
  <si>
    <t xml:space="preserve">hours</t>
  </si>
  <si>
    <t xml:space="preserve">amount</t>
  </si>
  <si>
    <t xml:space="preserve">2024-06-07</t>
  </si>
  <si>
    <t xml:space="preserve">PR</t>
  </si>
  <si>
    <t xml:space="preserve">Payroll</t>
  </si>
  <si>
    <t xml:space="preserve">Payroll w/e Jun 07</t>
  </si>
  <si>
    <t xml:space="preserve">2024-06-13</t>
  </si>
  <si>
    <t xml:space="preserve">AP</t>
  </si>
  <si>
    <t xml:space="preserve">V0999</t>
  </si>
  <si>
    <t xml:space="preserve">Site Services Vendor</t>
  </si>
  <si>
    <t xml:space="preserve">Invoice 37896</t>
  </si>
  <si>
    <t xml:space="preserve">2024-06-14</t>
  </si>
  <si>
    <t xml:space="preserve">Payroll w/e Jun 14</t>
  </si>
  <si>
    <t xml:space="preserve">2024-06-21</t>
  </si>
  <si>
    <t xml:space="preserve">Payroll w/e Jun 21</t>
  </si>
  <si>
    <t xml:space="preserve">2024-06-23</t>
  </si>
  <si>
    <t xml:space="preserve">Invoice 89358</t>
  </si>
  <si>
    <t xml:space="preserve">2024-06-25</t>
  </si>
  <si>
    <t xml:space="preserve">V1001</t>
  </si>
  <si>
    <t xml:space="preserve">Earthwork Subcontractor A</t>
  </si>
  <si>
    <t xml:space="preserve">Progress claim Jun 2024</t>
  </si>
  <si>
    <t xml:space="preserve">2024-06-28</t>
  </si>
  <si>
    <t xml:space="preserve">Payroll w/e Jun 28</t>
  </si>
  <si>
    <t xml:space="preserve">2024-06-30</t>
  </si>
  <si>
    <t xml:space="preserve">EQ</t>
  </si>
  <si>
    <t xml:space="preserve">Internal equipment</t>
  </si>
  <si>
    <t xml:space="preserve">Monthly equipment charge</t>
  </si>
  <si>
    <t xml:space="preserve">2024-07-05</t>
  </si>
  <si>
    <t xml:space="preserve">Payroll w/e Jul 05</t>
  </si>
  <si>
    <t xml:space="preserve">2024-07-12</t>
  </si>
  <si>
    <t xml:space="preserve">Payroll w/e Jul 12</t>
  </si>
  <si>
    <t xml:space="preserve">Invoice 84491</t>
  </si>
  <si>
    <t xml:space="preserve">2024-07-19</t>
  </si>
  <si>
    <t xml:space="preserve">Payroll w/e Jul 19</t>
  </si>
  <si>
    <t xml:space="preserve">2024-07-25</t>
  </si>
  <si>
    <t xml:space="preserve">Progress claim Jul 2024</t>
  </si>
  <si>
    <t xml:space="preserve">2024-07-26</t>
  </si>
  <si>
    <t xml:space="preserve">Payroll w/e Jul 26</t>
  </si>
  <si>
    <t xml:space="preserve">2024-07-31</t>
  </si>
  <si>
    <t xml:space="preserve">2024-08-02</t>
  </si>
  <si>
    <t xml:space="preserve">Payroll w/e Aug 02</t>
  </si>
  <si>
    <t xml:space="preserve">2024-08-05</t>
  </si>
  <si>
    <t xml:space="preserve">V1002</t>
  </si>
  <si>
    <t xml:space="preserve">Reinforcing Steel Supplier F</t>
  </si>
  <si>
    <t xml:space="preserve">Invoice 35883</t>
  </si>
  <si>
    <t xml:space="preserve">2024-08-09</t>
  </si>
  <si>
    <t xml:space="preserve">Payroll w/e Aug 09</t>
  </si>
  <si>
    <t xml:space="preserve">2024-08-12</t>
  </si>
  <si>
    <t xml:space="preserve">Invoice 91022</t>
  </si>
  <si>
    <t xml:space="preserve">V1003</t>
  </si>
  <si>
    <t xml:space="preserve">Cast-in-Place Concrete Supplier G</t>
  </si>
  <si>
    <t xml:space="preserve">Invoice 65475</t>
  </si>
  <si>
    <t xml:space="preserve">2024-08-13</t>
  </si>
  <si>
    <t xml:space="preserve">Invoice 91750</t>
  </si>
  <si>
    <t xml:space="preserve">2024-08-16</t>
  </si>
  <si>
    <t xml:space="preserve">Payroll w/e Aug 16</t>
  </si>
  <si>
    <t xml:space="preserve">2024-08-17</t>
  </si>
  <si>
    <t xml:space="preserve">Invoice 49006</t>
  </si>
  <si>
    <t xml:space="preserve">2024-08-20</t>
  </si>
  <si>
    <t xml:space="preserve">Invoice 47508</t>
  </si>
  <si>
    <t xml:space="preserve">2024-08-23</t>
  </si>
  <si>
    <t xml:space="preserve">Payroll w/e Aug 23</t>
  </si>
  <si>
    <t xml:space="preserve">Invoice 31941</t>
  </si>
  <si>
    <t xml:space="preserve">2024-08-25</t>
  </si>
  <si>
    <t xml:space="preserve">Progress claim Aug 2024</t>
  </si>
  <si>
    <t xml:space="preserve">2024-08-30</t>
  </si>
  <si>
    <t xml:space="preserve">Payroll w/e Aug 30</t>
  </si>
  <si>
    <t xml:space="preserve">2024-08-31</t>
  </si>
  <si>
    <t xml:space="preserve">2024-09-06</t>
  </si>
  <si>
    <t xml:space="preserve">Payroll w/e Sep 06</t>
  </si>
  <si>
    <t xml:space="preserve">Invoice 65822</t>
  </si>
  <si>
    <t xml:space="preserve">Invoice 81022</t>
  </si>
  <si>
    <t xml:space="preserve">2024-09-11</t>
  </si>
  <si>
    <t xml:space="preserve">Invoice 48703</t>
  </si>
  <si>
    <t xml:space="preserve">2024-09-13</t>
  </si>
  <si>
    <t xml:space="preserve">Payroll w/e Sep 13</t>
  </si>
  <si>
    <t xml:space="preserve">2024-09-16</t>
  </si>
  <si>
    <t xml:space="preserve">Invoice 32319</t>
  </si>
  <si>
    <t xml:space="preserve">2024-09-18</t>
  </si>
  <si>
    <t xml:space="preserve">Invoice 67370</t>
  </si>
  <si>
    <t xml:space="preserve">2024-09-19</t>
  </si>
  <si>
    <t xml:space="preserve">Invoice 62659</t>
  </si>
  <si>
    <t xml:space="preserve">2024-09-20</t>
  </si>
  <si>
    <t xml:space="preserve">Payroll w/e Sep 20</t>
  </si>
  <si>
    <t xml:space="preserve">2024-09-22</t>
  </si>
  <si>
    <t xml:space="preserve">Invoice 79066</t>
  </si>
  <si>
    <t xml:space="preserve">2024-09-25</t>
  </si>
  <si>
    <t xml:space="preserve">Progress claim Sep 2024</t>
  </si>
  <si>
    <t xml:space="preserve">2024-09-27</t>
  </si>
  <si>
    <t xml:space="preserve">Payroll w/e Sep 27</t>
  </si>
  <si>
    <t xml:space="preserve">2024-09-30</t>
  </si>
  <si>
    <t xml:space="preserve">2024-10-04</t>
  </si>
  <si>
    <t xml:space="preserve">Payroll w/e Oct 04</t>
  </si>
  <si>
    <t xml:space="preserve">2024-10-10</t>
  </si>
  <si>
    <t xml:space="preserve">Invoice 56419</t>
  </si>
  <si>
    <t xml:space="preserve">Invoice 24863</t>
  </si>
  <si>
    <t xml:space="preserve">2024-10-11</t>
  </si>
  <si>
    <t xml:space="preserve">Payroll w/e Oct 11</t>
  </si>
  <si>
    <t xml:space="preserve">Invoice 35780</t>
  </si>
  <si>
    <t xml:space="preserve">2024-10-16</t>
  </si>
  <si>
    <t xml:space="preserve">Invoice 69187</t>
  </si>
  <si>
    <t xml:space="preserve">2024-10-18</t>
  </si>
  <si>
    <t xml:space="preserve">Payroll w/e Oct 18</t>
  </si>
  <si>
    <t xml:space="preserve">Invoice 16632</t>
  </si>
  <si>
    <t xml:space="preserve">Invoice 95263</t>
  </si>
  <si>
    <t xml:space="preserve">Invoice 38340</t>
  </si>
  <si>
    <t xml:space="preserve">2024-10-25</t>
  </si>
  <si>
    <t xml:space="preserve">Payroll w/e Oct 25</t>
  </si>
  <si>
    <t xml:space="preserve">Progress claim Oct 2024</t>
  </si>
  <si>
    <t xml:space="preserve">2024-10-26</t>
  </si>
  <si>
    <t xml:space="preserve">Invoice 17639</t>
  </si>
  <si>
    <t xml:space="preserve">2024-10-27</t>
  </si>
  <si>
    <t xml:space="preserve">Invoice 30788</t>
  </si>
  <si>
    <t xml:space="preserve">2024-10-31</t>
  </si>
  <si>
    <t xml:space="preserve">2024-11-01</t>
  </si>
  <si>
    <t xml:space="preserve">Payroll w/e Nov 01</t>
  </si>
  <si>
    <t xml:space="preserve">2024-11-07</t>
  </si>
  <si>
    <t xml:space="preserve">Invoice 45287</t>
  </si>
  <si>
    <t xml:space="preserve">2024-11-08</t>
  </si>
  <si>
    <t xml:space="preserve">Payroll w/e Nov 08</t>
  </si>
  <si>
    <t xml:space="preserve">2024-11-12</t>
  </si>
  <si>
    <t xml:space="preserve">Invoice 21448</t>
  </si>
  <si>
    <t xml:space="preserve">2024-11-15</t>
  </si>
  <si>
    <t xml:space="preserve">Payroll w/e Nov 15</t>
  </si>
  <si>
    <t xml:space="preserve">2024-11-18</t>
  </si>
  <si>
    <t xml:space="preserve">Invoice 60154</t>
  </si>
  <si>
    <t xml:space="preserve">2024-11-22</t>
  </si>
  <si>
    <t xml:space="preserve">Payroll w/e Nov 22</t>
  </si>
  <si>
    <t xml:space="preserve">Invoice 71930</t>
  </si>
  <si>
    <t xml:space="preserve">2024-11-25</t>
  </si>
  <si>
    <t xml:space="preserve">Progress claim Nov 2024</t>
  </si>
  <si>
    <t xml:space="preserve">2024-11-26</t>
  </si>
  <si>
    <t xml:space="preserve">Invoice 64238</t>
  </si>
  <si>
    <t xml:space="preserve">2024-11-29</t>
  </si>
  <si>
    <t xml:space="preserve">Payroll w/e Nov 29</t>
  </si>
  <si>
    <t xml:space="preserve">2024-11-30</t>
  </si>
  <si>
    <t xml:space="preserve">2024-12-06</t>
  </si>
  <si>
    <t xml:space="preserve">Payroll w/e Dec 06</t>
  </si>
  <si>
    <t xml:space="preserve">2024-12-10</t>
  </si>
  <si>
    <t xml:space="preserve">Invoice 18415</t>
  </si>
  <si>
    <t xml:space="preserve">2024-12-12</t>
  </si>
  <si>
    <t xml:space="preserve">Invoice 53733</t>
  </si>
  <si>
    <t xml:space="preserve">2024-12-13</t>
  </si>
  <si>
    <t xml:space="preserve">Payroll w/e Dec 13</t>
  </si>
  <si>
    <t xml:space="preserve">2024-12-17</t>
  </si>
  <si>
    <t xml:space="preserve">Invoice 53778</t>
  </si>
  <si>
    <t xml:space="preserve">2024-12-18</t>
  </si>
  <si>
    <t xml:space="preserve">Invoice 50401</t>
  </si>
  <si>
    <t xml:space="preserve">2024-12-20</t>
  </si>
  <si>
    <t xml:space="preserve">Payroll w/e Dec 20</t>
  </si>
  <si>
    <t xml:space="preserve">2024-12-21</t>
  </si>
  <si>
    <t xml:space="preserve">Invoice 64492</t>
  </si>
  <si>
    <t xml:space="preserve">2024-12-22</t>
  </si>
  <si>
    <t xml:space="preserve">Invoice 82883</t>
  </si>
  <si>
    <t xml:space="preserve">2024-12-25</t>
  </si>
  <si>
    <t xml:space="preserve">Progress claim Dec 2024</t>
  </si>
  <si>
    <t xml:space="preserve">V1005</t>
  </si>
  <si>
    <t xml:space="preserve">Structural Steel Subcontractor C</t>
  </si>
  <si>
    <t xml:space="preserve">2024-12-26</t>
  </si>
  <si>
    <t xml:space="preserve">Invoice 85161</t>
  </si>
  <si>
    <t xml:space="preserve">2024-12-27</t>
  </si>
  <si>
    <t xml:space="preserve">Payroll w/e Dec 27</t>
  </si>
  <si>
    <t xml:space="preserve">2024-12-31</t>
  </si>
  <si>
    <t xml:space="preserve">2025-01-03</t>
  </si>
  <si>
    <t xml:space="preserve">Payroll w/e Jan 03</t>
  </si>
  <si>
    <t xml:space="preserve">2025-01-09</t>
  </si>
  <si>
    <t xml:space="preserve">Invoice 98532</t>
  </si>
  <si>
    <t xml:space="preserve">2025-01-10</t>
  </si>
  <si>
    <t xml:space="preserve">Payroll w/e Jan 10</t>
  </si>
  <si>
    <t xml:space="preserve">2025-01-16</t>
  </si>
  <si>
    <t xml:space="preserve">Invoice 29766</t>
  </si>
  <si>
    <t xml:space="preserve">2025-01-17</t>
  </si>
  <si>
    <t xml:space="preserve">Payroll w/e Jan 17</t>
  </si>
  <si>
    <t xml:space="preserve">2025-01-18</t>
  </si>
  <si>
    <t xml:space="preserve">Invoice 78935</t>
  </si>
  <si>
    <t xml:space="preserve">2025-01-24</t>
  </si>
  <si>
    <t xml:space="preserve">Payroll w/e Jan 24</t>
  </si>
  <si>
    <t xml:space="preserve">2025-01-25</t>
  </si>
  <si>
    <t xml:space="preserve">Progress claim Jan 2025</t>
  </si>
  <si>
    <t xml:space="preserve">2025-01-27</t>
  </si>
  <si>
    <t xml:space="preserve">Invoice 29631</t>
  </si>
  <si>
    <t xml:space="preserve">2025-01-31</t>
  </si>
  <si>
    <t xml:space="preserve">Payroll w/e Jan 31</t>
  </si>
  <si>
    <t xml:space="preserve">2025-02-06</t>
  </si>
  <si>
    <t xml:space="preserve">Invoice 14365</t>
  </si>
  <si>
    <t xml:space="preserve">2025-02-07</t>
  </si>
  <si>
    <t xml:space="preserve">Payroll w/e Feb 07</t>
  </si>
  <si>
    <t xml:space="preserve">2025-02-12</t>
  </si>
  <si>
    <t xml:space="preserve">Invoice 86434</t>
  </si>
  <si>
    <t xml:space="preserve">2025-02-14</t>
  </si>
  <si>
    <t xml:space="preserve">Payroll w/e Feb 14</t>
  </si>
  <si>
    <t xml:space="preserve">Invoice 75723</t>
  </si>
  <si>
    <t xml:space="preserve">2025-02-21</t>
  </si>
  <si>
    <t xml:space="preserve">Payroll w/e Feb 21</t>
  </si>
  <si>
    <t xml:space="preserve">2025-02-25</t>
  </si>
  <si>
    <t xml:space="preserve">Progress claim Feb 2025</t>
  </si>
  <si>
    <t xml:space="preserve">V1009</t>
  </si>
  <si>
    <t xml:space="preserve">Mechanical Subcontractor B</t>
  </si>
  <si>
    <t xml:space="preserve">V1010</t>
  </si>
  <si>
    <t xml:space="preserve">Electrical Subcontractor C</t>
  </si>
  <si>
    <t xml:space="preserve">2025-02-26</t>
  </si>
  <si>
    <t xml:space="preserve">Invoice 52623</t>
  </si>
  <si>
    <t xml:space="preserve">Invoice 59784</t>
  </si>
  <si>
    <t xml:space="preserve">2025-02-28</t>
  </si>
  <si>
    <t xml:space="preserve">Payroll w/e Feb 28</t>
  </si>
  <si>
    <t xml:space="preserve">Invoice 49303</t>
  </si>
  <si>
    <t xml:space="preserve">2025-03-07</t>
  </si>
  <si>
    <t xml:space="preserve">Payroll w/e Mar 07</t>
  </si>
  <si>
    <t xml:space="preserve">2025-03-10</t>
  </si>
  <si>
    <t xml:space="preserve">Invoice 69683</t>
  </si>
  <si>
    <t xml:space="preserve">Invoice 64395</t>
  </si>
  <si>
    <t xml:space="preserve">2025-03-11</t>
  </si>
  <si>
    <t xml:space="preserve">Invoice 78442</t>
  </si>
  <si>
    <t xml:space="preserve">2025-03-13</t>
  </si>
  <si>
    <t xml:space="preserve">Invoice 32941</t>
  </si>
  <si>
    <t xml:space="preserve">2025-03-14</t>
  </si>
  <si>
    <t xml:space="preserve">Payroll w/e Mar 14</t>
  </si>
  <si>
    <t xml:space="preserve">Invoice 60662</t>
  </si>
  <si>
    <t xml:space="preserve">2025-03-15</t>
  </si>
  <si>
    <t xml:space="preserve">Invoice 41057</t>
  </si>
  <si>
    <t xml:space="preserve">Invoice 50538</t>
  </si>
  <si>
    <t xml:space="preserve">2025-03-17</t>
  </si>
  <si>
    <t xml:space="preserve">Invoice 59304</t>
  </si>
  <si>
    <t xml:space="preserve">2025-03-21</t>
  </si>
  <si>
    <t xml:space="preserve">Payroll w/e Mar 21</t>
  </si>
  <si>
    <t xml:space="preserve">Invoice 31027</t>
  </si>
  <si>
    <t xml:space="preserve">2025-03-25</t>
  </si>
  <si>
    <t xml:space="preserve">V1004</t>
  </si>
  <si>
    <t xml:space="preserve">Masonry Subcontractor A</t>
  </si>
  <si>
    <t xml:space="preserve">Progress claim Mar 2025</t>
  </si>
  <si>
    <t xml:space="preserve">V1011</t>
  </si>
  <si>
    <t xml:space="preserve">2025-03-28</t>
  </si>
  <si>
    <t xml:space="preserve">Payroll w/e Mar 28</t>
  </si>
  <si>
    <t xml:space="preserve">2025-03-31</t>
  </si>
  <si>
    <t xml:space="preserve">2025-04-04</t>
  </si>
  <si>
    <t xml:space="preserve">Payroll w/e Apr 04</t>
  </si>
  <si>
    <t xml:space="preserve">Invoice 67468</t>
  </si>
  <si>
    <t xml:space="preserve">2025-04-06</t>
  </si>
  <si>
    <t xml:space="preserve">Invoice 35517</t>
  </si>
  <si>
    <t xml:space="preserve">2025-04-09</t>
  </si>
  <si>
    <t xml:space="preserve">V1012</t>
  </si>
  <si>
    <t xml:space="preserve">Reinforcing Steel Supplier E</t>
  </si>
  <si>
    <t xml:space="preserve">Invoice 64485</t>
  </si>
  <si>
    <t xml:space="preserve">2025-04-10</t>
  </si>
  <si>
    <t xml:space="preserve">Invoice 71373</t>
  </si>
  <si>
    <t xml:space="preserve">Invoice 32213</t>
  </si>
  <si>
    <t xml:space="preserve">2025-04-11</t>
  </si>
  <si>
    <t xml:space="preserve">Payroll w/e Apr 11</t>
  </si>
  <si>
    <t xml:space="preserve">2025-04-12</t>
  </si>
  <si>
    <t xml:space="preserve">Invoice 26093</t>
  </si>
  <si>
    <t xml:space="preserve">Invoice 10707</t>
  </si>
  <si>
    <t xml:space="preserve">2025-04-18</t>
  </si>
  <si>
    <t xml:space="preserve">Payroll w/e Apr 18</t>
  </si>
  <si>
    <t xml:space="preserve">Invoice 49700</t>
  </si>
  <si>
    <t xml:space="preserve">2025-04-25</t>
  </si>
  <si>
    <t xml:space="preserve">Payroll w/e Apr 25</t>
  </si>
  <si>
    <t xml:space="preserve">Progress claim Apr 2025</t>
  </si>
  <si>
    <t xml:space="preserve">2025-04-26</t>
  </si>
  <si>
    <t xml:space="preserve">Invoice 71485</t>
  </si>
  <si>
    <t xml:space="preserve">2025-04-30</t>
  </si>
  <si>
    <t xml:space="preserve">2025-05-02</t>
  </si>
  <si>
    <t xml:space="preserve">Payroll w/e May 02</t>
  </si>
  <si>
    <t xml:space="preserve">2025-05-03</t>
  </si>
  <si>
    <t xml:space="preserve">Invoice 43635</t>
  </si>
  <si>
    <t xml:space="preserve">2025-05-04</t>
  </si>
  <si>
    <t xml:space="preserve">Invoice 17716</t>
  </si>
  <si>
    <t xml:space="preserve">2025-05-09</t>
  </si>
  <si>
    <t xml:space="preserve">Payroll w/e May 09</t>
  </si>
  <si>
    <t xml:space="preserve">2025-05-10</t>
  </si>
  <si>
    <t xml:space="preserve">Invoice 82294</t>
  </si>
  <si>
    <t xml:space="preserve">Invoice 71716</t>
  </si>
  <si>
    <t xml:space="preserve">V1013</t>
  </si>
  <si>
    <t xml:space="preserve">Cast-in-Place Concrete Supplier C</t>
  </si>
  <si>
    <t xml:space="preserve">Invoice 21409</t>
  </si>
  <si>
    <t xml:space="preserve">2025-05-12</t>
  </si>
  <si>
    <t xml:space="preserve">Invoice 92594</t>
  </si>
  <si>
    <t xml:space="preserve">2025-05-14</t>
  </si>
  <si>
    <t xml:space="preserve">Invoice 69653</t>
  </si>
  <si>
    <t xml:space="preserve">2025-05-16</t>
  </si>
  <si>
    <t xml:space="preserve">Payroll w/e May 16</t>
  </si>
  <si>
    <t xml:space="preserve">Invoice 43234</t>
  </si>
  <si>
    <t xml:space="preserve">Invoice 52135</t>
  </si>
  <si>
    <t xml:space="preserve">Invoice 81737</t>
  </si>
  <si>
    <t xml:space="preserve">2025-05-21</t>
  </si>
  <si>
    <t xml:space="preserve">Invoice 99756</t>
  </si>
  <si>
    <t xml:space="preserve">2025-05-23</t>
  </si>
  <si>
    <t xml:space="preserve">Payroll w/e May 23</t>
  </si>
  <si>
    <t xml:space="preserve">Invoice 60141</t>
  </si>
  <si>
    <t xml:space="preserve">2025-05-24</t>
  </si>
  <si>
    <t xml:space="preserve">Invoice 92467</t>
  </si>
  <si>
    <t xml:space="preserve">Invoice 31760</t>
  </si>
  <si>
    <t xml:space="preserve">2025-05-25</t>
  </si>
  <si>
    <t xml:space="preserve">Progress claim May 2025</t>
  </si>
  <si>
    <t xml:space="preserve">Invoice 44845</t>
  </si>
  <si>
    <t xml:space="preserve">V1020</t>
  </si>
  <si>
    <t xml:space="preserve">Earthwork Subcontractor E</t>
  </si>
  <si>
    <t xml:space="preserve">2025-05-26</t>
  </si>
  <si>
    <t xml:space="preserve">Invoice 97809</t>
  </si>
  <si>
    <t xml:space="preserve">2025-05-27</t>
  </si>
  <si>
    <t xml:space="preserve">Invoice 46595</t>
  </si>
  <si>
    <t xml:space="preserve">2025-05-30</t>
  </si>
  <si>
    <t xml:space="preserve">Payroll w/e May 30</t>
  </si>
  <si>
    <t xml:space="preserve">2025-05-31</t>
  </si>
  <si>
    <t xml:space="preserve">2025-06-04</t>
  </si>
  <si>
    <t xml:space="preserve">Invoice 70016</t>
  </si>
  <si>
    <t xml:space="preserve">Invoice 36196</t>
  </si>
  <si>
    <t xml:space="preserve">2025-06-06</t>
  </si>
  <si>
    <t xml:space="preserve">Payroll w/e Jun 06</t>
  </si>
  <si>
    <t xml:space="preserve">2025-06-07</t>
  </si>
  <si>
    <t xml:space="preserve">Invoice 80422</t>
  </si>
  <si>
    <t xml:space="preserve">2025-06-08</t>
  </si>
  <si>
    <t xml:space="preserve">Invoice 38482</t>
  </si>
  <si>
    <t xml:space="preserve">Invoice 15516</t>
  </si>
  <si>
    <t xml:space="preserve">2025-06-10</t>
  </si>
  <si>
    <t xml:space="preserve">Invoice 24600</t>
  </si>
  <si>
    <t xml:space="preserve">2025-06-12</t>
  </si>
  <si>
    <t xml:space="preserve">Invoice 31136</t>
  </si>
  <si>
    <t xml:space="preserve">2025-06-13</t>
  </si>
  <si>
    <t xml:space="preserve">Payroll w/e Jun 13</t>
  </si>
  <si>
    <t xml:space="preserve">V1021</t>
  </si>
  <si>
    <t xml:space="preserve">Reinforcing Steel Supplier D</t>
  </si>
  <si>
    <t xml:space="preserve">Invoice 38376</t>
  </si>
  <si>
    <t xml:space="preserve">2025-06-15</t>
  </si>
  <si>
    <t xml:space="preserve">Invoice 28951</t>
  </si>
  <si>
    <t xml:space="preserve">2025-06-19</t>
  </si>
  <si>
    <t xml:space="preserve">Invoice 95649</t>
  </si>
  <si>
    <t xml:space="preserve">2025-06-20</t>
  </si>
  <si>
    <t xml:space="preserve">Payroll w/e Jun 20</t>
  </si>
  <si>
    <t xml:space="preserve">2025-06-21</t>
  </si>
  <si>
    <t xml:space="preserve">Invoice 53702</t>
  </si>
  <si>
    <t xml:space="preserve">Invoice 99359</t>
  </si>
  <si>
    <t xml:space="preserve">2025-06-25</t>
  </si>
  <si>
    <t xml:space="preserve">Progress claim Jun 2025</t>
  </si>
  <si>
    <t xml:space="preserve">V1006</t>
  </si>
  <si>
    <t xml:space="preserve">Roofing Subcontractor B</t>
  </si>
  <si>
    <t xml:space="preserve">Invoice 36941</t>
  </si>
  <si>
    <t xml:space="preserve">V1030</t>
  </si>
  <si>
    <t xml:space="preserve">Earthwork Subcontractor G</t>
  </si>
  <si>
    <t xml:space="preserve">2025-06-26</t>
  </si>
  <si>
    <t xml:space="preserve">Invoice 77210</t>
  </si>
  <si>
    <t xml:space="preserve">2025-06-27</t>
  </si>
  <si>
    <t xml:space="preserve">Payroll w/e Jun 27</t>
  </si>
  <si>
    <t xml:space="preserve">Invoice 21509</t>
  </si>
  <si>
    <t xml:space="preserve">2025-06-30</t>
  </si>
  <si>
    <t xml:space="preserve">2025-07-03</t>
  </si>
  <si>
    <t xml:space="preserve">Invoice 91940</t>
  </si>
  <si>
    <t xml:space="preserve">2025-07-04</t>
  </si>
  <si>
    <t xml:space="preserve">Payroll w/e Jul 04</t>
  </si>
  <si>
    <t xml:space="preserve">2025-07-05</t>
  </si>
  <si>
    <t xml:space="preserve">Invoice 15421</t>
  </si>
  <si>
    <t xml:space="preserve">2025-07-06</t>
  </si>
  <si>
    <t xml:space="preserve">Invoice 83789</t>
  </si>
  <si>
    <t xml:space="preserve">2025-07-09</t>
  </si>
  <si>
    <t xml:space="preserve">Invoice 20413</t>
  </si>
  <si>
    <t xml:space="preserve">2025-07-11</t>
  </si>
  <si>
    <t xml:space="preserve">Payroll w/e Jul 11</t>
  </si>
  <si>
    <t xml:space="preserve">2025-07-12</t>
  </si>
  <si>
    <t xml:space="preserve">Invoice 43819</t>
  </si>
  <si>
    <t xml:space="preserve">Invoice 93528</t>
  </si>
  <si>
    <t xml:space="preserve">2025-07-13</t>
  </si>
  <si>
    <t xml:space="preserve">V1032</t>
  </si>
  <si>
    <t xml:space="preserve">Invoice 92639</t>
  </si>
  <si>
    <t xml:space="preserve">2025-07-14</t>
  </si>
  <si>
    <t xml:space="preserve">V1031</t>
  </si>
  <si>
    <t xml:space="preserve">Reinforcing Steel Supplier C</t>
  </si>
  <si>
    <t xml:space="preserve">Invoice 78066</t>
  </si>
  <si>
    <t xml:space="preserve">2025-07-15</t>
  </si>
  <si>
    <t xml:space="preserve">Invoice 19832</t>
  </si>
  <si>
    <t xml:space="preserve">Invoice 68244</t>
  </si>
  <si>
    <t xml:space="preserve">2025-07-17</t>
  </si>
  <si>
    <t xml:space="preserve">Invoice 97279</t>
  </si>
  <si>
    <t xml:space="preserve">2025-07-18</t>
  </si>
  <si>
    <t xml:space="preserve">Payroll w/e Jul 18</t>
  </si>
  <si>
    <t xml:space="preserve">2025-07-19</t>
  </si>
  <si>
    <t xml:space="preserve">Invoice 85939</t>
  </si>
  <si>
    <t xml:space="preserve">Invoice 19160</t>
  </si>
  <si>
    <t xml:space="preserve">V1022</t>
  </si>
  <si>
    <t xml:space="preserve">Cast-in-Place Concrete Supplier F</t>
  </si>
  <si>
    <t xml:space="preserve">Invoice 69284</t>
  </si>
  <si>
    <t xml:space="preserve">2025-07-20</t>
  </si>
  <si>
    <t xml:space="preserve">Invoice 80782</t>
  </si>
  <si>
    <t xml:space="preserve">Invoice 35648</t>
  </si>
  <si>
    <t xml:space="preserve">2025-07-21</t>
  </si>
  <si>
    <t xml:space="preserve">Invoice 49598</t>
  </si>
  <si>
    <t xml:space="preserve">Invoice 99804</t>
  </si>
  <si>
    <t xml:space="preserve">2025-07-23</t>
  </si>
  <si>
    <t xml:space="preserve">Invoice 77459</t>
  </si>
  <si>
    <t xml:space="preserve">2025-07-25</t>
  </si>
  <si>
    <t xml:space="preserve">Payroll w/e Jul 25</t>
  </si>
  <si>
    <t xml:space="preserve">Progress claim Jul 2025</t>
  </si>
  <si>
    <t xml:space="preserve">2025-07-26</t>
  </si>
  <si>
    <t xml:space="preserve">Invoice 61086</t>
  </si>
  <si>
    <t xml:space="preserve">2025-07-27</t>
  </si>
  <si>
    <t xml:space="preserve">Invoice 18228</t>
  </si>
  <si>
    <t xml:space="preserve">Invoice 28311</t>
  </si>
  <si>
    <t xml:space="preserve">2025-07-31</t>
  </si>
  <si>
    <t xml:space="preserve">2025-08-01</t>
  </si>
  <si>
    <t xml:space="preserve">Payroll w/e Aug 01</t>
  </si>
  <si>
    <t xml:space="preserve">2025-08-03</t>
  </si>
  <si>
    <t xml:space="preserve">Invoice 39136</t>
  </si>
  <si>
    <t xml:space="preserve">Invoice 69859</t>
  </si>
  <si>
    <t xml:space="preserve">2025-08-08</t>
  </si>
  <si>
    <t xml:space="preserve">Payroll w/e Aug 08</t>
  </si>
  <si>
    <t xml:space="preserve">Invoice 89751</t>
  </si>
  <si>
    <t xml:space="preserve">2025-08-09</t>
  </si>
  <si>
    <t xml:space="preserve">Invoice 10158</t>
  </si>
  <si>
    <t xml:space="preserve">Invoice 64164</t>
  </si>
  <si>
    <t xml:space="preserve">Invoice 60363</t>
  </si>
  <si>
    <t xml:space="preserve">2025-08-10</t>
  </si>
  <si>
    <t xml:space="preserve">Invoice 82238</t>
  </si>
  <si>
    <t xml:space="preserve">2025-08-12</t>
  </si>
  <si>
    <t xml:space="preserve">Invoice 12327</t>
  </si>
  <si>
    <t xml:space="preserve">2025-08-13</t>
  </si>
  <si>
    <t xml:space="preserve">Invoice 44583</t>
  </si>
  <si>
    <t xml:space="preserve">Invoice 85065</t>
  </si>
  <si>
    <t xml:space="preserve">2025-08-14</t>
  </si>
  <si>
    <t xml:space="preserve">Invoice 54359</t>
  </si>
  <si>
    <t xml:space="preserve">2025-08-15</t>
  </si>
  <si>
    <t xml:space="preserve">Payroll w/e Aug 15</t>
  </si>
  <si>
    <t xml:space="preserve">2025-08-16</t>
  </si>
  <si>
    <t xml:space="preserve">Invoice 16296</t>
  </si>
  <si>
    <t xml:space="preserve">2025-08-17</t>
  </si>
  <si>
    <t xml:space="preserve">Invoice 21061</t>
  </si>
  <si>
    <t xml:space="preserve">Invoice 79323</t>
  </si>
  <si>
    <t xml:space="preserve">2025-08-18</t>
  </si>
  <si>
    <t xml:space="preserve">Invoice 29207</t>
  </si>
  <si>
    <t xml:space="preserve">2025-08-19</t>
  </si>
  <si>
    <t xml:space="preserve">Invoice 95538</t>
  </si>
  <si>
    <t xml:space="preserve">2025-08-20</t>
  </si>
  <si>
    <t xml:space="preserve">Invoice 42745</t>
  </si>
  <si>
    <t xml:space="preserve">Invoice 50818</t>
  </si>
  <si>
    <t xml:space="preserve">2025-08-21</t>
  </si>
  <si>
    <t xml:space="preserve">Invoice 97037</t>
  </si>
  <si>
    <t xml:space="preserve">2025-08-22</t>
  </si>
  <si>
    <t xml:space="preserve">Payroll w/e Aug 22</t>
  </si>
  <si>
    <t xml:space="preserve">2025-08-23</t>
  </si>
  <si>
    <t xml:space="preserve">Invoice 82227</t>
  </si>
  <si>
    <t xml:space="preserve">Invoice 48872</t>
  </si>
  <si>
    <t xml:space="preserve">2025-08-24</t>
  </si>
  <si>
    <t xml:space="preserve">Invoice 16880</t>
  </si>
  <si>
    <t xml:space="preserve">2025-08-25</t>
  </si>
  <si>
    <t xml:space="preserve">Invoice 36154</t>
  </si>
  <si>
    <t xml:space="preserve">Invoice 30883</t>
  </si>
  <si>
    <t xml:space="preserve">Progress claim Aug 2025</t>
  </si>
  <si>
    <t xml:space="preserve">V1014</t>
  </si>
  <si>
    <t xml:space="preserve">Structural Steel Subcontractor B</t>
  </si>
  <si>
    <t xml:space="preserve">V1039</t>
  </si>
  <si>
    <t xml:space="preserve">2025-08-27</t>
  </si>
  <si>
    <t xml:space="preserve">Invoice 51447</t>
  </si>
  <si>
    <t xml:space="preserve">2025-08-29</t>
  </si>
  <si>
    <t xml:space="preserve">Payroll w/e Aug 29</t>
  </si>
  <si>
    <t xml:space="preserve">2025-08-31</t>
  </si>
  <si>
    <t xml:space="preserve">2025-09-04</t>
  </si>
  <si>
    <t xml:space="preserve">Invoice 14554</t>
  </si>
  <si>
    <t xml:space="preserve">2025-09-05</t>
  </si>
  <si>
    <t xml:space="preserve">Payroll w/e Sep 05</t>
  </si>
  <si>
    <t xml:space="preserve">2025-09-06</t>
  </si>
  <si>
    <t xml:space="preserve">Invoice 81551</t>
  </si>
  <si>
    <t xml:space="preserve">2025-09-07</t>
  </si>
  <si>
    <t xml:space="preserve">V1040</t>
  </si>
  <si>
    <t xml:space="preserve">Reinforcing Steel Supplier B</t>
  </si>
  <si>
    <t xml:space="preserve">Invoice 13085</t>
  </si>
  <si>
    <t xml:space="preserve">2025-09-09</t>
  </si>
  <si>
    <t xml:space="preserve">Invoice 76775</t>
  </si>
  <si>
    <t xml:space="preserve">2025-09-10</t>
  </si>
  <si>
    <t xml:space="preserve">Invoice 18692</t>
  </si>
  <si>
    <t xml:space="preserve">2025-09-11</t>
  </si>
  <si>
    <t xml:space="preserve">Invoice 75358</t>
  </si>
  <si>
    <t xml:space="preserve">2025-09-12</t>
  </si>
  <si>
    <t xml:space="preserve">Payroll w/e Sep 12</t>
  </si>
  <si>
    <t xml:space="preserve">Invoice 92457</t>
  </si>
  <si>
    <t xml:space="preserve">Invoice 27652</t>
  </si>
  <si>
    <t xml:space="preserve">2025-09-13</t>
  </si>
  <si>
    <t xml:space="preserve">Invoice 65059</t>
  </si>
  <si>
    <t xml:space="preserve">Invoice 50765</t>
  </si>
  <si>
    <t xml:space="preserve">2025-09-14</t>
  </si>
  <si>
    <t xml:space="preserve">Invoice 67209</t>
  </si>
  <si>
    <t xml:space="preserve">2025-09-15</t>
  </si>
  <si>
    <t xml:space="preserve">Invoice 82259</t>
  </si>
  <si>
    <t xml:space="preserve">2025-09-16</t>
  </si>
  <si>
    <t xml:space="preserve">Invoice 12880</t>
  </si>
  <si>
    <t xml:space="preserve">Invoice 21566</t>
  </si>
  <si>
    <t xml:space="preserve">2025-09-19</t>
  </si>
  <si>
    <t xml:space="preserve">Payroll w/e Sep 19</t>
  </si>
  <si>
    <t xml:space="preserve">Invoice 37093</t>
  </si>
  <si>
    <t xml:space="preserve">Invoice 24914</t>
  </si>
  <si>
    <t xml:space="preserve">Invoice 82618</t>
  </si>
  <si>
    <t xml:space="preserve">2025-09-20</t>
  </si>
  <si>
    <t xml:space="preserve">Invoice 16037</t>
  </si>
  <si>
    <t xml:space="preserve">2025-09-21</t>
  </si>
  <si>
    <t xml:space="preserve">Invoice 34838</t>
  </si>
  <si>
    <t xml:space="preserve">2025-09-22</t>
  </si>
  <si>
    <t xml:space="preserve">Invoice 86868</t>
  </si>
  <si>
    <t xml:space="preserve">2025-09-23</t>
  </si>
  <si>
    <t xml:space="preserve">Invoice 23075</t>
  </si>
  <si>
    <t xml:space="preserve">2025-09-25</t>
  </si>
  <si>
    <t xml:space="preserve">Progress claim Sep 2025</t>
  </si>
  <si>
    <t xml:space="preserve">Invoice 63995</t>
  </si>
  <si>
    <t xml:space="preserve">V1018</t>
  </si>
  <si>
    <t xml:space="preserve">Mechanical Subcontractor F</t>
  </si>
  <si>
    <t xml:space="preserve">V1019</t>
  </si>
  <si>
    <t xml:space="preserve">Electrical Subcontractor G</t>
  </si>
  <si>
    <t xml:space="preserve">V1049</t>
  </si>
  <si>
    <t xml:space="preserve">Earthwork Subcontractor D</t>
  </si>
  <si>
    <t xml:space="preserve">2025-09-26</t>
  </si>
  <si>
    <t xml:space="preserve">Payroll w/e Sep 26</t>
  </si>
  <si>
    <t xml:space="preserve">Invoice 21241</t>
  </si>
  <si>
    <t xml:space="preserve">2025-09-27</t>
  </si>
  <si>
    <t xml:space="preserve">Invoice 80931</t>
  </si>
  <si>
    <t xml:space="preserve">Invoice 59571</t>
  </si>
  <si>
    <t xml:space="preserve">Invoice 36381</t>
  </si>
  <si>
    <t xml:space="preserve">Invoice 58608</t>
  </si>
  <si>
    <t xml:space="preserve">2025-09-30</t>
  </si>
  <si>
    <t xml:space="preserve">2025-10-03</t>
  </si>
  <si>
    <t xml:space="preserve">Payroll w/e Oct 03</t>
  </si>
  <si>
    <t xml:space="preserve">Invoice 93636</t>
  </si>
  <si>
    <t xml:space="preserve">Invoice 54740</t>
  </si>
  <si>
    <t xml:space="preserve">2025-10-05</t>
  </si>
  <si>
    <t xml:space="preserve">Invoice 93227</t>
  </si>
  <si>
    <t xml:space="preserve">Invoice 78546</t>
  </si>
  <si>
    <t xml:space="preserve">Invoice 83769</t>
  </si>
  <si>
    <t xml:space="preserve">2025-10-07</t>
  </si>
  <si>
    <t xml:space="preserve">Invoice 37812</t>
  </si>
  <si>
    <t xml:space="preserve">2025-10-08</t>
  </si>
  <si>
    <t xml:space="preserve">Invoice 24593</t>
  </si>
  <si>
    <t xml:space="preserve">2025-10-09</t>
  </si>
  <si>
    <t xml:space="preserve">Invoice 99841</t>
  </si>
  <si>
    <t xml:space="preserve">2025-10-10</t>
  </si>
  <si>
    <t xml:space="preserve">Payroll w/e Oct 10</t>
  </si>
  <si>
    <t xml:space="preserve">Invoice 23110</t>
  </si>
  <si>
    <t xml:space="preserve">2025-10-11</t>
  </si>
  <si>
    <t xml:space="preserve">Invoice 61087</t>
  </si>
  <si>
    <t xml:space="preserve">Invoice 65811</t>
  </si>
  <si>
    <t xml:space="preserve">2025-10-13</t>
  </si>
  <si>
    <t xml:space="preserve">V1007</t>
  </si>
  <si>
    <t xml:space="preserve">Doors Supplier G</t>
  </si>
  <si>
    <t xml:space="preserve">Invoice 22959</t>
  </si>
  <si>
    <t xml:space="preserve">Invoice 62235</t>
  </si>
  <si>
    <t xml:space="preserve">2025-10-14</t>
  </si>
  <si>
    <t xml:space="preserve">Invoice 33726</t>
  </si>
  <si>
    <t xml:space="preserve">V1050</t>
  </si>
  <si>
    <t xml:space="preserve">Reinforcing Steel Supplier A</t>
  </si>
  <si>
    <t xml:space="preserve">Invoice 64206</t>
  </si>
  <si>
    <t xml:space="preserve">2025-10-15</t>
  </si>
  <si>
    <t xml:space="preserve">Invoice 87932</t>
  </si>
  <si>
    <t xml:space="preserve">Invoice 87801</t>
  </si>
  <si>
    <t xml:space="preserve">V1041</t>
  </si>
  <si>
    <t xml:space="preserve">Cast-in-Place Concrete Supplier A</t>
  </si>
  <si>
    <t xml:space="preserve">Invoice 15943</t>
  </si>
  <si>
    <t xml:space="preserve">2025-10-16</t>
  </si>
  <si>
    <t xml:space="preserve">Invoice 64474</t>
  </si>
  <si>
    <t xml:space="preserve">2025-10-17</t>
  </si>
  <si>
    <t xml:space="preserve">Payroll w/e Oct 17</t>
  </si>
  <si>
    <t xml:space="preserve">Invoice 64417</t>
  </si>
  <si>
    <t xml:space="preserve">Invoice 54373</t>
  </si>
  <si>
    <t xml:space="preserve">2025-10-18</t>
  </si>
  <si>
    <t xml:space="preserve">Invoice 64640</t>
  </si>
  <si>
    <t xml:space="preserve">Invoice 84557</t>
  </si>
  <si>
    <t xml:space="preserve">Invoice 73782</t>
  </si>
  <si>
    <t xml:space="preserve">Invoice 74360</t>
  </si>
  <si>
    <t xml:space="preserve">Invoice 98320</t>
  </si>
  <si>
    <t xml:space="preserve">2025-10-19</t>
  </si>
  <si>
    <t xml:space="preserve">Invoice 63779</t>
  </si>
  <si>
    <t xml:space="preserve">Invoice 24533</t>
  </si>
  <si>
    <t xml:space="preserve">2025-10-20</t>
  </si>
  <si>
    <t xml:space="preserve">Invoice 12494</t>
  </si>
  <si>
    <t xml:space="preserve">2025-10-21</t>
  </si>
  <si>
    <t xml:space="preserve">Invoice 21713</t>
  </si>
  <si>
    <t xml:space="preserve">2025-10-23</t>
  </si>
  <si>
    <t xml:space="preserve">Invoice 96712</t>
  </si>
  <si>
    <t xml:space="preserve">V1051</t>
  </si>
  <si>
    <t xml:space="preserve">Invoice 40685</t>
  </si>
  <si>
    <t xml:space="preserve">2025-10-24</t>
  </si>
  <si>
    <t xml:space="preserve">Payroll w/e Oct 24</t>
  </si>
  <si>
    <t xml:space="preserve">Invoice 88882</t>
  </si>
  <si>
    <t xml:space="preserve">2025-10-25</t>
  </si>
  <si>
    <t xml:space="preserve">Progress claim Oct 2025</t>
  </si>
  <si>
    <t xml:space="preserve">V1008</t>
  </si>
  <si>
    <t xml:space="preserve">Drywall Subcontractor B</t>
  </si>
  <si>
    <t xml:space="preserve">Invoice 22885</t>
  </si>
  <si>
    <t xml:space="preserve">V1024</t>
  </si>
  <si>
    <t xml:space="preserve">Structural Steel Subcontractor A</t>
  </si>
  <si>
    <t xml:space="preserve">V1033</t>
  </si>
  <si>
    <t xml:space="preserve">Structural Steel Subcontractor D</t>
  </si>
  <si>
    <t xml:space="preserve">V1059</t>
  </si>
  <si>
    <t xml:space="preserve">Earthwork Subcontractor B</t>
  </si>
  <si>
    <t xml:space="preserve">2025-10-26</t>
  </si>
  <si>
    <t xml:space="preserve">Invoice 39202</t>
  </si>
  <si>
    <t xml:space="preserve">2025-10-27</t>
  </si>
  <si>
    <t xml:space="preserve">Invoice 35199</t>
  </si>
  <si>
    <t xml:space="preserve">2025-10-31</t>
  </si>
  <si>
    <t xml:space="preserve">Payroll w/e Oct 31</t>
  </si>
  <si>
    <t xml:space="preserve">Invoice 56743</t>
  </si>
  <si>
    <t xml:space="preserve">2025-11-04</t>
  </si>
  <si>
    <t xml:space="preserve">Invoice 22960</t>
  </si>
  <si>
    <t xml:space="preserve">2025-11-05</t>
  </si>
  <si>
    <t xml:space="preserve">V1060</t>
  </si>
  <si>
    <t xml:space="preserve">Invoice 16860</t>
  </si>
  <si>
    <t xml:space="preserve">2025-11-06</t>
  </si>
  <si>
    <t xml:space="preserve">Invoice 36065</t>
  </si>
  <si>
    <t xml:space="preserve">Invoice 74331</t>
  </si>
  <si>
    <t xml:space="preserve">Invoice 80432</t>
  </si>
  <si>
    <t xml:space="preserve">2025-11-07</t>
  </si>
  <si>
    <t xml:space="preserve">Payroll w/e Nov 07</t>
  </si>
  <si>
    <t xml:space="preserve">Invoice 94032</t>
  </si>
  <si>
    <t xml:space="preserve">Invoice 45967</t>
  </si>
  <si>
    <t xml:space="preserve">Invoice 44339</t>
  </si>
  <si>
    <t xml:space="preserve">2025-11-09</t>
  </si>
  <si>
    <t xml:space="preserve">Invoice 97316</t>
  </si>
  <si>
    <t xml:space="preserve">Invoice 78926</t>
  </si>
  <si>
    <t xml:space="preserve">2025-11-10</t>
  </si>
  <si>
    <t xml:space="preserve">Invoice 88056</t>
  </si>
  <si>
    <t xml:space="preserve">Invoice 10209</t>
  </si>
  <si>
    <t xml:space="preserve">2025-11-11</t>
  </si>
  <si>
    <t xml:space="preserve">Invoice 29208</t>
  </si>
  <si>
    <t xml:space="preserve">2025-11-12</t>
  </si>
  <si>
    <t xml:space="preserve">Invoice 68364</t>
  </si>
  <si>
    <t xml:space="preserve">Invoice 23684</t>
  </si>
  <si>
    <t xml:space="preserve">V1061</t>
  </si>
  <si>
    <t xml:space="preserve">Invoice 64811</t>
  </si>
  <si>
    <t xml:space="preserve">2025-11-13</t>
  </si>
  <si>
    <t xml:space="preserve">Invoice 61507</t>
  </si>
  <si>
    <t xml:space="preserve">Invoice 82738</t>
  </si>
  <si>
    <t xml:space="preserve">2025-11-14</t>
  </si>
  <si>
    <t xml:space="preserve">Payroll w/e Nov 14</t>
  </si>
  <si>
    <t xml:space="preserve">2025-11-15</t>
  </si>
  <si>
    <t xml:space="preserve">Invoice 78088</t>
  </si>
  <si>
    <t xml:space="preserve">Invoice 61821</t>
  </si>
  <si>
    <t xml:space="preserve">2025-11-16</t>
  </si>
  <si>
    <t xml:space="preserve">Invoice 78134</t>
  </si>
  <si>
    <t xml:space="preserve">Invoice 48710</t>
  </si>
  <si>
    <t xml:space="preserve">2025-11-17</t>
  </si>
  <si>
    <t xml:space="preserve">Invoice 54334</t>
  </si>
  <si>
    <t xml:space="preserve">Invoice 41317</t>
  </si>
  <si>
    <t xml:space="preserve">Invoice 83120</t>
  </si>
  <si>
    <t xml:space="preserve">2025-11-18</t>
  </si>
  <si>
    <t xml:space="preserve">Invoice 57776</t>
  </si>
  <si>
    <t xml:space="preserve">Invoice 51427</t>
  </si>
  <si>
    <t xml:space="preserve">2025-11-19</t>
  </si>
  <si>
    <t xml:space="preserve">Invoice 81496</t>
  </si>
  <si>
    <t xml:space="preserve">2025-11-20</t>
  </si>
  <si>
    <t xml:space="preserve">Invoice 41561</t>
  </si>
  <si>
    <t xml:space="preserve">2025-11-21</t>
  </si>
  <si>
    <t xml:space="preserve">Payroll w/e Nov 21</t>
  </si>
  <si>
    <t xml:space="preserve">Invoice 71913</t>
  </si>
  <si>
    <t xml:space="preserve">Invoice 88893</t>
  </si>
  <si>
    <t xml:space="preserve">Invoice 34200</t>
  </si>
  <si>
    <t xml:space="preserve">2025-11-22</t>
  </si>
  <si>
    <t xml:space="preserve">Invoice 18306</t>
  </si>
  <si>
    <t xml:space="preserve">Invoice 71254</t>
  </si>
  <si>
    <t xml:space="preserve">Invoice 57710</t>
  </si>
  <si>
    <t xml:space="preserve">2025-11-23</t>
  </si>
  <si>
    <t xml:space="preserve">Invoice 95144</t>
  </si>
  <si>
    <t xml:space="preserve">2025-11-24</t>
  </si>
  <si>
    <t xml:space="preserve">Invoice 77144</t>
  </si>
  <si>
    <t xml:space="preserve">Invoice 84933</t>
  </si>
  <si>
    <t xml:space="preserve">2025-11-25</t>
  </si>
  <si>
    <t xml:space="preserve">Progress claim Nov 2025</t>
  </si>
  <si>
    <t xml:space="preserve">Invoice 24102</t>
  </si>
  <si>
    <t xml:space="preserve">V1028</t>
  </si>
  <si>
    <t xml:space="preserve">V1029</t>
  </si>
  <si>
    <t xml:space="preserve">Electrical Subcontractor F</t>
  </si>
  <si>
    <t xml:space="preserve">Invoice 76789</t>
  </si>
  <si>
    <t xml:space="preserve">V1037</t>
  </si>
  <si>
    <t xml:space="preserve">Mechanical Subcontractor A</t>
  </si>
  <si>
    <t xml:space="preserve">V1038</t>
  </si>
  <si>
    <t xml:space="preserve">Electrical Subcontractor A</t>
  </si>
  <si>
    <t xml:space="preserve">Invoice 34287</t>
  </si>
  <si>
    <t xml:space="preserve">V1069</t>
  </si>
  <si>
    <t xml:space="preserve">2025-11-27</t>
  </si>
  <si>
    <t xml:space="preserve">Invoice 49930</t>
  </si>
  <si>
    <t xml:space="preserve">2025-11-28</t>
  </si>
  <si>
    <t xml:space="preserve">Payroll w/e Nov 28</t>
  </si>
  <si>
    <t xml:space="preserve">2025-11-30</t>
  </si>
  <si>
    <t xml:space="preserve">2025-12-03</t>
  </si>
  <si>
    <t xml:space="preserve">Invoice 91280</t>
  </si>
  <si>
    <t xml:space="preserve">Invoice 91392</t>
  </si>
  <si>
    <t xml:space="preserve">2025-12-04</t>
  </si>
  <si>
    <t xml:space="preserve">Invoice 39513</t>
  </si>
  <si>
    <t xml:space="preserve">Invoice 36901</t>
  </si>
  <si>
    <t xml:space="preserve">2025-12-05</t>
  </si>
  <si>
    <t xml:space="preserve">Payroll w/e Dec 05</t>
  </si>
  <si>
    <t xml:space="preserve">Invoice 83915</t>
  </si>
  <si>
    <t xml:space="preserve">Invoice 38865</t>
  </si>
  <si>
    <t xml:space="preserve">Invoice 83254</t>
  </si>
  <si>
    <t xml:space="preserve">2025-12-06</t>
  </si>
  <si>
    <t xml:space="preserve">Invoice 65696</t>
  </si>
  <si>
    <t xml:space="preserve">Invoice 81651</t>
  </si>
  <si>
    <t xml:space="preserve">V1070</t>
  </si>
  <si>
    <t xml:space="preserve">Invoice 93532</t>
  </si>
  <si>
    <t xml:space="preserve">2025-12-07</t>
  </si>
  <si>
    <t xml:space="preserve">Invoice 73523</t>
  </si>
  <si>
    <t xml:space="preserve">Invoice 47202</t>
  </si>
  <si>
    <t xml:space="preserve">2025-12-08</t>
  </si>
  <si>
    <t xml:space="preserve">Invoice 52402</t>
  </si>
  <si>
    <t xml:space="preserve">Invoice 12231</t>
  </si>
  <si>
    <t xml:space="preserve">2025-12-10</t>
  </si>
  <si>
    <t xml:space="preserve">Invoice 52012</t>
  </si>
  <si>
    <t xml:space="preserve">Invoice 29591</t>
  </si>
  <si>
    <t xml:space="preserve">Invoice 91039</t>
  </si>
  <si>
    <t xml:space="preserve">V1071</t>
  </si>
  <si>
    <t xml:space="preserve">Invoice 59200</t>
  </si>
  <si>
    <t xml:space="preserve">2025-12-11</t>
  </si>
  <si>
    <t xml:space="preserve">Invoice 81585</t>
  </si>
  <si>
    <t xml:space="preserve">Invoice 69634</t>
  </si>
  <si>
    <t xml:space="preserve">Invoice 95139</t>
  </si>
  <si>
    <t xml:space="preserve">2025-12-12</t>
  </si>
  <si>
    <t xml:space="preserve">Payroll w/e Dec 12</t>
  </si>
  <si>
    <t xml:space="preserve">Invoice 75598</t>
  </si>
  <si>
    <t xml:space="preserve">Invoice 53674</t>
  </si>
  <si>
    <t xml:space="preserve">2025-12-13</t>
  </si>
  <si>
    <t xml:space="preserve">Invoice 94265</t>
  </si>
  <si>
    <t xml:space="preserve">2025-12-14</t>
  </si>
  <si>
    <t xml:space="preserve">Invoice 14813</t>
  </si>
  <si>
    <t xml:space="preserve">Invoice 55058</t>
  </si>
  <si>
    <t xml:space="preserve">2025-12-15</t>
  </si>
  <si>
    <t xml:space="preserve">Invoice 52039</t>
  </si>
  <si>
    <t xml:space="preserve">Invoice 11358</t>
  </si>
  <si>
    <t xml:space="preserve">2025-12-17</t>
  </si>
  <si>
    <t xml:space="preserve">Invoice 34018</t>
  </si>
  <si>
    <t xml:space="preserve">Invoice 92195</t>
  </si>
  <si>
    <t xml:space="preserve">2025-12-18</t>
  </si>
  <si>
    <t xml:space="preserve">Invoice 66440</t>
  </si>
  <si>
    <t xml:space="preserve">Invoice 24764</t>
  </si>
  <si>
    <t xml:space="preserve">Invoice 73645</t>
  </si>
  <si>
    <t xml:space="preserve">2025-12-19</t>
  </si>
  <si>
    <t xml:space="preserve">Payroll w/e Dec 19</t>
  </si>
  <si>
    <t xml:space="preserve">Invoice 86331</t>
  </si>
  <si>
    <t xml:space="preserve">Invoice 98350</t>
  </si>
  <si>
    <t xml:space="preserve">Invoice 41031</t>
  </si>
  <si>
    <t xml:space="preserve">2025-12-20</t>
  </si>
  <si>
    <t xml:space="preserve">Invoice 40939</t>
  </si>
  <si>
    <t xml:space="preserve">Invoice 80710</t>
  </si>
  <si>
    <t xml:space="preserve">2025-12-21</t>
  </si>
  <si>
    <t xml:space="preserve">Invoice 77398</t>
  </si>
  <si>
    <t xml:space="preserve">2025-12-23</t>
  </si>
  <si>
    <t xml:space="preserve">Invoice 12193</t>
  </si>
  <si>
    <t xml:space="preserve">Invoice 13902</t>
  </si>
  <si>
    <t xml:space="preserve">Invoice 50548</t>
  </si>
  <si>
    <t xml:space="preserve">2025-12-24</t>
  </si>
  <si>
    <t xml:space="preserve">Invoice 64569</t>
  </si>
  <si>
    <t xml:space="preserve">2025-12-25</t>
  </si>
  <si>
    <t xml:space="preserve">Progress claim Dec 2025</t>
  </si>
  <si>
    <t xml:space="preserve">Invoice 38163</t>
  </si>
  <si>
    <t xml:space="preserve">V1015</t>
  </si>
  <si>
    <t xml:space="preserve">Roofing Subcontractor A</t>
  </si>
  <si>
    <t xml:space="preserve">V1023</t>
  </si>
  <si>
    <t xml:space="preserve">Masonry Subcontractor D</t>
  </si>
  <si>
    <t xml:space="preserve">Invoice 66743</t>
  </si>
  <si>
    <t xml:space="preserve">V1053</t>
  </si>
  <si>
    <t xml:space="preserve">Structural Steel Subcontractor F</t>
  </si>
  <si>
    <t xml:space="preserve">2025-12-26</t>
  </si>
  <si>
    <t xml:space="preserve">Payroll w/e Dec 26</t>
  </si>
  <si>
    <t xml:space="preserve">Invoice 16838</t>
  </si>
  <si>
    <t xml:space="preserve">2025-12-27</t>
  </si>
  <si>
    <t xml:space="preserve">Invoice 64801</t>
  </si>
  <si>
    <t xml:space="preserve">Invoice 15261</t>
  </si>
  <si>
    <t xml:space="preserve">2025-12-31</t>
  </si>
  <si>
    <t xml:space="preserve">2026-01-02</t>
  </si>
  <si>
    <t xml:space="preserve">Payroll w/e Jan 02</t>
  </si>
  <si>
    <t xml:space="preserve">2026-01-03</t>
  </si>
  <si>
    <t xml:space="preserve">Invoice 69229</t>
  </si>
  <si>
    <t xml:space="preserve">Invoice 94540</t>
  </si>
  <si>
    <t xml:space="preserve">Invoice 54386</t>
  </si>
  <si>
    <t xml:space="preserve">2026-01-05</t>
  </si>
  <si>
    <t xml:space="preserve">Invoice 86571</t>
  </si>
  <si>
    <t xml:space="preserve">Invoice 38097</t>
  </si>
  <si>
    <t xml:space="preserve">2026-01-07</t>
  </si>
  <si>
    <t xml:space="preserve">Invoice 23080</t>
  </si>
  <si>
    <t xml:space="preserve">Invoice 10121</t>
  </si>
  <si>
    <t xml:space="preserve">2026-01-08</t>
  </si>
  <si>
    <t xml:space="preserve">Invoice 29644</t>
  </si>
  <si>
    <t xml:space="preserve">2026-01-09</t>
  </si>
  <si>
    <t xml:space="preserve">Payroll w/e Jan 09</t>
  </si>
  <si>
    <t xml:space="preserve">Invoice 85219</t>
  </si>
  <si>
    <t xml:space="preserve">Invoice 57972</t>
  </si>
  <si>
    <t xml:space="preserve">2026-01-10</t>
  </si>
  <si>
    <t xml:space="preserve">Invoice 31690</t>
  </si>
  <si>
    <t xml:space="preserve">2026-01-11</t>
  </si>
  <si>
    <t xml:space="preserve">Invoice 88967</t>
  </si>
  <si>
    <t xml:space="preserve">Invoice 32142</t>
  </si>
  <si>
    <t xml:space="preserve">Invoice 58583</t>
  </si>
  <si>
    <t xml:space="preserve">Invoice 58773</t>
  </si>
  <si>
    <t xml:space="preserve">Invoice 16183</t>
  </si>
  <si>
    <t xml:space="preserve">Invoice 56624</t>
  </si>
  <si>
    <t xml:space="preserve">2026-01-13</t>
  </si>
  <si>
    <t xml:space="preserve">Invoice 30864</t>
  </si>
  <si>
    <t xml:space="preserve">2026-01-14</t>
  </si>
  <si>
    <t xml:space="preserve">Invoice 75277</t>
  </si>
  <si>
    <t xml:space="preserve">Invoice 49066</t>
  </si>
  <si>
    <t xml:space="preserve">Invoice 17347</t>
  </si>
  <si>
    <t xml:space="preserve">Invoice 61826</t>
  </si>
  <si>
    <t xml:space="preserve">Invoice 10016</t>
  </si>
  <si>
    <t xml:space="preserve">2026-01-15</t>
  </si>
  <si>
    <t xml:space="preserve">Invoice 51530</t>
  </si>
  <si>
    <t xml:space="preserve">2026-01-16</t>
  </si>
  <si>
    <t xml:space="preserve">Payroll w/e Jan 16</t>
  </si>
  <si>
    <t xml:space="preserve">Invoice 92378</t>
  </si>
  <si>
    <t xml:space="preserve">Invoice 33878</t>
  </si>
  <si>
    <t xml:space="preserve">Invoice 69991</t>
  </si>
  <si>
    <t xml:space="preserve">2026-01-17</t>
  </si>
  <si>
    <t xml:space="preserve">Invoice 27775</t>
  </si>
  <si>
    <t xml:space="preserve">Invoice 53325</t>
  </si>
  <si>
    <t xml:space="preserve">Invoice 25695</t>
  </si>
  <si>
    <t xml:space="preserve">2026-01-18</t>
  </si>
  <si>
    <t xml:space="preserve">Invoice 88865</t>
  </si>
  <si>
    <t xml:space="preserve">Invoice 97291</t>
  </si>
  <si>
    <t xml:space="preserve">2026-01-19</t>
  </si>
  <si>
    <t xml:space="preserve">Invoice 50963</t>
  </si>
  <si>
    <t xml:space="preserve">Invoice 16794</t>
  </si>
  <si>
    <t xml:space="preserve">2026-01-20</t>
  </si>
  <si>
    <t xml:space="preserve">Invoice 54311</t>
  </si>
  <si>
    <t xml:space="preserve">2026-01-22</t>
  </si>
  <si>
    <t xml:space="preserve">Invoice 62902</t>
  </si>
  <si>
    <t xml:space="preserve">Invoice 63634</t>
  </si>
  <si>
    <t xml:space="preserve">2026-01-23</t>
  </si>
  <si>
    <t xml:space="preserve">Payroll w/e Jan 23</t>
  </si>
  <si>
    <t xml:space="preserve">Invoice 15152</t>
  </si>
  <si>
    <t xml:space="preserve">2026-01-24</t>
  </si>
  <si>
    <t xml:space="preserve">Invoice 24684</t>
  </si>
  <si>
    <t xml:space="preserve">Invoice 86309</t>
  </si>
  <si>
    <t xml:space="preserve">Invoice 85635</t>
  </si>
  <si>
    <t xml:space="preserve">2026-01-25</t>
  </si>
  <si>
    <t xml:space="preserve">Progress claim Jan 2026</t>
  </si>
  <si>
    <t xml:space="preserve">Invoice 65017</t>
  </si>
  <si>
    <t xml:space="preserve">V1034</t>
  </si>
  <si>
    <t xml:space="preserve">Invoice 87659</t>
  </si>
  <si>
    <t xml:space="preserve">V1043</t>
  </si>
  <si>
    <t xml:space="preserve">Structural Steel Subcontractor E</t>
  </si>
  <si>
    <t xml:space="preserve">V1057</t>
  </si>
  <si>
    <t xml:space="preserve">Mechanical Subcontractor E</t>
  </si>
  <si>
    <t xml:space="preserve">V1058</t>
  </si>
  <si>
    <t xml:space="preserve">Invoice 35605</t>
  </si>
  <si>
    <t xml:space="preserve">Invoice 37946</t>
  </si>
  <si>
    <t xml:space="preserve">V1078</t>
  </si>
  <si>
    <t xml:space="preserve">2026-01-26</t>
  </si>
  <si>
    <t xml:space="preserve">Invoice 41574</t>
  </si>
  <si>
    <t xml:space="preserve">Invoice 56350</t>
  </si>
  <si>
    <t xml:space="preserve">2026-01-27</t>
  </si>
  <si>
    <t xml:space="preserve">Invoice 15961</t>
  </si>
  <si>
    <t xml:space="preserve">2026-01-30</t>
  </si>
  <si>
    <t xml:space="preserve">Payroll w/e Jan 30</t>
  </si>
  <si>
    <t xml:space="preserve">2026-01-31</t>
  </si>
  <si>
    <t xml:space="preserve">2026-02-03</t>
  </si>
  <si>
    <t xml:space="preserve">Invoice 78633</t>
  </si>
  <si>
    <t xml:space="preserve">Invoice 16195</t>
  </si>
  <si>
    <t xml:space="preserve">2026-02-04</t>
  </si>
  <si>
    <t xml:space="preserve">Invoice 67151</t>
  </si>
  <si>
    <t xml:space="preserve">2026-02-05</t>
  </si>
  <si>
    <t xml:space="preserve">Invoice 20620</t>
  </si>
  <si>
    <t xml:space="preserve">Invoice 99070</t>
  </si>
  <si>
    <t xml:space="preserve">Invoice 68920</t>
  </si>
  <si>
    <t xml:space="preserve">Invoice 83096</t>
  </si>
  <si>
    <t xml:space="preserve">2026-02-06</t>
  </si>
  <si>
    <t xml:space="preserve">Payroll w/e Feb 06</t>
  </si>
  <si>
    <t xml:space="preserve">Invoice 42413</t>
  </si>
  <si>
    <t xml:space="preserve">Invoice 24237</t>
  </si>
  <si>
    <t xml:space="preserve">2026-02-08</t>
  </si>
  <si>
    <t xml:space="preserve">Invoice 59705</t>
  </si>
  <si>
    <t xml:space="preserve">Invoice 14395</t>
  </si>
  <si>
    <t xml:space="preserve">2026-02-09</t>
  </si>
  <si>
    <t xml:space="preserve">Invoice 42297</t>
  </si>
  <si>
    <t xml:space="preserve">2026-02-10</t>
  </si>
  <si>
    <t xml:space="preserve">Invoice 21585</t>
  </si>
  <si>
    <t xml:space="preserve">Invoice 72892</t>
  </si>
  <si>
    <t xml:space="preserve">Invoice 85921</t>
  </si>
  <si>
    <t xml:space="preserve">2026-02-11</t>
  </si>
  <si>
    <t xml:space="preserve">Invoice 17006</t>
  </si>
  <si>
    <t xml:space="preserve">Invoice 10854</t>
  </si>
  <si>
    <t xml:space="preserve">2026-02-12</t>
  </si>
  <si>
    <t xml:space="preserve">Invoice 70002</t>
  </si>
  <si>
    <t xml:space="preserve">2026-02-13</t>
  </si>
  <si>
    <t xml:space="preserve">Payroll w/e Feb 13</t>
  </si>
  <si>
    <t xml:space="preserve">Invoice 36969</t>
  </si>
  <si>
    <t xml:space="preserve">Invoice 47005</t>
  </si>
  <si>
    <t xml:space="preserve">2026-02-14</t>
  </si>
  <si>
    <t xml:space="preserve">Invoice 14702</t>
  </si>
  <si>
    <t xml:space="preserve">Invoice 10591</t>
  </si>
  <si>
    <t xml:space="preserve">2026-02-15</t>
  </si>
  <si>
    <t xml:space="preserve">Invoice 21572</t>
  </si>
  <si>
    <t xml:space="preserve">Invoice 37136</t>
  </si>
  <si>
    <t xml:space="preserve">2026-02-16</t>
  </si>
  <si>
    <t xml:space="preserve">Invoice 76932</t>
  </si>
  <si>
    <t xml:space="preserve">Invoice 88077</t>
  </si>
  <si>
    <t xml:space="preserve">Invoice 95765</t>
  </si>
  <si>
    <t xml:space="preserve">2026-02-17</t>
  </si>
  <si>
    <t xml:space="preserve">Invoice 91000</t>
  </si>
  <si>
    <t xml:space="preserve">2026-02-19</t>
  </si>
  <si>
    <t xml:space="preserve">Invoice 83827</t>
  </si>
  <si>
    <t xml:space="preserve">Invoice 64000</t>
  </si>
  <si>
    <t xml:space="preserve">2026-02-20</t>
  </si>
  <si>
    <t xml:space="preserve">Payroll w/e Feb 20</t>
  </si>
  <si>
    <t xml:space="preserve">Invoice 21054</t>
  </si>
  <si>
    <t xml:space="preserve">2026-02-21</t>
  </si>
  <si>
    <t xml:space="preserve">Invoice 99819</t>
  </si>
  <si>
    <t xml:space="preserve">2026-02-22</t>
  </si>
  <si>
    <t xml:space="preserve">Invoice 73738</t>
  </si>
  <si>
    <t xml:space="preserve">2026-02-23</t>
  </si>
  <si>
    <t xml:space="preserve">Invoice 16489</t>
  </si>
  <si>
    <t xml:space="preserve">2026-02-25</t>
  </si>
  <si>
    <t xml:space="preserve">Progress claim Feb 2026</t>
  </si>
  <si>
    <t xml:space="preserve">Invoice 37679</t>
  </si>
  <si>
    <t xml:space="preserve">V1025</t>
  </si>
  <si>
    <t xml:space="preserve">Roofing Subcontractor F</t>
  </si>
  <si>
    <t xml:space="preserve">Invoice 42737</t>
  </si>
  <si>
    <t xml:space="preserve">Invoice 24719</t>
  </si>
  <si>
    <t xml:space="preserve">V1047</t>
  </si>
  <si>
    <t xml:space="preserve">V1048</t>
  </si>
  <si>
    <t xml:space="preserve">Electrical Subcontractor E</t>
  </si>
  <si>
    <t xml:space="preserve">Invoice 86221</t>
  </si>
  <si>
    <t xml:space="preserve">V1052</t>
  </si>
  <si>
    <t xml:space="preserve">V1063</t>
  </si>
  <si>
    <t xml:space="preserve">2026-02-26</t>
  </si>
  <si>
    <t xml:space="preserve">Invoice 56850</t>
  </si>
  <si>
    <t xml:space="preserve">Invoice 90627</t>
  </si>
  <si>
    <t xml:space="preserve">2026-02-27</t>
  </si>
  <si>
    <t xml:space="preserve">Payroll w/e Feb 27</t>
  </si>
  <si>
    <t xml:space="preserve">Invoice 40075</t>
  </si>
  <si>
    <t xml:space="preserve">Invoice 65846</t>
  </si>
  <si>
    <t xml:space="preserve">Invoice 13755</t>
  </si>
  <si>
    <t xml:space="preserve">Invoice 87344</t>
  </si>
  <si>
    <t xml:space="preserve">Invoice 61604</t>
  </si>
  <si>
    <t xml:space="preserve">2026-02-28</t>
  </si>
  <si>
    <t xml:space="preserve">2026-03-04</t>
  </si>
  <si>
    <t xml:space="preserve">Invoice 75507</t>
  </si>
  <si>
    <t xml:space="preserve">2026-03-05</t>
  </si>
  <si>
    <t xml:space="preserve">Invoice 71633</t>
  </si>
  <si>
    <t xml:space="preserve">Invoice 78387</t>
  </si>
  <si>
    <t xml:space="preserve">Invoice 60956</t>
  </si>
  <si>
    <t xml:space="preserve">2026-03-06</t>
  </si>
  <si>
    <t xml:space="preserve">Payroll w/e Mar 06</t>
  </si>
  <si>
    <t xml:space="preserve">2026-03-07</t>
  </si>
  <si>
    <t xml:space="preserve">Invoice 21504</t>
  </si>
  <si>
    <t xml:space="preserve">Invoice 66708</t>
  </si>
  <si>
    <t xml:space="preserve">Invoice 30512</t>
  </si>
  <si>
    <t xml:space="preserve">2026-03-09</t>
  </si>
  <si>
    <t xml:space="preserve">Invoice 28579</t>
  </si>
  <si>
    <t xml:space="preserve">2026-03-10</t>
  </si>
  <si>
    <t xml:space="preserve">Invoice 32020</t>
  </si>
  <si>
    <t xml:space="preserve">2026-03-11</t>
  </si>
  <si>
    <t xml:space="preserve">Invoice 38813</t>
  </si>
  <si>
    <t xml:space="preserve">Invoice 94936</t>
  </si>
  <si>
    <t xml:space="preserve">Invoice 33229</t>
  </si>
  <si>
    <t xml:space="preserve">2026-03-12</t>
  </si>
  <si>
    <t xml:space="preserve">Invoice 61661</t>
  </si>
  <si>
    <t xml:space="preserve">V1080</t>
  </si>
  <si>
    <t xml:space="preserve">Cast-in-Place Concrete Supplier E</t>
  </si>
  <si>
    <t xml:space="preserve">Invoice 92939</t>
  </si>
  <si>
    <t xml:space="preserve">2026-03-13</t>
  </si>
  <si>
    <t xml:space="preserve">Payroll w/e Mar 13</t>
  </si>
  <si>
    <t xml:space="preserve">Invoice 32529</t>
  </si>
  <si>
    <t xml:space="preserve">Invoice 53725</t>
  </si>
  <si>
    <t xml:space="preserve">Invoice 42526</t>
  </si>
  <si>
    <t xml:space="preserve">2026-03-14</t>
  </si>
  <si>
    <t xml:space="preserve">Invoice 63451</t>
  </si>
  <si>
    <t xml:space="preserve">Invoice 88913</t>
  </si>
  <si>
    <t xml:space="preserve">2026-03-15</t>
  </si>
  <si>
    <t xml:space="preserve">Invoice 18879</t>
  </si>
  <si>
    <t xml:space="preserve">Invoice 41111</t>
  </si>
  <si>
    <t xml:space="preserve">2026-03-16</t>
  </si>
  <si>
    <t xml:space="preserve">Invoice 82692</t>
  </si>
  <si>
    <t xml:space="preserve">Invoice 54105</t>
  </si>
  <si>
    <t xml:space="preserve">Invoice 53992</t>
  </si>
  <si>
    <t xml:space="preserve">2026-03-17</t>
  </si>
  <si>
    <t xml:space="preserve">Invoice 83024</t>
  </si>
  <si>
    <t xml:space="preserve">Invoice 94377</t>
  </si>
  <si>
    <t xml:space="preserve">Invoice 73105</t>
  </si>
  <si>
    <t xml:space="preserve">Invoice 30480</t>
  </si>
  <si>
    <t xml:space="preserve">2026-03-18</t>
  </si>
  <si>
    <t xml:space="preserve">Invoice 64780</t>
  </si>
  <si>
    <t xml:space="preserve">2026-03-20</t>
  </si>
  <si>
    <t xml:space="preserve">Payroll w/e Mar 20</t>
  </si>
  <si>
    <t xml:space="preserve">V1079</t>
  </si>
  <si>
    <t xml:space="preserve">Invoice 52538</t>
  </si>
  <si>
    <t xml:space="preserve">2026-03-21</t>
  </si>
  <si>
    <t xml:space="preserve">Invoice 35907</t>
  </si>
  <si>
    <t xml:space="preserve">2026-03-22</t>
  </si>
  <si>
    <t xml:space="preserve">Invoice 24390</t>
  </si>
  <si>
    <t xml:space="preserve">Invoice 65688</t>
  </si>
  <si>
    <t xml:space="preserve">2026-03-23</t>
  </si>
  <si>
    <t xml:space="preserve">Invoice 34606</t>
  </si>
  <si>
    <t xml:space="preserve">Invoice 25953</t>
  </si>
  <si>
    <t xml:space="preserve">2026-03-24</t>
  </si>
  <si>
    <t xml:space="preserve">Invoice 92603</t>
  </si>
  <si>
    <t xml:space="preserve">Invoice 84560</t>
  </si>
  <si>
    <t xml:space="preserve">2026-03-25</t>
  </si>
  <si>
    <t xml:space="preserve">Invoice 51789</t>
  </si>
  <si>
    <t xml:space="preserve">Progress claim Mar 2026</t>
  </si>
  <si>
    <t xml:space="preserve">V1042</t>
  </si>
  <si>
    <t xml:space="preserve">Masonry Subcontractor G</t>
  </si>
  <si>
    <t xml:space="preserve">V1054</t>
  </si>
  <si>
    <t xml:space="preserve">V1067</t>
  </si>
  <si>
    <t xml:space="preserve">Mechanical Subcontractor C</t>
  </si>
  <si>
    <t xml:space="preserve">V1068</t>
  </si>
  <si>
    <t xml:space="preserve">Electrical Subcontractor D</t>
  </si>
  <si>
    <t xml:space="preserve">V1072</t>
  </si>
  <si>
    <t xml:space="preserve">V1076</t>
  </si>
  <si>
    <t xml:space="preserve">V1077</t>
  </si>
  <si>
    <t xml:space="preserve">Invoice 47316</t>
  </si>
  <si>
    <t xml:space="preserve">V1085</t>
  </si>
  <si>
    <t xml:space="preserve">2026-03-26</t>
  </si>
  <si>
    <t xml:space="preserve">Invoice 89703</t>
  </si>
  <si>
    <t xml:space="preserve">Invoice 56064</t>
  </si>
  <si>
    <t xml:space="preserve">Invoice 58805</t>
  </si>
  <si>
    <t xml:space="preserve">2026-03-27</t>
  </si>
  <si>
    <t xml:space="preserve">Payroll w/e Mar 27</t>
  </si>
  <si>
    <t xml:space="preserve">Invoice 88084</t>
  </si>
  <si>
    <t xml:space="preserve">2026-03-31</t>
  </si>
  <si>
    <t xml:space="preserve">2026-04-03</t>
  </si>
  <si>
    <t xml:space="preserve">Payroll w/e Apr 03</t>
  </si>
  <si>
    <t xml:space="preserve">Invoice 70054</t>
  </si>
  <si>
    <t xml:space="preserve">2026-04-04</t>
  </si>
  <si>
    <t xml:space="preserve">Invoice 24562</t>
  </si>
  <si>
    <t xml:space="preserve">Invoice 15320</t>
  </si>
  <si>
    <t xml:space="preserve">2026-04-05</t>
  </si>
  <si>
    <t xml:space="preserve">Invoice 30924</t>
  </si>
  <si>
    <t xml:space="preserve">Invoice 11175</t>
  </si>
  <si>
    <t xml:space="preserve">V1087</t>
  </si>
  <si>
    <t xml:space="preserve">Cast-in-Place Concrete Supplier B</t>
  </si>
  <si>
    <t xml:space="preserve">Invoice 87114</t>
  </si>
  <si>
    <t xml:space="preserve">2026-04-06</t>
  </si>
  <si>
    <t xml:space="preserve">Invoice 45581</t>
  </si>
  <si>
    <t xml:space="preserve">2026-04-09</t>
  </si>
  <si>
    <t xml:space="preserve">Invoice 90015</t>
  </si>
  <si>
    <t xml:space="preserve">V1086</t>
  </si>
  <si>
    <t xml:space="preserve">Invoice 20036</t>
  </si>
  <si>
    <t xml:space="preserve">2026-04-10</t>
  </si>
  <si>
    <t xml:space="preserve">Payroll w/e Apr 10</t>
  </si>
  <si>
    <t xml:space="preserve">Invoice 31749</t>
  </si>
  <si>
    <t xml:space="preserve">Invoice 63784</t>
  </si>
  <si>
    <t xml:space="preserve">Invoice 95966</t>
  </si>
  <si>
    <t xml:space="preserve">Invoice 19841</t>
  </si>
  <si>
    <t xml:space="preserve">Invoice 62872</t>
  </si>
  <si>
    <t xml:space="preserve">2026-04-11</t>
  </si>
  <si>
    <t xml:space="preserve">V1016</t>
  </si>
  <si>
    <t xml:space="preserve">Doors Supplier F</t>
  </si>
  <si>
    <t xml:space="preserve">Invoice 64440</t>
  </si>
  <si>
    <t xml:space="preserve">Invoice 48095</t>
  </si>
  <si>
    <t xml:space="preserve">Invoice 22488</t>
  </si>
  <si>
    <t xml:space="preserve">2026-04-12</t>
  </si>
  <si>
    <t xml:space="preserve">Invoice 51232</t>
  </si>
  <si>
    <t xml:space="preserve">2026-04-13</t>
  </si>
  <si>
    <t xml:space="preserve">Invoice 70390</t>
  </si>
  <si>
    <t xml:space="preserve">2026-04-15</t>
  </si>
  <si>
    <t xml:space="preserve">Invoice 99119</t>
  </si>
  <si>
    <t xml:space="preserve">Invoice 16722</t>
  </si>
  <si>
    <t xml:space="preserve">2026-04-16</t>
  </si>
  <si>
    <t xml:space="preserve">Invoice 10884</t>
  </si>
  <si>
    <t xml:space="preserve">Invoice 80423</t>
  </si>
  <si>
    <t xml:space="preserve">Invoice 45695</t>
  </si>
  <si>
    <t xml:space="preserve">Invoice 24981</t>
  </si>
  <si>
    <t xml:space="preserve">2026-04-17</t>
  </si>
  <si>
    <t xml:space="preserve">Payroll w/e Apr 17</t>
  </si>
  <si>
    <t xml:space="preserve">V1035</t>
  </si>
  <si>
    <t xml:space="preserve">Doors Supplier D</t>
  </si>
  <si>
    <t xml:space="preserve">Invoice 95912</t>
  </si>
  <si>
    <t xml:space="preserve">Invoice 56973</t>
  </si>
  <si>
    <t xml:space="preserve">2026-04-18</t>
  </si>
  <si>
    <t xml:space="preserve">Invoice 38648</t>
  </si>
  <si>
    <t xml:space="preserve">2026-04-19</t>
  </si>
  <si>
    <t xml:space="preserve">Invoice 95509</t>
  </si>
  <si>
    <t xml:space="preserve">2026-04-20</t>
  </si>
  <si>
    <t xml:space="preserve">Invoice 71087</t>
  </si>
  <si>
    <t xml:space="preserve">Invoice 48314</t>
  </si>
  <si>
    <t xml:space="preserve">Invoice 32021</t>
  </si>
  <si>
    <t xml:space="preserve">2026-04-21</t>
  </si>
  <si>
    <t xml:space="preserve">Invoice 46279</t>
  </si>
  <si>
    <t xml:space="preserve">Invoice 11856</t>
  </si>
  <si>
    <t xml:space="preserve">2026-04-22</t>
  </si>
  <si>
    <t xml:space="preserve">Invoice 51946</t>
  </si>
  <si>
    <t xml:space="preserve">2026-04-23</t>
  </si>
  <si>
    <t xml:space="preserve">Invoice 35855</t>
  </si>
  <si>
    <t xml:space="preserve">Invoice 84883</t>
  </si>
  <si>
    <t xml:space="preserve">2026-04-24</t>
  </si>
  <si>
    <t xml:space="preserve">Payroll w/e Apr 24</t>
  </si>
  <si>
    <t xml:space="preserve">Invoice 46494</t>
  </si>
  <si>
    <t xml:space="preserve">Invoice 23611</t>
  </si>
  <si>
    <t xml:space="preserve">Invoice 70063</t>
  </si>
  <si>
    <t xml:space="preserve">Invoice 96314</t>
  </si>
  <si>
    <t xml:space="preserve">2026-04-25</t>
  </si>
  <si>
    <t xml:space="preserve">Invoice 46344</t>
  </si>
  <si>
    <t xml:space="preserve">Progress claim Apr 2026</t>
  </si>
  <si>
    <t xml:space="preserve">V1017</t>
  </si>
  <si>
    <t xml:space="preserve">Invoice 26309</t>
  </si>
  <si>
    <t xml:space="preserve">V1036</t>
  </si>
  <si>
    <t xml:space="preserve">Drywall Subcontractor F</t>
  </si>
  <si>
    <t xml:space="preserve">Invoice 21733</t>
  </si>
  <si>
    <t xml:space="preserve">Invoice 62241</t>
  </si>
  <si>
    <t xml:space="preserve">V1062</t>
  </si>
  <si>
    <t xml:space="preserve">Invoice 91118</t>
  </si>
  <si>
    <t xml:space="preserve">2026-04-26</t>
  </si>
  <si>
    <t xml:space="preserve">Invoice 96988</t>
  </si>
  <si>
    <t xml:space="preserve">Invoice 98791</t>
  </si>
  <si>
    <t xml:space="preserve">2026-04-27</t>
  </si>
  <si>
    <t xml:space="preserve">Invoice 10993</t>
  </si>
  <si>
    <t xml:space="preserve">2026-04-30</t>
  </si>
  <si>
    <t xml:space="preserve">2026-05-01</t>
  </si>
  <si>
    <t xml:space="preserve">Payroll w/e May 01</t>
  </si>
  <si>
    <t xml:space="preserve">2026-05-03</t>
  </si>
  <si>
    <t xml:space="preserve">Invoice 95136</t>
  </si>
  <si>
    <t xml:space="preserve">2026-05-05</t>
  </si>
  <si>
    <t xml:space="preserve">Invoice 83640</t>
  </si>
  <si>
    <t xml:space="preserve">Invoice 18712</t>
  </si>
  <si>
    <t xml:space="preserve">Invoice 54762</t>
  </si>
  <si>
    <t xml:space="preserve">2026-05-06</t>
  </si>
  <si>
    <t xml:space="preserve">Invoice 62839</t>
  </si>
  <si>
    <t xml:space="preserve">Invoice 14596</t>
  </si>
  <si>
    <t xml:space="preserve">2026-05-07</t>
  </si>
  <si>
    <t xml:space="preserve">Invoice 54850</t>
  </si>
  <si>
    <t xml:space="preserve">Invoice 31871</t>
  </si>
  <si>
    <t xml:space="preserve">Invoice 19286</t>
  </si>
  <si>
    <t xml:space="preserve">Invoice 61605</t>
  </si>
  <si>
    <t xml:space="preserve">2026-05-08</t>
  </si>
  <si>
    <t xml:space="preserve">Payroll w/e May 08</t>
  </si>
  <si>
    <t xml:space="preserve">Invoice 28679</t>
  </si>
  <si>
    <t xml:space="preserve">Invoice 30363</t>
  </si>
  <si>
    <t xml:space="preserve">Invoice 30119</t>
  </si>
  <si>
    <t xml:space="preserve">Invoice 86704</t>
  </si>
  <si>
    <t xml:space="preserve">2026-05-09</t>
  </si>
  <si>
    <t xml:space="preserve">Invoice 12621</t>
  </si>
  <si>
    <t xml:space="preserve">Invoice 16903</t>
  </si>
  <si>
    <t xml:space="preserve">Invoice 97387</t>
  </si>
  <si>
    <t xml:space="preserve">2026-05-10</t>
  </si>
  <si>
    <t xml:space="preserve">Invoice 38018</t>
  </si>
  <si>
    <t xml:space="preserve">2026-05-11</t>
  </si>
  <si>
    <t xml:space="preserve">Invoice 69292</t>
  </si>
  <si>
    <t xml:space="preserve">2026-05-12</t>
  </si>
  <si>
    <t xml:space="preserve">Invoice 11297</t>
  </si>
  <si>
    <t xml:space="preserve">Invoice 27463</t>
  </si>
  <si>
    <t xml:space="preserve">Invoice 14188</t>
  </si>
  <si>
    <t xml:space="preserve">2026-05-14</t>
  </si>
  <si>
    <t xml:space="preserve">Invoice 13336</t>
  </si>
  <si>
    <t xml:space="preserve">Invoice 62737</t>
  </si>
  <si>
    <t xml:space="preserve">Invoice 62333</t>
  </si>
  <si>
    <t xml:space="preserve">Invoice 25954</t>
  </si>
  <si>
    <t xml:space="preserve">2026-05-15</t>
  </si>
  <si>
    <t xml:space="preserve">Payroll w/e May 15</t>
  </si>
  <si>
    <t xml:space="preserve">V1026</t>
  </si>
  <si>
    <t xml:space="preserve">Doors Supplier B</t>
  </si>
  <si>
    <t xml:space="preserve">Invoice 31479</t>
  </si>
  <si>
    <t xml:space="preserve">Invoice 29680</t>
  </si>
  <si>
    <t xml:space="preserve">Invoice 11380</t>
  </si>
  <si>
    <t xml:space="preserve">Invoice 45503</t>
  </si>
  <si>
    <t xml:space="preserve">2026-05-16</t>
  </si>
  <si>
    <t xml:space="preserve">Invoice 68440</t>
  </si>
  <si>
    <t xml:space="preserve">Invoice 79092</t>
  </si>
  <si>
    <t xml:space="preserve">2026-05-17</t>
  </si>
  <si>
    <t xml:space="preserve">Invoice 88693</t>
  </si>
  <si>
    <t xml:space="preserve">2026-05-18</t>
  </si>
  <si>
    <t xml:space="preserve">Invoice 14962</t>
  </si>
  <si>
    <t xml:space="preserve">Invoice 97981</t>
  </si>
  <si>
    <t xml:space="preserve">Invoice 84608</t>
  </si>
  <si>
    <t xml:space="preserve">Invoice 35600</t>
  </si>
  <si>
    <t xml:space="preserve">2026-05-19</t>
  </si>
  <si>
    <t xml:space="preserve">Invoice 36080</t>
  </si>
  <si>
    <t xml:space="preserve">Invoice 89583</t>
  </si>
  <si>
    <t xml:space="preserve">2026-05-20</t>
  </si>
  <si>
    <t xml:space="preserve">Invoice 51582</t>
  </si>
  <si>
    <t xml:space="preserve">2026-05-21</t>
  </si>
  <si>
    <t xml:space="preserve">Invoice 95067</t>
  </si>
  <si>
    <t xml:space="preserve">Invoice 36737</t>
  </si>
  <si>
    <t xml:space="preserve">Invoice 12783</t>
  </si>
  <si>
    <t xml:space="preserve">2026-05-22</t>
  </si>
  <si>
    <t xml:space="preserve">Payroll w/e May 22</t>
  </si>
  <si>
    <t xml:space="preserve">Invoice 69720</t>
  </si>
  <si>
    <t xml:space="preserve">Invoice 92299</t>
  </si>
  <si>
    <t xml:space="preserve">2026-05-23</t>
  </si>
  <si>
    <t xml:space="preserve">Invoice 17972</t>
  </si>
  <si>
    <t xml:space="preserve">Invoice 18508</t>
  </si>
  <si>
    <t xml:space="preserve">Invoice 33521</t>
  </si>
  <si>
    <t xml:space="preserve">2026-05-24</t>
  </si>
  <si>
    <t xml:space="preserve">Invoice 75839</t>
  </si>
  <si>
    <t xml:space="preserve">Invoice 13360</t>
  </si>
  <si>
    <t xml:space="preserve">2026-05-25</t>
  </si>
  <si>
    <t xml:space="preserve">Progress claim May 2026</t>
  </si>
  <si>
    <t xml:space="preserve">Invoice 47905</t>
  </si>
  <si>
    <t xml:space="preserve">V1027</t>
  </si>
  <si>
    <t xml:space="preserve">Invoice 30023</t>
  </si>
  <si>
    <t xml:space="preserve">V1044</t>
  </si>
  <si>
    <t xml:space="preserve">Roofing Subcontractor D</t>
  </si>
  <si>
    <t xml:space="preserve">V1091</t>
  </si>
  <si>
    <t xml:space="preserve">2026-05-26</t>
  </si>
  <si>
    <t xml:space="preserve">Invoice 34644</t>
  </si>
  <si>
    <t xml:space="preserve">2026-05-29</t>
  </si>
  <si>
    <t xml:space="preserve">Payroll w/e May 29</t>
  </si>
  <si>
    <t xml:space="preserve">2026-05-31</t>
  </si>
  <si>
    <t xml:space="preserve">2026-06-03</t>
  </si>
  <si>
    <t xml:space="preserve">Invoice 85045</t>
  </si>
  <si>
    <t xml:space="preserve">Invoice 36333</t>
  </si>
  <si>
    <t xml:space="preserve">Invoice 91159</t>
  </si>
  <si>
    <t xml:space="preserve">2026-06-04</t>
  </si>
  <si>
    <t xml:space="preserve">V1055</t>
  </si>
  <si>
    <t xml:space="preserve">Invoice 87267</t>
  </si>
  <si>
    <t xml:space="preserve">Invoice 13203</t>
  </si>
  <si>
    <t xml:space="preserve">Invoice 53720</t>
  </si>
  <si>
    <t xml:space="preserve">2026-06-05</t>
  </si>
  <si>
    <t xml:space="preserve">Payroll w/e Jun 05</t>
  </si>
  <si>
    <t xml:space="preserve">Invoice 47385</t>
  </si>
  <si>
    <t xml:space="preserve">Invoice 49256</t>
  </si>
  <si>
    <t xml:space="preserve">Invoice 14673</t>
  </si>
  <si>
    <t xml:space="preserve">2026-06-06</t>
  </si>
  <si>
    <t xml:space="preserve">Invoice 60244</t>
  </si>
  <si>
    <t xml:space="preserve">2026-06-07</t>
  </si>
  <si>
    <t xml:space="preserve">Invoice 24653</t>
  </si>
  <si>
    <t xml:space="preserve">Invoice 82456</t>
  </si>
  <si>
    <t xml:space="preserve">Invoice 11423</t>
  </si>
  <si>
    <t xml:space="preserve">2026-06-08</t>
  </si>
  <si>
    <t xml:space="preserve">Invoice 96309</t>
  </si>
  <si>
    <t xml:space="preserve">2026-06-09</t>
  </si>
  <si>
    <t xml:space="preserve">Invoice 54693</t>
  </si>
  <si>
    <t xml:space="preserve">2026-06-10</t>
  </si>
  <si>
    <t xml:space="preserve">Invoice 43189</t>
  </si>
  <si>
    <t xml:space="preserve">2026-06-11</t>
  </si>
  <si>
    <t xml:space="preserve">Invoice 88755</t>
  </si>
  <si>
    <t xml:space="preserve">Invoice 47136</t>
  </si>
  <si>
    <t xml:space="preserve">V1092</t>
  </si>
  <si>
    <t xml:space="preserve">Invoice 22780</t>
  </si>
  <si>
    <t xml:space="preserve">2026-06-12</t>
  </si>
  <si>
    <t xml:space="preserve">Payroll w/e Jun 12</t>
  </si>
  <si>
    <t xml:space="preserve">Invoice 34579</t>
  </si>
  <si>
    <t xml:space="preserve">Invoice 20626</t>
  </si>
  <si>
    <t xml:space="preserve">Invoice 39294</t>
  </si>
  <si>
    <t xml:space="preserve">2026-06-13</t>
  </si>
  <si>
    <t xml:space="preserve">Invoice 55913</t>
  </si>
  <si>
    <t xml:space="preserve">Invoice 49498</t>
  </si>
  <si>
    <t xml:space="preserve">Invoice 44515</t>
  </si>
  <si>
    <t xml:space="preserve">2026-06-15</t>
  </si>
  <si>
    <t xml:space="preserve">Invoice 30775</t>
  </si>
  <si>
    <t xml:space="preserve">Invoice 95377</t>
  </si>
  <si>
    <t xml:space="preserve">2026-06-16</t>
  </si>
  <si>
    <t xml:space="preserve">Invoice 20272</t>
  </si>
  <si>
    <t xml:space="preserve">Invoice 94546</t>
  </si>
  <si>
    <t xml:space="preserve">2026-06-17</t>
  </si>
  <si>
    <t xml:space="preserve">Invoice 14056</t>
  </si>
  <si>
    <t xml:space="preserve">Invoice 10996</t>
  </si>
  <si>
    <t xml:space="preserve">Invoice 88610</t>
  </si>
  <si>
    <t xml:space="preserve">Invoice 63159</t>
  </si>
  <si>
    <t xml:space="preserve">Invoice 85072</t>
  </si>
  <si>
    <t xml:space="preserve">2026-06-19</t>
  </si>
  <si>
    <t xml:space="preserve">Payroll w/e Jun 19</t>
  </si>
  <si>
    <t xml:space="preserve">Invoice 13020</t>
  </si>
  <si>
    <t xml:space="preserve">Invoice 87188</t>
  </si>
  <si>
    <t xml:space="preserve">2026-06-20</t>
  </si>
  <si>
    <t xml:space="preserve">Invoice 96653</t>
  </si>
  <si>
    <t xml:space="preserve">Invoice 37402</t>
  </si>
  <si>
    <t xml:space="preserve">V1093</t>
  </si>
  <si>
    <t xml:space="preserve">Invoice 57465</t>
  </si>
  <si>
    <t xml:space="preserve">2026-06-21</t>
  </si>
  <si>
    <t xml:space="preserve">Invoice 36552</t>
  </si>
  <si>
    <t xml:space="preserve">Invoice 63130</t>
  </si>
  <si>
    <t xml:space="preserve">Invoice 34008</t>
  </si>
  <si>
    <t xml:space="preserve">Invoice 46059</t>
  </si>
  <si>
    <t xml:space="preserve">2026-06-22</t>
  </si>
  <si>
    <t xml:space="preserve">Invoice 44503</t>
  </si>
  <si>
    <t xml:space="preserve">Invoice 26984</t>
  </si>
  <si>
    <t xml:space="preserve">2026-06-23</t>
  </si>
  <si>
    <t xml:space="preserve">Invoice 52015</t>
  </si>
  <si>
    <t xml:space="preserve">2026-06-24</t>
  </si>
  <si>
    <t xml:space="preserve">Invoice 49936</t>
  </si>
  <si>
    <t xml:space="preserve">2026-06-25</t>
  </si>
  <si>
    <t xml:space="preserve">Progress claim Jun 2026</t>
  </si>
  <si>
    <t xml:space="preserve">Invoice 29508</t>
  </si>
  <si>
    <t xml:space="preserve">V1056</t>
  </si>
  <si>
    <t xml:space="preserve">Drywall Subcontractor E</t>
  </si>
  <si>
    <t xml:space="preserve">V1064</t>
  </si>
  <si>
    <t xml:space="preserve">V1073</t>
  </si>
  <si>
    <t xml:space="preserve">V1082</t>
  </si>
  <si>
    <t xml:space="preserve">2026-06-26</t>
  </si>
  <si>
    <t xml:space="preserve">Payroll w/e Jun 26</t>
  </si>
  <si>
    <t xml:space="preserve">2026-06-27</t>
  </si>
  <si>
    <t xml:space="preserve">Invoice 11169</t>
  </si>
  <si>
    <t xml:space="preserve">Invoice 95259</t>
  </si>
  <si>
    <t xml:space="preserve">Invoice 74131</t>
  </si>
  <si>
    <t xml:space="preserve">2026-06-30</t>
  </si>
  <si>
    <t xml:space="preserve">2026-07-03</t>
  </si>
  <si>
    <t xml:space="preserve">Payroll w/e Jul 03</t>
  </si>
  <si>
    <t xml:space="preserve">Invoice 86410</t>
  </si>
  <si>
    <t xml:space="preserve">2026-07-04</t>
  </si>
  <si>
    <t xml:space="preserve">Invoice 61107</t>
  </si>
  <si>
    <t xml:space="preserve">Invoice 13110</t>
  </si>
  <si>
    <t xml:space="preserve">Invoice 97786</t>
  </si>
  <si>
    <t xml:space="preserve">Invoice 94117</t>
  </si>
  <si>
    <t xml:space="preserve">2026-07-07</t>
  </si>
  <si>
    <t xml:space="preserve">Invoice 82687</t>
  </si>
  <si>
    <t xml:space="preserve">2026-07-08</t>
  </si>
  <si>
    <t xml:space="preserve">Invoice 72065</t>
  </si>
  <si>
    <t xml:space="preserve">2026-07-09</t>
  </si>
  <si>
    <t xml:space="preserve">Invoice 63699</t>
  </si>
  <si>
    <t xml:space="preserve">Invoice 51836</t>
  </si>
  <si>
    <t xml:space="preserve">Invoice 34250</t>
  </si>
  <si>
    <t xml:space="preserve">Invoice 92644</t>
  </si>
  <si>
    <t xml:space="preserve">2026-07-10</t>
  </si>
  <si>
    <t xml:space="preserve">Payroll w/e Jul 10</t>
  </si>
  <si>
    <t xml:space="preserve">Invoice 81252</t>
  </si>
  <si>
    <t xml:space="preserve">Invoice 18726</t>
  </si>
  <si>
    <t xml:space="preserve">2026-07-11</t>
  </si>
  <si>
    <t xml:space="preserve">Invoice 41335</t>
  </si>
  <si>
    <t xml:space="preserve">Invoice 58617</t>
  </si>
  <si>
    <t xml:space="preserve">Invoice 38966</t>
  </si>
  <si>
    <t xml:space="preserve">2026-07-12</t>
  </si>
  <si>
    <t xml:space="preserve">Invoice 28237</t>
  </si>
  <si>
    <t xml:space="preserve">Invoice 83848</t>
  </si>
  <si>
    <t xml:space="preserve">Invoice 94382</t>
  </si>
  <si>
    <t xml:space="preserve">Invoice 74948</t>
  </si>
  <si>
    <t xml:space="preserve">2026-07-13</t>
  </si>
  <si>
    <t xml:space="preserve">Invoice 37613</t>
  </si>
  <si>
    <t xml:space="preserve">2026-07-14</t>
  </si>
  <si>
    <t xml:space="preserve">Invoice 88545</t>
  </si>
  <si>
    <t xml:space="preserve">2026-07-15</t>
  </si>
  <si>
    <t xml:space="preserve">Invoice 34447</t>
  </si>
  <si>
    <t xml:space="preserve">2026-07-16</t>
  </si>
  <si>
    <t xml:space="preserve">Invoice 90961</t>
  </si>
  <si>
    <t xml:space="preserve">Invoice 61003</t>
  </si>
  <si>
    <t xml:space="preserve">2026-07-17</t>
  </si>
  <si>
    <t xml:space="preserve">Payroll w/e Jul 17</t>
  </si>
  <si>
    <t xml:space="preserve">Invoice 82536</t>
  </si>
  <si>
    <t xml:space="preserve">Invoice 17064</t>
  </si>
  <si>
    <t xml:space="preserve">2026-07-18</t>
  </si>
  <si>
    <t xml:space="preserve">Invoice 76484</t>
  </si>
  <si>
    <t xml:space="preserve">Invoice 50680</t>
  </si>
  <si>
    <t xml:space="preserve">Invoice 33262</t>
  </si>
  <si>
    <t xml:space="preserve">Invoice 47515</t>
  </si>
  <si>
    <t xml:space="preserve">2026-07-19</t>
  </si>
  <si>
    <t xml:space="preserve">Invoice 64824</t>
  </si>
  <si>
    <t xml:space="preserve">2026-07-20</t>
  </si>
  <si>
    <t xml:space="preserve">Invoice 98604</t>
  </si>
  <si>
    <t xml:space="preserve">Invoice 15586</t>
  </si>
  <si>
    <t xml:space="preserve">2026-07-21</t>
  </si>
  <si>
    <t xml:space="preserve">Invoice 89659</t>
  </si>
  <si>
    <t xml:space="preserve">Invoice 34296</t>
  </si>
  <si>
    <t xml:space="preserve">2026-07-23</t>
  </si>
  <si>
    <t xml:space="preserve">Invoice 92241</t>
  </si>
  <si>
    <t xml:space="preserve">Invoice 67627</t>
  </si>
  <si>
    <t xml:space="preserve">Invoice 92843</t>
  </si>
  <si>
    <t xml:space="preserve">Invoice 35227</t>
  </si>
  <si>
    <t xml:space="preserve">2026-07-24</t>
  </si>
  <si>
    <t xml:space="preserve">Payroll w/e Jul 24</t>
  </si>
  <si>
    <t xml:space="preserve">Invoice 10998</t>
  </si>
  <si>
    <t xml:space="preserve">Invoice 92287</t>
  </si>
  <si>
    <t xml:space="preserve">2026-07-25</t>
  </si>
  <si>
    <t xml:space="preserve">Progress claim Jul 2026</t>
  </si>
  <si>
    <t xml:space="preserve">V1083</t>
  </si>
  <si>
    <t xml:space="preserve">V1084</t>
  </si>
  <si>
    <t xml:space="preserve">V1088</t>
  </si>
  <si>
    <t xml:space="preserve">V1089</t>
  </si>
  <si>
    <t xml:space="preserve">V1090</t>
  </si>
  <si>
    <t xml:space="preserve">V1098</t>
  </si>
  <si>
    <t xml:space="preserve">2026-07-26</t>
  </si>
  <si>
    <t xml:space="preserve">Invoice 39899</t>
  </si>
  <si>
    <t xml:space="preserve">2026-07-27</t>
  </si>
  <si>
    <t xml:space="preserve">Invoice 52331</t>
  </si>
  <si>
    <t xml:space="preserve">Invoice 26801</t>
  </si>
  <si>
    <t xml:space="preserve">2026-07-31</t>
  </si>
  <si>
    <t xml:space="preserve">Payroll w/e Jul 31</t>
  </si>
  <si>
    <t xml:space="preserve">2026-08-04</t>
  </si>
  <si>
    <t xml:space="preserve">Invoice 96062</t>
  </si>
  <si>
    <t xml:space="preserve">2026-08-05</t>
  </si>
  <si>
    <t xml:space="preserve">Invoice 25958</t>
  </si>
  <si>
    <t xml:space="preserve">2026-08-06</t>
  </si>
  <si>
    <t xml:space="preserve">Invoice 77784</t>
  </si>
  <si>
    <t xml:space="preserve">Invoice 47690</t>
  </si>
  <si>
    <t xml:space="preserve">Invoice 39353</t>
  </si>
  <si>
    <t xml:space="preserve">Invoice 36107</t>
  </si>
  <si>
    <t xml:space="preserve">Invoice 66574</t>
  </si>
  <si>
    <t xml:space="preserve">V1099</t>
  </si>
  <si>
    <t xml:space="preserve">Invoice 17652</t>
  </si>
  <si>
    <t xml:space="preserve">2026-08-07</t>
  </si>
  <si>
    <t xml:space="preserve">Payroll w/e Aug 07</t>
  </si>
  <si>
    <t xml:space="preserve">Invoice 79504</t>
  </si>
  <si>
    <t xml:space="preserve">V1065</t>
  </si>
  <si>
    <t xml:space="preserve">Invoice 15061</t>
  </si>
  <si>
    <t xml:space="preserve">2026-08-08</t>
  </si>
  <si>
    <t xml:space="preserve">Invoice 98580</t>
  </si>
  <si>
    <t xml:space="preserve">Invoice 79424</t>
  </si>
  <si>
    <t xml:space="preserve">V1074</t>
  </si>
  <si>
    <t xml:space="preserve">Invoice 67860</t>
  </si>
  <si>
    <t xml:space="preserve">Invoice 62187</t>
  </si>
  <si>
    <t xml:space="preserve">2026-08-10</t>
  </si>
  <si>
    <t xml:space="preserve">Invoice 53676</t>
  </si>
  <si>
    <t xml:space="preserve">Invoice 35934</t>
  </si>
  <si>
    <t xml:space="preserve">Invoice 89532</t>
  </si>
  <si>
    <t xml:space="preserve">2026-08-12</t>
  </si>
  <si>
    <t xml:space="preserve">Invoice 42071</t>
  </si>
  <si>
    <t xml:space="preserve">Invoice 97466</t>
  </si>
  <si>
    <t xml:space="preserve">V1100</t>
  </si>
  <si>
    <t xml:space="preserve">Invoice 17926</t>
  </si>
  <si>
    <t xml:space="preserve">2026-08-13</t>
  </si>
  <si>
    <t xml:space="preserve">Invoice 15773</t>
  </si>
  <si>
    <t xml:space="preserve">Invoice 49898</t>
  </si>
  <si>
    <t xml:space="preserve">Invoice 48506</t>
  </si>
  <si>
    <t xml:space="preserve">2026-08-14</t>
  </si>
  <si>
    <t xml:space="preserve">Payroll w/e Aug 14</t>
  </si>
  <si>
    <t xml:space="preserve">Invoice 90333</t>
  </si>
  <si>
    <t xml:space="preserve">2026-08-15</t>
  </si>
  <si>
    <t xml:space="preserve">Invoice 67288</t>
  </si>
  <si>
    <t xml:space="preserve">Invoice 11355</t>
  </si>
  <si>
    <t xml:space="preserve">Invoice 53353</t>
  </si>
  <si>
    <t xml:space="preserve">Invoice 73558</t>
  </si>
  <si>
    <t xml:space="preserve">2026-08-16</t>
  </si>
  <si>
    <t xml:space="preserve">Invoice 62796</t>
  </si>
  <si>
    <t xml:space="preserve">Invoice 83368</t>
  </si>
  <si>
    <t xml:space="preserve">Invoice 67911</t>
  </si>
  <si>
    <t xml:space="preserve">2026-08-17</t>
  </si>
  <si>
    <t xml:space="preserve">Invoice 90461</t>
  </si>
  <si>
    <t xml:space="preserve">Invoice 66383</t>
  </si>
  <si>
    <t xml:space="preserve">Invoice 64414</t>
  </si>
  <si>
    <t xml:space="preserve">Invoice 78768</t>
  </si>
  <si>
    <t xml:space="preserve">2026-08-18</t>
  </si>
  <si>
    <t xml:space="preserve">Invoice 93508</t>
  </si>
  <si>
    <t xml:space="preserve">Invoice 12009</t>
  </si>
  <si>
    <t xml:space="preserve">Invoice 38362</t>
  </si>
  <si>
    <t xml:space="preserve">Invoice 95240</t>
  </si>
  <si>
    <t xml:space="preserve">2026-08-19</t>
  </si>
  <si>
    <t xml:space="preserve">Invoice 83144</t>
  </si>
  <si>
    <t xml:space="preserve">Invoice 99270</t>
  </si>
  <si>
    <t xml:space="preserve">2026-08-20</t>
  </si>
  <si>
    <t xml:space="preserve">Invoice 59890</t>
  </si>
  <si>
    <t xml:space="preserve">Invoice 79798</t>
  </si>
  <si>
    <t xml:space="preserve">Invoice 83465</t>
  </si>
  <si>
    <t xml:space="preserve">2026-08-21</t>
  </si>
  <si>
    <t xml:space="preserve">Payroll w/e Aug 21</t>
  </si>
  <si>
    <t xml:space="preserve">Invoice 33984</t>
  </si>
  <si>
    <t xml:space="preserve">Invoice 74021</t>
  </si>
  <si>
    <t xml:space="preserve">Invoice 99099</t>
  </si>
  <si>
    <t xml:space="preserve">2026-08-22</t>
  </si>
  <si>
    <t xml:space="preserve">Invoice 95975</t>
  </si>
  <si>
    <t xml:space="preserve">Invoice 60452</t>
  </si>
  <si>
    <t xml:space="preserve">2026-08-23</t>
  </si>
  <si>
    <t xml:space="preserve">Invoice 84004</t>
  </si>
  <si>
    <t xml:space="preserve">2026-08-24</t>
  </si>
  <si>
    <t xml:space="preserve">Invoice 76756</t>
  </si>
  <si>
    <t xml:space="preserve">Invoice 37641</t>
  </si>
  <si>
    <t xml:space="preserve">2026-08-25</t>
  </si>
  <si>
    <t xml:space="preserve">Progress claim Aug 2026</t>
  </si>
  <si>
    <t xml:space="preserve">V1066</t>
  </si>
  <si>
    <t xml:space="preserve">Invoice 80302</t>
  </si>
  <si>
    <t xml:space="preserve">V1075</t>
  </si>
  <si>
    <t xml:space="preserve">Drywall Subcontractor G</t>
  </si>
  <si>
    <t xml:space="preserve">Invoice 48480</t>
  </si>
  <si>
    <t xml:space="preserve">V1081</t>
  </si>
  <si>
    <t xml:space="preserve">Masonry Subcontractor E</t>
  </si>
  <si>
    <t xml:space="preserve">Invoice 80534</t>
  </si>
  <si>
    <t xml:space="preserve">V1095</t>
  </si>
  <si>
    <t xml:space="preserve">V1096</t>
  </si>
  <si>
    <t xml:space="preserve">V1097</t>
  </si>
  <si>
    <t xml:space="preserve">2026-08-26</t>
  </si>
  <si>
    <t xml:space="preserve">Invoice 37547</t>
  </si>
  <si>
    <t xml:space="preserve">Invoice 45100</t>
  </si>
  <si>
    <t xml:space="preserve">2026-08-27</t>
  </si>
  <si>
    <t xml:space="preserve">Invoice 29002</t>
  </si>
  <si>
    <t xml:space="preserve">Payroll w/e Aug 28</t>
  </si>
  <si>
    <t xml:space="preserve">2026-08-31</t>
  </si>
  <si>
    <t xml:space="preserve">2026-09-03</t>
  </si>
  <si>
    <t xml:space="preserve">Invoice 29876</t>
  </si>
  <si>
    <t xml:space="preserve">Invoice 65548</t>
  </si>
  <si>
    <t xml:space="preserve">Invoice 67158</t>
  </si>
  <si>
    <t xml:space="preserve">2026-09-04</t>
  </si>
  <si>
    <t xml:space="preserve">Invoice 18883</t>
  </si>
  <si>
    <t xml:space="preserve">Payroll w/e Sep 04</t>
  </si>
  <si>
    <t xml:space="preserve">V1045</t>
  </si>
  <si>
    <t xml:space="preserve">Invoice 14185</t>
  </si>
  <si>
    <t xml:space="preserve">Invoice 25185</t>
  </si>
  <si>
    <t xml:space="preserve">2026-09-05</t>
  </si>
  <si>
    <t xml:space="preserve">Invoice 98220</t>
  </si>
  <si>
    <t xml:space="preserve">Invoice 26629</t>
  </si>
  <si>
    <t xml:space="preserve">Invoice 79940</t>
  </si>
  <si>
    <t xml:space="preserve">Invoice 17325</t>
  </si>
  <si>
    <t xml:space="preserve">2026-09-06</t>
  </si>
  <si>
    <t xml:space="preserve">Invoice 53750</t>
  </si>
  <si>
    <t xml:space="preserve">Invoice 98943</t>
  </si>
  <si>
    <t xml:space="preserve">Invoice 65585</t>
  </si>
  <si>
    <t xml:space="preserve">Invoice 66265</t>
  </si>
  <si>
    <t xml:space="preserve">Invoice 76311</t>
  </si>
  <si>
    <t xml:space="preserve">2026-09-07</t>
  </si>
  <si>
    <t xml:space="preserve">Invoice 37334</t>
  </si>
  <si>
    <t xml:space="preserve">Invoice 53060</t>
  </si>
  <si>
    <t xml:space="preserve">Invoice 40764</t>
  </si>
  <si>
    <t xml:space="preserve">Invoice 18874</t>
  </si>
  <si>
    <t xml:space="preserve">Invoice 82207</t>
  </si>
  <si>
    <t xml:space="preserve">Invoice 83451</t>
  </si>
  <si>
    <t xml:space="preserve">2026-09-08</t>
  </si>
  <si>
    <t xml:space="preserve">Invoice 73438</t>
  </si>
  <si>
    <t xml:space="preserve">Invoice 52336</t>
  </si>
  <si>
    <t xml:space="preserve">Invoice 60917</t>
  </si>
  <si>
    <t xml:space="preserve">Invoice 80862</t>
  </si>
  <si>
    <t xml:space="preserve">Invoice 20238</t>
  </si>
  <si>
    <t xml:space="preserve">2026-09-09</t>
  </si>
  <si>
    <t xml:space="preserve">Invoice 32187</t>
  </si>
  <si>
    <t xml:space="preserve">Invoice 93853</t>
  </si>
  <si>
    <t xml:space="preserve">Invoice 81201</t>
  </si>
  <si>
    <t xml:space="preserve">Invoice 41092</t>
  </si>
  <si>
    <t xml:space="preserve">2026-09-11</t>
  </si>
  <si>
    <t xml:space="preserve">Invoice 92302</t>
  </si>
  <si>
    <t xml:space="preserve">Payroll w/e Sep 11</t>
  </si>
  <si>
    <t xml:space="preserve">Invoice 19679</t>
  </si>
  <si>
    <t xml:space="preserve">Invoice 19899</t>
  </si>
  <si>
    <t xml:space="preserve">Invoice 37253</t>
  </si>
  <si>
    <t xml:space="preserve">Invoice 72995</t>
  </si>
  <si>
    <t xml:space="preserve">2026-09-12</t>
  </si>
  <si>
    <t xml:space="preserve">Invoice 78712</t>
  </si>
  <si>
    <t xml:space="preserve">2026-09-13</t>
  </si>
  <si>
    <t xml:space="preserve">Invoice 33916</t>
  </si>
  <si>
    <t xml:space="preserve">Invoice 78724</t>
  </si>
  <si>
    <t xml:space="preserve">Invoice 26923</t>
  </si>
  <si>
    <t xml:space="preserve">Invoice 64368</t>
  </si>
  <si>
    <t xml:space="preserve">Invoice 18222</t>
  </si>
  <si>
    <t xml:space="preserve">2026-09-14</t>
  </si>
  <si>
    <t xml:space="preserve">Invoice 57605</t>
  </si>
  <si>
    <t xml:space="preserve">2026-09-15</t>
  </si>
  <si>
    <t xml:space="preserve">Invoice 64605</t>
  </si>
  <si>
    <t xml:space="preserve">Invoice 80343</t>
  </si>
  <si>
    <t xml:space="preserve">Invoice 23275</t>
  </si>
  <si>
    <t xml:space="preserve">Invoice 60494</t>
  </si>
  <si>
    <t xml:space="preserve">Invoice 53432</t>
  </si>
  <si>
    <t xml:space="preserve">2026-09-16</t>
  </si>
  <si>
    <t xml:space="preserve">Invoice 53761</t>
  </si>
  <si>
    <t xml:space="preserve">2026-09-17</t>
  </si>
  <si>
    <t xml:space="preserve">Invoice 45024</t>
  </si>
  <si>
    <t xml:space="preserve">Invoice 24231</t>
  </si>
  <si>
    <t xml:space="preserve">Invoice 11546</t>
  </si>
  <si>
    <t xml:space="preserve">Invoice 12287</t>
  </si>
  <si>
    <t xml:space="preserve">2026-09-18</t>
  </si>
  <si>
    <t xml:space="preserve">Invoice 49685</t>
  </si>
  <si>
    <t xml:space="preserve">Payroll w/e Sep 18</t>
  </si>
  <si>
    <t xml:space="preserve">Invoice 15632</t>
  </si>
  <si>
    <t xml:space="preserve">Invoice 77442</t>
  </si>
  <si>
    <t xml:space="preserve">2026-09-19</t>
  </si>
  <si>
    <t xml:space="preserve">Invoice 67239</t>
  </si>
  <si>
    <t xml:space="preserve">2026-09-20</t>
  </si>
  <si>
    <t xml:space="preserve">Invoice 97698</t>
  </si>
  <si>
    <t xml:space="preserve">Invoice 36567</t>
  </si>
  <si>
    <t xml:space="preserve">2026-09-21</t>
  </si>
  <si>
    <t xml:space="preserve">Invoice 92479</t>
  </si>
  <si>
    <t xml:space="preserve">Invoice 63832</t>
  </si>
  <si>
    <t xml:space="preserve">Invoice 76769</t>
  </si>
  <si>
    <t xml:space="preserve">Invoice 38565</t>
  </si>
  <si>
    <t xml:space="preserve">2026-09-22</t>
  </si>
  <si>
    <t xml:space="preserve">Invoice 47761</t>
  </si>
  <si>
    <t xml:space="preserve">Invoice 16419</t>
  </si>
  <si>
    <t xml:space="preserve">Invoice 74585</t>
  </si>
  <si>
    <t xml:space="preserve">2026-09-23</t>
  </si>
  <si>
    <t xml:space="preserve">Invoice 63080</t>
  </si>
  <si>
    <t xml:space="preserve">Invoice 21337</t>
  </si>
  <si>
    <t xml:space="preserve">2026-09-24</t>
  </si>
  <si>
    <t xml:space="preserve">Invoice 18632</t>
  </si>
  <si>
    <t xml:space="preserve">Invoice 35568</t>
  </si>
  <si>
    <t xml:space="preserve">Invoice 92360</t>
  </si>
  <si>
    <t xml:space="preserve">2026-09-25</t>
  </si>
  <si>
    <t xml:space="preserve">Progress claim Sep 2026</t>
  </si>
  <si>
    <t xml:space="preserve">Payroll w/e Sep 25</t>
  </si>
  <si>
    <t xml:space="preserve">V1046</t>
  </si>
  <si>
    <t xml:space="preserve">V1094</t>
  </si>
  <si>
    <t xml:space="preserve">Masonry Subcontractor C</t>
  </si>
  <si>
    <t xml:space="preserve">Invoice 36822</t>
  </si>
  <si>
    <t xml:space="preserve">2026-09-26</t>
  </si>
  <si>
    <t xml:space="preserve">Invoice 98983</t>
  </si>
  <si>
    <t xml:space="preserve">Invoice 25189</t>
  </si>
  <si>
    <t xml:space="preserve">2026-09-27</t>
  </si>
  <si>
    <t xml:space="preserve">Invoice 42180</t>
  </si>
  <si>
    <t xml:space="preserve">Invoice 84184</t>
  </si>
  <si>
    <t xml:space="preserve">Invoice 56314</t>
  </si>
  <si>
    <t xml:space="preserve">2026-09-30</t>
  </si>
  <si>
    <t xml:space="preserve">invoice_no</t>
  </si>
  <si>
    <t xml:space="preserve">invoice_date</t>
  </si>
  <si>
    <t xml:space="preserve">gross_billed</t>
  </si>
  <si>
    <t xml:space="preserve">holdback_retained</t>
  </si>
  <si>
    <t xml:space="preserve">net_receivable</t>
  </si>
  <si>
    <t xml:space="preserve">INV-23-098-202406</t>
  </si>
  <si>
    <t xml:space="preserve">INV-23-098-202407</t>
  </si>
  <si>
    <t xml:space="preserve">INV-23-098-202408</t>
  </si>
  <si>
    <t xml:space="preserve">INV-23-098-202409</t>
  </si>
  <si>
    <t xml:space="preserve">INV-23-098-202410</t>
  </si>
  <si>
    <t xml:space="preserve">INV-23-098-202411</t>
  </si>
  <si>
    <t xml:space="preserve">INV-23-098-202412</t>
  </si>
  <si>
    <t xml:space="preserve">INV-23-098-202501</t>
  </si>
  <si>
    <t xml:space="preserve">INV-23-098-202502</t>
  </si>
  <si>
    <t xml:space="preserve">INV-23-098-202503</t>
  </si>
  <si>
    <t xml:space="preserve">INV-23-098-202504</t>
  </si>
  <si>
    <t xml:space="preserve">INV-23-098-202505</t>
  </si>
  <si>
    <t xml:space="preserve">INV-23-098-202506</t>
  </si>
  <si>
    <t xml:space="preserve">INV-23-098-202507</t>
  </si>
  <si>
    <t xml:space="preserve">INV-23-098-202508</t>
  </si>
  <si>
    <t xml:space="preserve">INV-23-098-202509</t>
  </si>
  <si>
    <t xml:space="preserve">INV-23-098-202510</t>
  </si>
  <si>
    <t xml:space="preserve">INV-23-098-202511</t>
  </si>
  <si>
    <t xml:space="preserve">INV-23-098-202512</t>
  </si>
  <si>
    <t xml:space="preserve">INV-23-098-202601</t>
  </si>
  <si>
    <t xml:space="preserve">INV-23-098-202602</t>
  </si>
  <si>
    <t xml:space="preserve">INV-23-098-202603</t>
  </si>
  <si>
    <t xml:space="preserve">INV-23-098-202604</t>
  </si>
  <si>
    <t xml:space="preserve">INV-23-098-202605</t>
  </si>
  <si>
    <t xml:space="preserve">INV-23-098-202606</t>
  </si>
  <si>
    <t xml:space="preserve">INV-23-098-202607</t>
  </si>
  <si>
    <t xml:space="preserve">INV-23-098-202608</t>
  </si>
  <si>
    <t xml:space="preserve">INV-24-101-202503</t>
  </si>
  <si>
    <t xml:space="preserve">INV-24-101-202504</t>
  </si>
  <si>
    <t xml:space="preserve">INV-24-101-202505</t>
  </si>
  <si>
    <t xml:space="preserve">INV-24-101-202506</t>
  </si>
  <si>
    <t xml:space="preserve">INV-24-101-202507</t>
  </si>
  <si>
    <t xml:space="preserve">INV-24-101-202508</t>
  </si>
  <si>
    <t xml:space="preserve">INV-24-101-202509</t>
  </si>
  <si>
    <t xml:space="preserve">INV-24-101-202510</t>
  </si>
  <si>
    <t xml:space="preserve">INV-24-101-202511</t>
  </si>
  <si>
    <t xml:space="preserve">INV-24-101-202512</t>
  </si>
  <si>
    <t xml:space="preserve">INV-24-101-202601</t>
  </si>
  <si>
    <t xml:space="preserve">INV-24-101-202602</t>
  </si>
  <si>
    <t xml:space="preserve">INV-24-101-202603</t>
  </si>
  <si>
    <t xml:space="preserve">INV-24-101-202604</t>
  </si>
  <si>
    <t xml:space="preserve">INV-24-101-202605</t>
  </si>
  <si>
    <t xml:space="preserve">INV-24-101-202606</t>
  </si>
  <si>
    <t xml:space="preserve">INV-24-101-202607</t>
  </si>
  <si>
    <t xml:space="preserve">INV-24-101-202608</t>
  </si>
  <si>
    <t xml:space="preserve">INV-24-101-202609</t>
  </si>
  <si>
    <t xml:space="preserve">INV-24-104-202505</t>
  </si>
  <si>
    <t xml:space="preserve">INV-24-104-202506</t>
  </si>
  <si>
    <t xml:space="preserve">INV-24-104-202507</t>
  </si>
  <si>
    <t xml:space="preserve">INV-24-104-202508</t>
  </si>
  <si>
    <t xml:space="preserve">INV-24-104-202509</t>
  </si>
  <si>
    <t xml:space="preserve">INV-24-104-202510</t>
  </si>
  <si>
    <t xml:space="preserve">INV-24-104-202511</t>
  </si>
  <si>
    <t xml:space="preserve">INV-24-104-202512</t>
  </si>
  <si>
    <t xml:space="preserve">INV-24-104-202601</t>
  </si>
  <si>
    <t xml:space="preserve">INV-24-104-202602</t>
  </si>
  <si>
    <t xml:space="preserve">INV-24-104-202603</t>
  </si>
  <si>
    <t xml:space="preserve">INV-24-104-202604</t>
  </si>
  <si>
    <t xml:space="preserve">INV-24-104-202605</t>
  </si>
  <si>
    <t xml:space="preserve">INV-24-104-202606</t>
  </si>
  <si>
    <t xml:space="preserve">INV-24-104-202607</t>
  </si>
  <si>
    <t xml:space="preserve">INV-24-104-202608</t>
  </si>
  <si>
    <t xml:space="preserve">INV-24-104-202609</t>
  </si>
  <si>
    <t xml:space="preserve">INV-24-107-202506</t>
  </si>
  <si>
    <t xml:space="preserve">INV-24-107-202507</t>
  </si>
  <si>
    <t xml:space="preserve">INV-24-107-202508</t>
  </si>
  <si>
    <t xml:space="preserve">INV-24-107-202509</t>
  </si>
  <si>
    <t xml:space="preserve">INV-24-107-202510</t>
  </si>
  <si>
    <t xml:space="preserve">INV-24-107-202511</t>
  </si>
  <si>
    <t xml:space="preserve">INV-24-107-202512</t>
  </si>
  <si>
    <t xml:space="preserve">INV-24-107-202601</t>
  </si>
  <si>
    <t xml:space="preserve">INV-24-107-202602</t>
  </si>
  <si>
    <t xml:space="preserve">INV-24-107-202603</t>
  </si>
  <si>
    <t xml:space="preserve">INV-24-107-202604</t>
  </si>
  <si>
    <t xml:space="preserve">INV-24-107-202605</t>
  </si>
  <si>
    <t xml:space="preserve">INV-24-107-202606</t>
  </si>
  <si>
    <t xml:space="preserve">INV-24-107-202607</t>
  </si>
  <si>
    <t xml:space="preserve">INV-24-107-202608</t>
  </si>
  <si>
    <t xml:space="preserve">INV-24-107-202609</t>
  </si>
  <si>
    <t xml:space="preserve">INV-25-110-202508</t>
  </si>
  <si>
    <t xml:space="preserve">INV-25-110-202509</t>
  </si>
  <si>
    <t xml:space="preserve">INV-25-110-202510</t>
  </si>
  <si>
    <t xml:space="preserve">INV-25-110-202511</t>
  </si>
  <si>
    <t xml:space="preserve">INV-25-110-202512</t>
  </si>
  <si>
    <t xml:space="preserve">INV-25-110-202601</t>
  </si>
  <si>
    <t xml:space="preserve">INV-25-110-202602</t>
  </si>
  <si>
    <t xml:space="preserve">INV-25-110-202603</t>
  </si>
  <si>
    <t xml:space="preserve">INV-25-110-202604</t>
  </si>
  <si>
    <t xml:space="preserve">INV-25-110-202605</t>
  </si>
  <si>
    <t xml:space="preserve">INV-25-110-202606</t>
  </si>
  <si>
    <t xml:space="preserve">INV-25-110-202607</t>
  </si>
  <si>
    <t xml:space="preserve">INV-25-110-202608</t>
  </si>
  <si>
    <t xml:space="preserve">INV-25-110-202609</t>
  </si>
  <si>
    <t xml:space="preserve">INV-25-112-202509</t>
  </si>
  <si>
    <t xml:space="preserve">INV-25-112-202510</t>
  </si>
  <si>
    <t xml:space="preserve">INV-25-112-202511</t>
  </si>
  <si>
    <t xml:space="preserve">INV-25-112-202512</t>
  </si>
  <si>
    <t xml:space="preserve">INV-25-112-202601</t>
  </si>
  <si>
    <t xml:space="preserve">INV-25-112-202602</t>
  </si>
  <si>
    <t xml:space="preserve">INV-25-112-202603</t>
  </si>
  <si>
    <t xml:space="preserve">INV-25-112-202604</t>
  </si>
  <si>
    <t xml:space="preserve">INV-25-112-202605</t>
  </si>
  <si>
    <t xml:space="preserve">INV-25-112-202606</t>
  </si>
  <si>
    <t xml:space="preserve">INV-25-112-202607</t>
  </si>
  <si>
    <t xml:space="preserve">INV-25-112-202608</t>
  </si>
  <si>
    <t xml:space="preserve">INV-25-112-202609</t>
  </si>
  <si>
    <t xml:space="preserve">INV-25-115-202510</t>
  </si>
  <si>
    <t xml:space="preserve">INV-25-115-202511</t>
  </si>
  <si>
    <t xml:space="preserve">INV-25-115-202512</t>
  </si>
  <si>
    <t xml:space="preserve">INV-25-115-202601</t>
  </si>
  <si>
    <t xml:space="preserve">INV-25-115-202602</t>
  </si>
  <si>
    <t xml:space="preserve">INV-25-115-202603</t>
  </si>
  <si>
    <t xml:space="preserve">INV-25-115-202604</t>
  </si>
  <si>
    <t xml:space="preserve">INV-25-115-202605</t>
  </si>
  <si>
    <t xml:space="preserve">INV-25-115-202606</t>
  </si>
  <si>
    <t xml:space="preserve">INV-25-115-202607</t>
  </si>
  <si>
    <t xml:space="preserve">INV-25-115-202608</t>
  </si>
  <si>
    <t xml:space="preserve">INV-25-115-202609</t>
  </si>
  <si>
    <t xml:space="preserve">INV-25-118-202511</t>
  </si>
  <si>
    <t xml:space="preserve">INV-25-118-202512</t>
  </si>
  <si>
    <t xml:space="preserve">INV-25-118-202601</t>
  </si>
  <si>
    <t xml:space="preserve">INV-25-118-202602</t>
  </si>
  <si>
    <t xml:space="preserve">INV-25-118-202603</t>
  </si>
  <si>
    <t xml:space="preserve">INV-25-118-202604</t>
  </si>
  <si>
    <t xml:space="preserve">INV-25-118-202605</t>
  </si>
  <si>
    <t xml:space="preserve">INV-25-118-202606</t>
  </si>
  <si>
    <t xml:space="preserve">INV-25-118-202607</t>
  </si>
  <si>
    <t xml:space="preserve">INV-25-118-202608</t>
  </si>
  <si>
    <t xml:space="preserve">INV-25-118-202609</t>
  </si>
  <si>
    <t xml:space="preserve">INV-25-121-202601</t>
  </si>
  <si>
    <t xml:space="preserve">INV-25-121-202602</t>
  </si>
  <si>
    <t xml:space="preserve">INV-25-121-202603</t>
  </si>
  <si>
    <t xml:space="preserve">INV-25-121-202604</t>
  </si>
  <si>
    <t xml:space="preserve">INV-25-121-202605</t>
  </si>
  <si>
    <t xml:space="preserve">INV-25-121-202606</t>
  </si>
  <si>
    <t xml:space="preserve">INV-25-121-202607</t>
  </si>
  <si>
    <t xml:space="preserve">INV-25-121-202608</t>
  </si>
  <si>
    <t xml:space="preserve">INV-25-121-202609</t>
  </si>
  <si>
    <t xml:space="preserve">INV-26-124-202603</t>
  </si>
  <si>
    <t xml:space="preserve">INV-26-124-202604</t>
  </si>
  <si>
    <t xml:space="preserve">INV-26-124-202605</t>
  </si>
  <si>
    <t xml:space="preserve">INV-26-124-202606</t>
  </si>
  <si>
    <t xml:space="preserve">INV-26-124-202607</t>
  </si>
  <si>
    <t xml:space="preserve">INV-26-124-202608</t>
  </si>
  <si>
    <t xml:space="preserve">INV-26-124-202609</t>
  </si>
  <si>
    <t xml:space="preserve">INV-26-127-202605</t>
  </si>
  <si>
    <t xml:space="preserve">INV-26-127-202606</t>
  </si>
  <si>
    <t xml:space="preserve">INV-26-127-202607</t>
  </si>
  <si>
    <t xml:space="preserve">INV-26-127-202608</t>
  </si>
  <si>
    <t xml:space="preserve">INV-26-127-202609</t>
  </si>
  <si>
    <t xml:space="preserve">INV-26-130-202607</t>
  </si>
  <si>
    <t xml:space="preserve">INV-26-130-202608</t>
  </si>
  <si>
    <t xml:space="preserve">INV-26-130-202609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</si>
</sst>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d&quot;, &quot;yyyy"/>
    <numFmt numFmtId="166" formatCode="\$#,##0;&quot;($&quot;#,##0\);\-"/>
    <numFmt numFmtId="167" formatCode="0.0%;\(0.0%\);\-"/>
    <numFmt numFmtId="168" formatCode="\+0.0%;\-0.0%;\-"/>
    <numFmt numFmtId="169" formatCode="0.00;\(0.00\);\-"/>
    <numFmt numFmtId="170" formatCode="#,##0;\(#,##0\);\-"/>
    <numFmt numFmtId="171" formatCode="\$#,##0,,\M"/>
    <numFmt numFmtId="172" formatCode="#,##0.0"/>
    <numFmt numFmtId="173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F3A5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7F6000"/>
        <sz val="10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A6A6A6"/>
      <rgbColor rgb="FF993366"/>
      <rgbColor rgb="FFFFFFCC"/>
      <rgbColor rgb="FFE8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959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portfolio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Cost'!O4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Cost'!$A$5:$A$32</c:f>
              <c:strCache>
                <c:ptCount val="28"/>
                <c:pt idx="0">
                  <c:v>202406</c:v>
                </c:pt>
                <c:pt idx="1">
                  <c:v>202407</c:v>
                </c:pt>
                <c:pt idx="2">
                  <c:v>202408</c:v>
                </c:pt>
                <c:pt idx="3">
                  <c:v>202409</c:v>
                </c:pt>
                <c:pt idx="4">
                  <c:v>202410</c:v>
                </c:pt>
                <c:pt idx="5">
                  <c:v>202411</c:v>
                </c:pt>
                <c:pt idx="6">
                  <c:v>202412</c:v>
                </c:pt>
                <c:pt idx="7">
                  <c:v>202501</c:v>
                </c:pt>
                <c:pt idx="8">
                  <c:v>202502</c:v>
                </c:pt>
                <c:pt idx="9">
                  <c:v>202503</c:v>
                </c:pt>
                <c:pt idx="10">
                  <c:v>202504</c:v>
                </c:pt>
                <c:pt idx="11">
                  <c:v>202505</c:v>
                </c:pt>
                <c:pt idx="12">
                  <c:v>202506</c:v>
                </c:pt>
                <c:pt idx="13">
                  <c:v>202507</c:v>
                </c:pt>
                <c:pt idx="14">
                  <c:v>202508</c:v>
                </c:pt>
                <c:pt idx="15">
                  <c:v>202509</c:v>
                </c:pt>
                <c:pt idx="16">
                  <c:v>202510</c:v>
                </c:pt>
                <c:pt idx="17">
                  <c:v>202511</c:v>
                </c:pt>
                <c:pt idx="18">
                  <c:v>202512</c:v>
                </c:pt>
                <c:pt idx="19">
                  <c:v>202601</c:v>
                </c:pt>
                <c:pt idx="20">
                  <c:v>202602</c:v>
                </c:pt>
                <c:pt idx="21">
                  <c:v>202603</c:v>
                </c:pt>
                <c:pt idx="22">
                  <c:v>202604</c:v>
                </c:pt>
                <c:pt idx="23">
                  <c:v>202605</c:v>
                </c:pt>
                <c:pt idx="24">
                  <c:v>202606</c:v>
                </c:pt>
                <c:pt idx="25">
                  <c:v>202607</c:v>
                </c:pt>
                <c:pt idx="26">
                  <c:v>202608</c:v>
                </c:pt>
                <c:pt idx="27">
                  <c:v>202609</c:v>
                </c:pt>
              </c:strCache>
            </c:strRef>
          </c:cat>
          <c:val>
            <c:numRef>
              <c:f>'Monthly Cost'!$O$5:$O$32</c:f>
              <c:numCache>
                <c:formatCode>\$#,##0;"($"#,##0\);\-</c:formatCode>
                <c:ptCount val="28"/>
                <c:pt idx="0">
                  <c:v>39201.02</c:v>
                </c:pt>
                <c:pt idx="1">
                  <c:v>130477.63</c:v>
                </c:pt>
                <c:pt idx="2">
                  <c:v>314714.14</c:v>
                </c:pt>
                <c:pt idx="3">
                  <c:v>560178.72</c:v>
                </c:pt>
                <c:pt idx="4">
                  <c:v>903072.32</c:v>
                </c:pt>
                <c:pt idx="5">
                  <c:v>1287345.82</c:v>
                </c:pt>
                <c:pt idx="6">
                  <c:v>1725447.79</c:v>
                </c:pt>
                <c:pt idx="7">
                  <c:v>2284149.95</c:v>
                </c:pt>
                <c:pt idx="8">
                  <c:v>2805114.13</c:v>
                </c:pt>
                <c:pt idx="9">
                  <c:v>3614063.38</c:v>
                </c:pt>
                <c:pt idx="10">
                  <c:v>4691414.59</c:v>
                </c:pt>
                <c:pt idx="11">
                  <c:v>6307227.39</c:v>
                </c:pt>
                <c:pt idx="12">
                  <c:v>8176406.28</c:v>
                </c:pt>
                <c:pt idx="13">
                  <c:v>10668473.43</c:v>
                </c:pt>
                <c:pt idx="14">
                  <c:v>13703150.91</c:v>
                </c:pt>
                <c:pt idx="15">
                  <c:v>17224862.81</c:v>
                </c:pt>
                <c:pt idx="16">
                  <c:v>21873761.39</c:v>
                </c:pt>
                <c:pt idx="17">
                  <c:v>27102856.95</c:v>
                </c:pt>
                <c:pt idx="18">
                  <c:v>33561638.33</c:v>
                </c:pt>
                <c:pt idx="19">
                  <c:v>40577457.24</c:v>
                </c:pt>
                <c:pt idx="20">
                  <c:v>47734260.89</c:v>
                </c:pt>
                <c:pt idx="21">
                  <c:v>56579421.8</c:v>
                </c:pt>
                <c:pt idx="22">
                  <c:v>66453628.81</c:v>
                </c:pt>
                <c:pt idx="23">
                  <c:v>76443444.2</c:v>
                </c:pt>
                <c:pt idx="24">
                  <c:v>85685299.79</c:v>
                </c:pt>
                <c:pt idx="25">
                  <c:v>95437463.12</c:v>
                </c:pt>
                <c:pt idx="26">
                  <c:v>105430849.22</c:v>
                </c:pt>
                <c:pt idx="27">
                  <c:v>114578264.51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04562"/>
        <c:axId val="88022474"/>
      </c:lineChart>
      <c:catAx>
        <c:axId val="82304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2474"/>
        <c:crosses val="autoZero"/>
        <c:auto val="1"/>
        <c:lblAlgn val="ctr"/>
        <c:lblOffset val="100"/>
        <c:noMultiLvlLbl val="0"/>
      </c:catAx>
      <c:valAx>
        <c:axId val="88022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to date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04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130680</xdr:rowOff>
    </xdr:from>
    <xdr:to>
      <xdr:col>8</xdr:col>
      <xdr:colOff>559080</xdr:colOff>
      <xdr:row>49</xdr:row>
      <xdr:rowOff>153000</xdr:rowOff>
    </xdr:to>
    <xdr:graphicFrame>
      <xdr:nvGraphicFramePr>
        <xdr:cNvPr id="0" name="Chart 1"/>
        <xdr:cNvGraphicFramePr/>
      </xdr:nvGraphicFramePr>
      <xdr:xfrm>
        <a:off x="704880" y="67532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ta_Billings" displayName="Data_Billings" ref="A1:G154" headerRowCount="1" totalsRowCount="0" totalsRowShown="0">
  <autoFilter ref="A1:G154"/>
  <tableColumns count="7">
    <tableColumn id="1" name="invoice_no"/>
    <tableColumn id="2" name="invoice_date"/>
    <tableColumn id="3" name="fiscal_period"/>
    <tableColumn id="4" name="job_no"/>
    <tableColumn id="5" name="gross_billed"/>
    <tableColumn id="6" name="holdback_retained"/>
    <tableColumn id="7" name="net_receivable"/>
  </tableColumns>
</table>
</file>

<file path=xl/tables/table2.xml><?xml version="1.0" encoding="utf-8"?>
<table xmlns="http://schemas.openxmlformats.org/spreadsheetml/2006/main" id="2" name="Data_Budgets" displayName="Data_Budgets" ref="A1:F177" headerRowCount="1" totalsRowCount="0" totalsRowShown="0">
  <autoFilter ref="A1:F177"/>
  <tableColumns count="6">
    <tableColumn id="1" name="job_no"/>
    <tableColumn id="2" name="cost_code"/>
    <tableColumn id="3" name="original_budget"/>
    <tableColumn id="4" name="approved_budget_changes"/>
    <tableColumn id="5" name="revised_budget"/>
    <tableColumn id="6" name="budget_hours"/>
  </tableColumns>
</table>
</file>

<file path=xl/tables/table3.xml><?xml version="1.0" encoding="utf-8"?>
<table xmlns="http://schemas.openxmlformats.org/spreadsheetml/2006/main" id="3" name="Data_Commitments" displayName="Data_Commitments" ref="A1:E115" headerRowCount="1" totalsRowCount="0" totalsRowShown="0">
  <autoFilter ref="A1:E115"/>
  <tableColumns count="5">
    <tableColumn id="1" name="commitment_no"/>
    <tableColumn id="2" name="job_no"/>
    <tableColumn id="3" name="cost_code"/>
    <tableColumn id="4" name="commitment_type"/>
    <tableColumn id="5" name="committed_amount"/>
  </tableColumns>
</table>
</file>

<file path=xl/tables/table4.xml><?xml version="1.0" encoding="utf-8"?>
<table xmlns="http://schemas.openxmlformats.org/spreadsheetml/2006/main" id="4" name="Data_CostCodes" displayName="Data_CostCodes" ref="A1:D16" headerRowCount="1" totalsRowCount="0" totalsRowShown="0">
  <autoFilter ref="A1:D16"/>
  <tableColumns count="4">
    <tableColumn id="1" name="cost_code"/>
    <tableColumn id="2" name="description"/>
    <tableColumn id="3" name="division"/>
    <tableColumn id="4" name="cost_type"/>
  </tableColumns>
</table>
</file>

<file path=xl/tables/table5.xml><?xml version="1.0" encoding="utf-8"?>
<table xmlns="http://schemas.openxmlformats.org/spreadsheetml/2006/main" id="5" name="Data_JobCost" displayName="Data_JobCost" ref="A1:L2671" headerRowCount="1" totalsRowCount="0" totalsRowShown="0">
  <autoFilter ref="A1:L2671"/>
  <tableColumns count="12">
    <tableColumn id="1" name="transaction_id"/>
    <tableColumn id="2" name="posting_date"/>
    <tableColumn id="3" name="fiscal_period"/>
    <tableColumn id="4" name="job_no"/>
    <tableColumn id="5" name="cost_code"/>
    <tableColumn id="6" name="cost_type"/>
    <tableColumn id="7" name="source"/>
    <tableColumn id="8" name="vendor_id"/>
    <tableColumn id="9" name="vendor_name"/>
    <tableColumn id="10" name="description"/>
    <tableColumn id="11" name="hours"/>
    <tableColumn id="12" name="amount"/>
  </tableColumns>
</table>
</file>

<file path=xl/tables/table6.xml><?xml version="1.0" encoding="utf-8"?>
<table xmlns="http://schemas.openxmlformats.org/spreadsheetml/2006/main" id="6" name="Data_Jobs" displayName="Data_Jobs" ref="A1:M13" headerRowCount="1" totalsRowCount="0" totalsRowShown="0">
  <autoFilter ref="A1:M13"/>
  <tableColumns count="13">
    <tableColumn id="1" name="job_no"/>
    <tableColumn id="2" name="job_name"/>
    <tableColumn id="3" name="job_type"/>
    <tableColumn id="4" name="client_type"/>
    <tableColumn id="5" name="project_manager"/>
    <tableColumn id="6" name="original_contract"/>
    <tableColumn id="7" name="approved_change_orders"/>
    <tableColumn id="8" name="bid_margin_pct"/>
    <tableColumn id="9" name="start_date"/>
    <tableColumn id="10" name="scheduled_finish"/>
    <tableColumn id="11" name="revised_contract"/>
    <tableColumn id="12" name="status"/>
    <tableColumn id="13" name="company"/>
  </tableColumns>
</table>
</file>

<file path=xl/tables/table7.xml><?xml version="1.0" encoding="utf-8"?>
<table xmlns="http://schemas.openxmlformats.org/spreadsheetml/2006/main" id="7" name="Data_Progress" displayName="Data_Progress" ref="A1:C177" headerRowCount="1" totalsRowCount="0" totalsRowShown="0">
  <autoFilter ref="A1:C177"/>
  <tableColumns count="3">
    <tableColumn id="1" name="job_no"/>
    <tableColumn id="2" name="cost_code"/>
    <tableColumn id="3" name="pct_comple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7.75" hidden="false" customHeight="true" outlineLevel="0" collapsed="false">
      <c r="B6" s="4" t="s">
        <v>3</v>
      </c>
      <c r="C6" s="5" t="s">
        <v>4</v>
      </c>
    </row>
    <row r="8" customFormat="false" ht="15" hidden="false" customHeight="true" outlineLevel="0" collapsed="false">
      <c r="B8" s="6" t="s">
        <v>5</v>
      </c>
      <c r="C8" s="7" t="n">
        <f aca="false">DATE(2026,9,30)</f>
        <v>46295</v>
      </c>
    </row>
    <row r="9" customFormat="false" ht="15" hidden="false" customHeight="true" outlineLevel="0" collapsed="false">
      <c r="B9" s="8"/>
      <c r="C9" s="5"/>
    </row>
    <row r="10" customFormat="false" ht="15" hidden="false" customHeight="true" outlineLevel="0" collapsed="false">
      <c r="B10" s="9" t="s">
        <v>6</v>
      </c>
      <c r="C10" s="5"/>
    </row>
    <row r="11" customFormat="false" ht="27.75" hidden="false" customHeight="true" outlineLevel="0" collapsed="false">
      <c r="B11" s="6" t="s">
        <v>7</v>
      </c>
      <c r="C11" s="5" t="s">
        <v>8</v>
      </c>
    </row>
    <row r="12" customFormat="false" ht="27.75" hidden="false" customHeight="true" outlineLevel="0" collapsed="false">
      <c r="B12" s="6" t="s">
        <v>9</v>
      </c>
      <c r="C12" s="5" t="s">
        <v>10</v>
      </c>
    </row>
    <row r="13" customFormat="false" ht="15" hidden="false" customHeight="true" outlineLevel="0" collapsed="false">
      <c r="B13" s="6" t="s">
        <v>11</v>
      </c>
      <c r="C13" s="5" t="s">
        <v>12</v>
      </c>
    </row>
    <row r="14" customFormat="false" ht="15" hidden="false" customHeight="true" outlineLevel="0" collapsed="false">
      <c r="B14" s="6" t="s">
        <v>13</v>
      </c>
      <c r="C14" s="5" t="s">
        <v>14</v>
      </c>
    </row>
    <row r="15" customFormat="false" ht="27.75" hidden="false" customHeight="true" outlineLevel="0" collapsed="false">
      <c r="B15" s="6" t="s">
        <v>15</v>
      </c>
      <c r="C15" s="5" t="s">
        <v>16</v>
      </c>
    </row>
    <row r="16" customFormat="false" ht="15" hidden="false" customHeight="true" outlineLevel="0" collapsed="false">
      <c r="B16" s="8"/>
      <c r="C16" s="5"/>
    </row>
    <row r="17" customFormat="false" ht="15" hidden="false" customHeight="true" outlineLevel="0" collapsed="false">
      <c r="B17" s="9" t="s">
        <v>17</v>
      </c>
      <c r="C17" s="5"/>
    </row>
    <row r="18" customFormat="false" ht="15" hidden="false" customHeight="true" outlineLevel="0" collapsed="false">
      <c r="B18" s="6" t="s">
        <v>18</v>
      </c>
      <c r="C18" s="5" t="s">
        <v>19</v>
      </c>
    </row>
    <row r="19" customFormat="false" ht="15" hidden="false" customHeight="true" outlineLevel="0" collapsed="false">
      <c r="B19" s="6" t="s">
        <v>20</v>
      </c>
      <c r="C19" s="5" t="s">
        <v>21</v>
      </c>
    </row>
    <row r="20" customFormat="false" ht="27.75" hidden="false" customHeight="true" outlineLevel="0" collapsed="false">
      <c r="B20" s="6" t="s">
        <v>22</v>
      </c>
      <c r="C20" s="5" t="s">
        <v>23</v>
      </c>
    </row>
    <row r="21" customFormat="false" ht="15" hidden="false" customHeight="true" outlineLevel="0" collapsed="false">
      <c r="B21" s="6" t="s">
        <v>24</v>
      </c>
      <c r="C21" s="5" t="s">
        <v>25</v>
      </c>
    </row>
    <row r="22" customFormat="false" ht="15" hidden="false" customHeight="true" outlineLevel="0" collapsed="false">
      <c r="B22" s="6" t="s">
        <v>26</v>
      </c>
      <c r="C22" s="5" t="s">
        <v>27</v>
      </c>
    </row>
    <row r="23" customFormat="false" ht="27.75" hidden="false" customHeight="true" outlineLevel="0" collapsed="false">
      <c r="B23" s="6" t="s">
        <v>28</v>
      </c>
      <c r="C23" s="5" t="s">
        <v>29</v>
      </c>
    </row>
    <row r="24" customFormat="false" ht="15" hidden="false" customHeight="true" outlineLevel="0" collapsed="false">
      <c r="B24" s="6" t="s">
        <v>30</v>
      </c>
      <c r="C24" s="5" t="s">
        <v>31</v>
      </c>
    </row>
    <row r="25" customFormat="false" ht="15" hidden="false" customHeight="true" outlineLevel="0" collapsed="false">
      <c r="B25" s="8"/>
      <c r="C25" s="5"/>
    </row>
    <row r="26" customFormat="false" ht="15" hidden="false" customHeight="true" outlineLevel="0" collapsed="false">
      <c r="B26" s="9" t="s">
        <v>32</v>
      </c>
      <c r="C26" s="5"/>
    </row>
    <row r="27" customFormat="false" ht="15" hidden="false" customHeight="true" outlineLevel="0" collapsed="false">
      <c r="B27" s="10" t="s">
        <v>33</v>
      </c>
      <c r="C27" s="5" t="s">
        <v>34</v>
      </c>
    </row>
    <row r="28" customFormat="false" ht="15" hidden="false" customHeight="true" outlineLevel="0" collapsed="false">
      <c r="B28" s="6" t="s">
        <v>35</v>
      </c>
      <c r="C28" s="5" t="s">
        <v>36</v>
      </c>
    </row>
    <row r="2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T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10" min="5" style="0" width="15"/>
    <col collapsed="false" customWidth="true" hidden="false" outlineLevel="0" max="11" min="11" style="0" width="10"/>
    <col collapsed="false" customWidth="true" hidden="false" outlineLevel="0" max="15" min="12" style="0" width="15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15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3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50</v>
      </c>
      <c r="M4" s="11" t="s">
        <v>51</v>
      </c>
      <c r="N4" s="11" t="s">
        <v>52</v>
      </c>
      <c r="O4" s="11" t="s">
        <v>53</v>
      </c>
      <c r="P4" s="11" t="s">
        <v>54</v>
      </c>
      <c r="Q4" s="11" t="s">
        <v>55</v>
      </c>
      <c r="R4" s="11" t="s">
        <v>56</v>
      </c>
      <c r="S4" s="11" t="s">
        <v>20</v>
      </c>
      <c r="T4" s="11" t="s">
        <v>57</v>
      </c>
    </row>
    <row r="5" customFormat="false" ht="15" hidden="false" customHeight="false" outlineLevel="0" collapsed="false">
      <c r="A5" s="12" t="s">
        <v>58</v>
      </c>
      <c r="B5" s="13" t="str">
        <f aca="false">INDEX(Data_Jobs!$B:$B,MATCH($A5,Data_Jobs!$A:$A,0))</f>
        <v>Transit Bus Garage Upgrade</v>
      </c>
      <c r="C5" s="13" t="str">
        <f aca="false">INDEX(Data_Jobs!$E:$E,MATCH($A5,Data_Jobs!$A:$A,0))</f>
        <v>R. Singh</v>
      </c>
      <c r="D5" s="13" t="str">
        <f aca="false">INDEX(Data_Jobs!$L:$L,MATCH($A5,Data_Jobs!$A:$A,0))</f>
        <v>Substantially complete</v>
      </c>
      <c r="E5" s="14" t="n">
        <f aca="false">INDEX(Data_Jobs!$K:$K,MATCH($A5,Data_Jobs!$A:$A,0))</f>
        <v>15462000</v>
      </c>
      <c r="F5" s="15" t="n">
        <f aca="false">SUMIFS('Cost Report'!$G$5:$G$180,'Cost Report'!$A$5:$A$180,$A5)</f>
        <v>13811100</v>
      </c>
      <c r="G5" s="15" t="n">
        <f aca="false">SUMIFS('Cost Report'!$H$5:$H$180,'Cost Report'!$A$5:$A$180,$A5)</f>
        <v>14275865.39</v>
      </c>
      <c r="H5" s="15" t="n">
        <f aca="false">SUMIFS('Cost Report'!$I$5:$I$180,'Cost Report'!$A$5:$A$180,$A5)</f>
        <v>11358200</v>
      </c>
      <c r="I5" s="15" t="n">
        <f aca="false">SUMIFS('Cost Report'!$M$5:$M$180,'Cost Report'!$A$5:$A$180,$A5)</f>
        <v>14408909.8655102</v>
      </c>
      <c r="J5" s="15" t="n">
        <f aca="false">I5-G5</f>
        <v>133044.475510204</v>
      </c>
      <c r="K5" s="16" t="n">
        <f aca="false">IF(I5&gt;0,G5/I5,0)</f>
        <v>0.99076651344536</v>
      </c>
      <c r="L5" s="15" t="n">
        <f aca="false">E5*K5</f>
        <v>15319231.8308922</v>
      </c>
      <c r="M5" s="15" t="n">
        <f aca="false">SUMIFS(Data_Billings!$E:$E,Data_Billings!$D:$D,$A5)</f>
        <v>15319587.46</v>
      </c>
      <c r="N5" s="15" t="n">
        <f aca="false">M5-L5</f>
        <v>355.629107840359</v>
      </c>
      <c r="O5" s="15" t="n">
        <f aca="false">E5-I5</f>
        <v>1053090.1344898</v>
      </c>
      <c r="P5" s="16" t="n">
        <f aca="false">IF(E5&gt;0,O5/E5,0)</f>
        <v>0.068108274122998</v>
      </c>
      <c r="Q5" s="17" t="n">
        <f aca="false">INDEX(Data_Jobs!$H:$H,MATCH($A5,Data_Jobs!$A:$A,0))</f>
        <v>0.105</v>
      </c>
      <c r="R5" s="18" t="n">
        <f aca="false">P5-Q5</f>
        <v>-0.036891725877002</v>
      </c>
      <c r="S5" s="19" t="n">
        <f aca="false">IF(G5&gt;0,SUMIFS('Cost Report'!$K$5:$K$180,'Cost Report'!$A$5:$A$180,$A5)/G5,"")</f>
        <v>0.96596511827995</v>
      </c>
      <c r="T5" s="15" t="n">
        <f aca="false">E5-L5</f>
        <v>142768.169107839</v>
      </c>
    </row>
    <row r="6" customFormat="false" ht="15" hidden="false" customHeight="false" outlineLevel="0" collapsed="false">
      <c r="A6" s="12" t="s">
        <v>59</v>
      </c>
      <c r="B6" s="13" t="str">
        <f aca="false">INDEX(Data_Jobs!$B:$B,MATCH($A6,Data_Jobs!$A:$A,0))</f>
        <v>Leduc Distribution Warehouse</v>
      </c>
      <c r="C6" s="13" t="str">
        <f aca="false">INDEX(Data_Jobs!$E:$E,MATCH($A6,Data_Jobs!$A:$A,0))</f>
        <v>M. Okafor</v>
      </c>
      <c r="D6" s="13" t="str">
        <f aca="false">INDEX(Data_Jobs!$L:$L,MATCH($A6,Data_Jobs!$A:$A,0))</f>
        <v>In progress</v>
      </c>
      <c r="E6" s="14" t="n">
        <f aca="false">INDEX(Data_Jobs!$K:$K,MATCH($A6,Data_Jobs!$A:$A,0))</f>
        <v>22245000</v>
      </c>
      <c r="F6" s="15" t="n">
        <f aca="false">SUMIFS('Cost Report'!$G$5:$G$180,'Cost Report'!$A$5:$A$180,$A6)</f>
        <v>20085200</v>
      </c>
      <c r="G6" s="15" t="n">
        <f aca="false">SUMIFS('Cost Report'!$H$5:$H$180,'Cost Report'!$A$5:$A$180,$A6)</f>
        <v>19031041.47</v>
      </c>
      <c r="H6" s="15" t="n">
        <f aca="false">SUMIFS('Cost Report'!$I$5:$I$180,'Cost Report'!$A$5:$A$180,$A6)</f>
        <v>15186100</v>
      </c>
      <c r="I6" s="15" t="n">
        <f aca="false">SUMIFS('Cost Report'!$M$5:$M$180,'Cost Report'!$A$5:$A$180,$A6)</f>
        <v>19799870.3971671</v>
      </c>
      <c r="J6" s="15" t="n">
        <f aca="false">I6-G6</f>
        <v>768828.927167147</v>
      </c>
      <c r="K6" s="16" t="n">
        <f aca="false">IF(I6&gt;0,G6/I6,0)</f>
        <v>0.961170002038137</v>
      </c>
      <c r="L6" s="15" t="n">
        <f aca="false">E6*K6</f>
        <v>21381226.6953384</v>
      </c>
      <c r="M6" s="15" t="n">
        <f aca="false">SUMIFS(Data_Billings!$E:$E,Data_Billings!$D:$D,$A6)</f>
        <v>22246320.45</v>
      </c>
      <c r="N6" s="15" t="n">
        <f aca="false">M6-L6</f>
        <v>865093.754661638</v>
      </c>
      <c r="O6" s="15" t="n">
        <f aca="false">E6-I6</f>
        <v>2445129.60283285</v>
      </c>
      <c r="P6" s="16" t="n">
        <f aca="false">IF(E6&gt;0,O6/E6,0)</f>
        <v>0.109918166007321</v>
      </c>
      <c r="Q6" s="17" t="n">
        <f aca="false">INDEX(Data_Jobs!$H:$H,MATCH($A6,Data_Jobs!$A:$A,0))</f>
        <v>0.095</v>
      </c>
      <c r="R6" s="18" t="n">
        <f aca="false">P6-Q6</f>
        <v>0.0149181660073209</v>
      </c>
      <c r="S6" s="19" t="n">
        <f aca="false">IF(G6&gt;0,SUMIFS('Cost Report'!$K$5:$K$180,'Cost Report'!$A$5:$A$180,$A6)/G6,"")</f>
        <v>1.02700260155547</v>
      </c>
      <c r="T6" s="15" t="n">
        <f aca="false">E6-L6</f>
        <v>863773.304661639</v>
      </c>
    </row>
    <row r="7" customFormat="false" ht="15" hidden="false" customHeight="false" outlineLevel="0" collapsed="false">
      <c r="A7" s="12" t="s">
        <v>60</v>
      </c>
      <c r="B7" s="13" t="str">
        <f aca="false">INDEX(Data_Jobs!$B:$B,MATCH($A7,Data_Jobs!$A:$A,0))</f>
        <v>School Modernization - Phase 2</v>
      </c>
      <c r="C7" s="13" t="str">
        <f aca="false">INDEX(Data_Jobs!$E:$E,MATCH($A7,Data_Jobs!$A:$A,0))</f>
        <v>J. Tremblay</v>
      </c>
      <c r="D7" s="13" t="str">
        <f aca="false">INDEX(Data_Jobs!$L:$L,MATCH($A7,Data_Jobs!$A:$A,0))</f>
        <v>In progress</v>
      </c>
      <c r="E7" s="14" t="n">
        <f aca="false">INDEX(Data_Jobs!$K:$K,MATCH($A7,Data_Jobs!$A:$A,0))</f>
        <v>16538000</v>
      </c>
      <c r="F7" s="15" t="n">
        <f aca="false">SUMIFS('Cost Report'!$G$5:$G$180,'Cost Report'!$A$5:$A$180,$A7)</f>
        <v>14705200</v>
      </c>
      <c r="G7" s="15" t="n">
        <f aca="false">SUMIFS('Cost Report'!$H$5:$H$180,'Cost Report'!$A$5:$A$180,$A7)</f>
        <v>13766951.4</v>
      </c>
      <c r="H7" s="15" t="n">
        <f aca="false">SUMIFS('Cost Report'!$I$5:$I$180,'Cost Report'!$A$5:$A$180,$A7)</f>
        <v>11693400</v>
      </c>
      <c r="I7" s="15" t="n">
        <f aca="false">SUMIFS('Cost Report'!$M$5:$M$180,'Cost Report'!$A$5:$A$180,$A7)</f>
        <v>15394483.3253503</v>
      </c>
      <c r="J7" s="15" t="n">
        <f aca="false">I7-G7</f>
        <v>1627531.92535028</v>
      </c>
      <c r="K7" s="16" t="n">
        <f aca="false">IF(I7&gt;0,G7/I7,0)</f>
        <v>0.894278236498512</v>
      </c>
      <c r="L7" s="15" t="n">
        <f aca="false">E7*K7</f>
        <v>14789573.4752124</v>
      </c>
      <c r="M7" s="15" t="n">
        <f aca="false">SUMIFS(Data_Billings!$E:$E,Data_Billings!$D:$D,$A7)</f>
        <v>14186235.47</v>
      </c>
      <c r="N7" s="15" t="n">
        <f aca="false">M7-L7</f>
        <v>-603338.005212395</v>
      </c>
      <c r="O7" s="15" t="n">
        <f aca="false">E7-I7</f>
        <v>1143516.67464972</v>
      </c>
      <c r="P7" s="16" t="n">
        <f aca="false">IF(E7&gt;0,O7/E7,0)</f>
        <v>0.0691447983220293</v>
      </c>
      <c r="Q7" s="17" t="n">
        <f aca="false">INDEX(Data_Jobs!$H:$H,MATCH($A7,Data_Jobs!$A:$A,0))</f>
        <v>0.11</v>
      </c>
      <c r="R7" s="18" t="n">
        <f aca="false">P7-Q7</f>
        <v>-0.0408552016779707</v>
      </c>
      <c r="S7" s="19" t="n">
        <f aca="false">IF(G7&gt;0,SUMIFS('Cost Report'!$K$5:$K$180,'Cost Report'!$A$5:$A$180,$A7)/G7,"")</f>
        <v>0.971738303659589</v>
      </c>
      <c r="T7" s="15" t="n">
        <f aca="false">E7-L7</f>
        <v>1748426.5247876</v>
      </c>
    </row>
    <row r="8" customFormat="false" ht="15" hidden="false" customHeight="false" outlineLevel="0" collapsed="false">
      <c r="A8" s="12" t="s">
        <v>61</v>
      </c>
      <c r="B8" s="13" t="str">
        <f aca="false">INDEX(Data_Jobs!$B:$B,MATCH($A8,Data_Jobs!$A:$A,0))</f>
        <v>Fabrication Shop Expansion</v>
      </c>
      <c r="C8" s="13" t="str">
        <f aca="false">INDEX(Data_Jobs!$E:$E,MATCH($A8,Data_Jobs!$A:$A,0))</f>
        <v>M. Okafor</v>
      </c>
      <c r="D8" s="13" t="str">
        <f aca="false">INDEX(Data_Jobs!$L:$L,MATCH($A8,Data_Jobs!$A:$A,0))</f>
        <v>In progress</v>
      </c>
      <c r="E8" s="14" t="n">
        <f aca="false">INDEX(Data_Jobs!$K:$K,MATCH($A8,Data_Jobs!$A:$A,0))</f>
        <v>10160000</v>
      </c>
      <c r="F8" s="15" t="n">
        <f aca="false">SUMIFS('Cost Report'!$G$5:$G$180,'Cost Report'!$A$5:$A$180,$A8)</f>
        <v>8928400</v>
      </c>
      <c r="G8" s="15" t="n">
        <f aca="false">SUMIFS('Cost Report'!$H$5:$H$180,'Cost Report'!$A$5:$A$180,$A8)</f>
        <v>8639590.49</v>
      </c>
      <c r="H8" s="15" t="n">
        <f aca="false">SUMIFS('Cost Report'!$I$5:$I$180,'Cost Report'!$A$5:$A$180,$A8)</f>
        <v>6548600</v>
      </c>
      <c r="I8" s="15" t="n">
        <f aca="false">SUMIFS('Cost Report'!$M$5:$M$180,'Cost Report'!$A$5:$A$180,$A8)</f>
        <v>8812195.08826205</v>
      </c>
      <c r="J8" s="15" t="n">
        <f aca="false">I8-G8</f>
        <v>172604.598262046</v>
      </c>
      <c r="K8" s="16" t="n">
        <f aca="false">IF(I8&gt;0,G8/I8,0)</f>
        <v>0.980412984899533</v>
      </c>
      <c r="L8" s="15" t="n">
        <f aca="false">E8*K8</f>
        <v>9960995.92657926</v>
      </c>
      <c r="M8" s="15" t="n">
        <f aca="false">SUMIFS(Data_Billings!$E:$E,Data_Billings!$D:$D,$A8)</f>
        <v>10159340.97</v>
      </c>
      <c r="N8" s="15" t="n">
        <f aca="false">M8-L8</f>
        <v>198345.043420741</v>
      </c>
      <c r="O8" s="15" t="n">
        <f aca="false">E8-I8</f>
        <v>1347804.91173795</v>
      </c>
      <c r="P8" s="16" t="n">
        <f aca="false">IF(E8&gt;0,O8/E8,0)</f>
        <v>0.132657963753736</v>
      </c>
      <c r="Q8" s="17" t="n">
        <f aca="false">INDEX(Data_Jobs!$H:$H,MATCH($A8,Data_Jobs!$A:$A,0))</f>
        <v>0.12</v>
      </c>
      <c r="R8" s="18" t="n">
        <f aca="false">P8-Q8</f>
        <v>0.0126579637537357</v>
      </c>
      <c r="S8" s="19" t="n">
        <f aca="false">IF(G8&gt;0,SUMIFS('Cost Report'!$K$5:$K$180,'Cost Report'!$A$5:$A$180,$A8)/G8,"")</f>
        <v>1.02932577768509</v>
      </c>
      <c r="T8" s="15" t="n">
        <f aca="false">E8-L8</f>
        <v>199004.073420741</v>
      </c>
    </row>
    <row r="9" customFormat="false" ht="15" hidden="false" customHeight="false" outlineLevel="0" collapsed="false">
      <c r="A9" s="12" t="s">
        <v>62</v>
      </c>
      <c r="B9" s="13" t="str">
        <f aca="false">INDEX(Data_Jobs!$B:$B,MATCH($A9,Data_Jobs!$A:$A,0))</f>
        <v>Medical Office Building</v>
      </c>
      <c r="C9" s="13" t="str">
        <f aca="false">INDEX(Data_Jobs!$E:$E,MATCH($A9,Data_Jobs!$A:$A,0))</f>
        <v>S. Chen</v>
      </c>
      <c r="D9" s="13" t="str">
        <f aca="false">INDEX(Data_Jobs!$L:$L,MATCH($A9,Data_Jobs!$A:$A,0))</f>
        <v>In progress</v>
      </c>
      <c r="E9" s="14" t="n">
        <f aca="false">INDEX(Data_Jobs!$K:$K,MATCH($A9,Data_Jobs!$A:$A,0))</f>
        <v>25580000</v>
      </c>
      <c r="F9" s="15" t="n">
        <f aca="false">SUMIFS('Cost Report'!$G$5:$G$180,'Cost Report'!$A$5:$A$180,$A9)</f>
        <v>22973200</v>
      </c>
      <c r="G9" s="15" t="n">
        <f aca="false">SUMIFS('Cost Report'!$H$5:$H$180,'Cost Report'!$A$5:$A$180,$A9)</f>
        <v>15913660.17</v>
      </c>
      <c r="H9" s="15" t="n">
        <f aca="false">SUMIFS('Cost Report'!$I$5:$I$180,'Cost Report'!$A$5:$A$180,$A9)</f>
        <v>18195100</v>
      </c>
      <c r="I9" s="15" t="n">
        <f aca="false">SUMIFS('Cost Report'!$M$5:$M$180,'Cost Report'!$A$5:$A$180,$A9)</f>
        <v>23781711.2400077</v>
      </c>
      <c r="J9" s="15" t="n">
        <f aca="false">I9-G9</f>
        <v>7868051.07000768</v>
      </c>
      <c r="K9" s="16" t="n">
        <f aca="false">IF(I9&gt;0,G9/I9,0)</f>
        <v>0.669155386229257</v>
      </c>
      <c r="L9" s="15" t="n">
        <f aca="false">E9*K9</f>
        <v>17116994.7797444</v>
      </c>
      <c r="M9" s="15" t="n">
        <f aca="false">SUMIFS(Data_Billings!$E:$E,Data_Billings!$D:$D,$A9)</f>
        <v>18511137.53</v>
      </c>
      <c r="N9" s="15" t="n">
        <f aca="false">M9-L9</f>
        <v>1394142.75025561</v>
      </c>
      <c r="O9" s="15" t="n">
        <f aca="false">E9-I9</f>
        <v>1798288.75999232</v>
      </c>
      <c r="P9" s="16" t="n">
        <f aca="false">IF(E9&gt;0,O9/E9,0)</f>
        <v>0.0703005770129914</v>
      </c>
      <c r="Q9" s="17" t="n">
        <f aca="false">INDEX(Data_Jobs!$H:$H,MATCH($A9,Data_Jobs!$A:$A,0))</f>
        <v>0.1</v>
      </c>
      <c r="R9" s="18" t="n">
        <f aca="false">P9-Q9</f>
        <v>-0.0296994229870086</v>
      </c>
      <c r="S9" s="19" t="n">
        <f aca="false">IF(G9&gt;0,SUMIFS('Cost Report'!$K$5:$K$180,'Cost Report'!$A$5:$A$180,$A9)/G9,"")</f>
        <v>0.966030984435682</v>
      </c>
      <c r="T9" s="15" t="n">
        <f aca="false">E9-L9</f>
        <v>8463005.22025561</v>
      </c>
    </row>
    <row r="10" customFormat="false" ht="15" hidden="false" customHeight="false" outlineLevel="0" collapsed="false">
      <c r="A10" s="12" t="s">
        <v>63</v>
      </c>
      <c r="B10" s="13" t="str">
        <f aca="false">INDEX(Data_Jobs!$B:$B,MATCH($A10,Data_Jobs!$A:$A,0))</f>
        <v>Fire Hall No. 4</v>
      </c>
      <c r="C10" s="13" t="str">
        <f aca="false">INDEX(Data_Jobs!$E:$E,MATCH($A10,Data_Jobs!$A:$A,0))</f>
        <v>R. Singh</v>
      </c>
      <c r="D10" s="13" t="str">
        <f aca="false">INDEX(Data_Jobs!$L:$L,MATCH($A10,Data_Jobs!$A:$A,0))</f>
        <v>In progress</v>
      </c>
      <c r="E10" s="14" t="n">
        <f aca="false">INDEX(Data_Jobs!$K:$K,MATCH($A10,Data_Jobs!$A:$A,0))</f>
        <v>9026000</v>
      </c>
      <c r="F10" s="15" t="n">
        <f aca="false">SUMIFS('Cost Report'!$G$5:$G$180,'Cost Report'!$A$5:$A$180,$A10)</f>
        <v>7983600</v>
      </c>
      <c r="G10" s="15" t="n">
        <f aca="false">SUMIFS('Cost Report'!$H$5:$H$180,'Cost Report'!$A$5:$A$180,$A10)</f>
        <v>7797690.62</v>
      </c>
      <c r="H10" s="15" t="n">
        <f aca="false">SUMIFS('Cost Report'!$I$5:$I$180,'Cost Report'!$A$5:$A$180,$A10)</f>
        <v>6175300</v>
      </c>
      <c r="I10" s="15" t="n">
        <f aca="false">SUMIFS('Cost Report'!$M$5:$M$180,'Cost Report'!$A$5:$A$180,$A10)</f>
        <v>8177299.81422842</v>
      </c>
      <c r="J10" s="15" t="n">
        <f aca="false">I10-G10</f>
        <v>379609.194228415</v>
      </c>
      <c r="K10" s="16" t="n">
        <f aca="false">IF(I10&gt;0,G10/I10,0)</f>
        <v>0.953577684216996</v>
      </c>
      <c r="L10" s="15" t="n">
        <f aca="false">E10*K10</f>
        <v>8606992.1777426</v>
      </c>
      <c r="M10" s="15" t="n">
        <f aca="false">SUMIFS(Data_Billings!$E:$E,Data_Billings!$D:$D,$A10)</f>
        <v>8359789.85</v>
      </c>
      <c r="N10" s="15" t="n">
        <f aca="false">M10-L10</f>
        <v>-247202.327742603</v>
      </c>
      <c r="O10" s="15" t="n">
        <f aca="false">E10-I10</f>
        <v>848700.185771585</v>
      </c>
      <c r="P10" s="16" t="n">
        <f aca="false">IF(E10&gt;0,O10/E10,0)</f>
        <v>0.0940283830901379</v>
      </c>
      <c r="Q10" s="17" t="n">
        <f aca="false">INDEX(Data_Jobs!$H:$H,MATCH($A10,Data_Jobs!$A:$A,0))</f>
        <v>0.115</v>
      </c>
      <c r="R10" s="18" t="n">
        <f aca="false">P10-Q10</f>
        <v>-0.0209716169098621</v>
      </c>
      <c r="S10" s="19" t="n">
        <f aca="false">IF(G10&gt;0,SUMIFS('Cost Report'!$K$5:$K$180,'Cost Report'!$A$5:$A$180,$A10)/G10,"")</f>
        <v>0.986192293943562</v>
      </c>
      <c r="T10" s="15" t="n">
        <f aca="false">E10-L10</f>
        <v>419007.822257398</v>
      </c>
    </row>
    <row r="11" customFormat="false" ht="15" hidden="false" customHeight="false" outlineLevel="0" collapsed="false">
      <c r="A11" s="12" t="s">
        <v>64</v>
      </c>
      <c r="B11" s="13" t="str">
        <f aca="false">INDEX(Data_Jobs!$B:$B,MATCH($A11,Data_Jobs!$A:$A,0))</f>
        <v>Recreation Centre Retrofit</v>
      </c>
      <c r="C11" s="13" t="str">
        <f aca="false">INDEX(Data_Jobs!$E:$E,MATCH($A11,Data_Jobs!$A:$A,0))</f>
        <v>J. Tremblay</v>
      </c>
      <c r="D11" s="13" t="str">
        <f aca="false">INDEX(Data_Jobs!$L:$L,MATCH($A11,Data_Jobs!$A:$A,0))</f>
        <v>In progress</v>
      </c>
      <c r="E11" s="14" t="n">
        <f aca="false">INDEX(Data_Jobs!$K:$K,MATCH($A11,Data_Jobs!$A:$A,0))</f>
        <v>12065000</v>
      </c>
      <c r="F11" s="15" t="n">
        <f aca="false">SUMIFS('Cost Report'!$G$5:$G$180,'Cost Report'!$A$5:$A$180,$A11)</f>
        <v>10763600</v>
      </c>
      <c r="G11" s="15" t="n">
        <f aca="false">SUMIFS('Cost Report'!$H$5:$H$180,'Cost Report'!$A$5:$A$180,$A11)</f>
        <v>8582224.51</v>
      </c>
      <c r="H11" s="15" t="n">
        <f aca="false">SUMIFS('Cost Report'!$I$5:$I$180,'Cost Report'!$A$5:$A$180,$A11)</f>
        <v>8139000</v>
      </c>
      <c r="I11" s="15" t="n">
        <f aca="false">SUMIFS('Cost Report'!$M$5:$M$180,'Cost Report'!$A$5:$A$180,$A11)</f>
        <v>11519732.2815104</v>
      </c>
      <c r="J11" s="15" t="n">
        <f aca="false">I11-G11</f>
        <v>2937507.77151038</v>
      </c>
      <c r="K11" s="16" t="n">
        <f aca="false">IF(I11&gt;0,G11/I11,0)</f>
        <v>0.745002079933299</v>
      </c>
      <c r="L11" s="15" t="n">
        <f aca="false">E11*K11</f>
        <v>8988450.09439525</v>
      </c>
      <c r="M11" s="15" t="n">
        <f aca="false">SUMIFS(Data_Billings!$E:$E,Data_Billings!$D:$D,$A11)</f>
        <v>8294926.02</v>
      </c>
      <c r="N11" s="15" t="n">
        <f aca="false">M11-L11</f>
        <v>-693524.074395252</v>
      </c>
      <c r="O11" s="15" t="n">
        <f aca="false">E11-I11</f>
        <v>545267.718489623</v>
      </c>
      <c r="P11" s="16" t="n">
        <f aca="false">IF(E11&gt;0,O11/E11,0)</f>
        <v>0.0451941747608473</v>
      </c>
      <c r="Q11" s="17" t="n">
        <f aca="false">INDEX(Data_Jobs!$H:$H,MATCH($A11,Data_Jobs!$A:$A,0))</f>
        <v>0.105</v>
      </c>
      <c r="R11" s="18" t="n">
        <f aca="false">P11-Q11</f>
        <v>-0.0598058252391527</v>
      </c>
      <c r="S11" s="19" t="n">
        <f aca="false">IF(G11&gt;0,SUMIFS('Cost Report'!$K$5:$K$180,'Cost Report'!$A$5:$A$180,$A11)/G11,"")</f>
        <v>0.942922722491211</v>
      </c>
      <c r="T11" s="15" t="n">
        <f aca="false">E11-L11</f>
        <v>3076549.90560475</v>
      </c>
    </row>
    <row r="12" customFormat="false" ht="15" hidden="false" customHeight="false" outlineLevel="0" collapsed="false">
      <c r="A12" s="12" t="s">
        <v>65</v>
      </c>
      <c r="B12" s="13" t="str">
        <f aca="false">INDEX(Data_Jobs!$B:$B,MATCH($A12,Data_Jobs!$A:$A,0))</f>
        <v>Cold Storage Facility</v>
      </c>
      <c r="C12" s="13" t="str">
        <f aca="false">INDEX(Data_Jobs!$E:$E,MATCH($A12,Data_Jobs!$A:$A,0))</f>
        <v>S. Chen</v>
      </c>
      <c r="D12" s="13" t="str">
        <f aca="false">INDEX(Data_Jobs!$L:$L,MATCH($A12,Data_Jobs!$A:$A,0))</f>
        <v>In progress</v>
      </c>
      <c r="E12" s="14" t="n">
        <f aca="false">INDEX(Data_Jobs!$K:$K,MATCH($A12,Data_Jobs!$A:$A,0))</f>
        <v>18090000</v>
      </c>
      <c r="F12" s="15" t="n">
        <f aca="false">SUMIFS('Cost Report'!$G$5:$G$180,'Cost Report'!$A$5:$A$180,$A12)</f>
        <v>16302200</v>
      </c>
      <c r="G12" s="15" t="n">
        <f aca="false">SUMIFS('Cost Report'!$H$5:$H$180,'Cost Report'!$A$5:$A$180,$A12)</f>
        <v>13092123.99</v>
      </c>
      <c r="H12" s="15" t="n">
        <f aca="false">SUMIFS('Cost Report'!$I$5:$I$180,'Cost Report'!$A$5:$A$180,$A12)</f>
        <v>12660900</v>
      </c>
      <c r="I12" s="15" t="n">
        <f aca="false">SUMIFS('Cost Report'!$M$5:$M$180,'Cost Report'!$A$5:$A$180,$A12)</f>
        <v>16233742.9629845</v>
      </c>
      <c r="J12" s="15" t="n">
        <f aca="false">I12-G12</f>
        <v>3141618.97298448</v>
      </c>
      <c r="K12" s="16" t="n">
        <f aca="false">IF(I12&gt;0,G12/I12,0)</f>
        <v>0.806475993851333</v>
      </c>
      <c r="L12" s="15" t="n">
        <f aca="false">E12*K12</f>
        <v>14589150.7287706</v>
      </c>
      <c r="M12" s="15" t="n">
        <f aca="false">SUMIFS(Data_Billings!$E:$E,Data_Billings!$D:$D,$A12)</f>
        <v>15322118.26</v>
      </c>
      <c r="N12" s="15" t="n">
        <f aca="false">M12-L12</f>
        <v>732967.531229381</v>
      </c>
      <c r="O12" s="15" t="n">
        <f aca="false">E12-I12</f>
        <v>1856257.03701552</v>
      </c>
      <c r="P12" s="16" t="n">
        <f aca="false">IF(E12&gt;0,O12/E12,0)</f>
        <v>0.102612329298812</v>
      </c>
      <c r="Q12" s="17" t="n">
        <f aca="false">INDEX(Data_Jobs!$H:$H,MATCH($A12,Data_Jobs!$A:$A,0))</f>
        <v>0.098</v>
      </c>
      <c r="R12" s="18" t="n">
        <f aca="false">P12-Q12</f>
        <v>0.00461232929881239</v>
      </c>
      <c r="S12" s="19" t="n">
        <f aca="false">IF(G12&gt;0,SUMIFS('Cost Report'!$K$5:$K$180,'Cost Report'!$A$5:$A$180,$A12)/G12,"")</f>
        <v>1.01812872458138</v>
      </c>
      <c r="T12" s="15" t="n">
        <f aca="false">E12-L12</f>
        <v>3500849.27122938</v>
      </c>
    </row>
    <row r="13" customFormat="false" ht="15" hidden="false" customHeight="false" outlineLevel="0" collapsed="false">
      <c r="A13" s="12" t="s">
        <v>66</v>
      </c>
      <c r="B13" s="13" t="str">
        <f aca="false">INDEX(Data_Jobs!$B:$B,MATCH($A13,Data_Jobs!$A:$A,0))</f>
        <v>Seniors Residence</v>
      </c>
      <c r="C13" s="13" t="str">
        <f aca="false">INDEX(Data_Jobs!$E:$E,MATCH($A13,Data_Jobs!$A:$A,0))</f>
        <v>A. Dubois</v>
      </c>
      <c r="D13" s="13" t="str">
        <f aca="false">INDEX(Data_Jobs!$L:$L,MATCH($A13,Data_Jobs!$A:$A,0))</f>
        <v>In progress</v>
      </c>
      <c r="E13" s="14" t="n">
        <f aca="false">INDEX(Data_Jobs!$K:$K,MATCH($A13,Data_Jobs!$A:$A,0))</f>
        <v>20405000</v>
      </c>
      <c r="F13" s="15" t="n">
        <f aca="false">SUMIFS('Cost Report'!$G$5:$G$180,'Cost Report'!$A$5:$A$180,$A13)</f>
        <v>18541400</v>
      </c>
      <c r="G13" s="15" t="n">
        <f aca="false">SUMIFS('Cost Report'!$H$5:$H$180,'Cost Report'!$A$5:$A$180,$A13)</f>
        <v>5364879.52</v>
      </c>
      <c r="H13" s="15" t="n">
        <f aca="false">SUMIFS('Cost Report'!$I$5:$I$180,'Cost Report'!$A$5:$A$180,$A13)</f>
        <v>13169200</v>
      </c>
      <c r="I13" s="15" t="n">
        <f aca="false">SUMIFS('Cost Report'!$M$5:$M$180,'Cost Report'!$A$5:$A$180,$A13)</f>
        <v>18538818.816586</v>
      </c>
      <c r="J13" s="15" t="n">
        <f aca="false">I13-G13</f>
        <v>13173939.296586</v>
      </c>
      <c r="K13" s="16" t="n">
        <f aca="false">IF(I13&gt;0,G13/I13,0)</f>
        <v>0.289386264199326</v>
      </c>
      <c r="L13" s="15" t="n">
        <f aca="false">E13*K13</f>
        <v>5904926.72098724</v>
      </c>
      <c r="M13" s="15" t="n">
        <f aca="false">SUMIFS(Data_Billings!$E:$E,Data_Billings!$D:$D,$A13)</f>
        <v>6001562.81</v>
      </c>
      <c r="N13" s="15" t="n">
        <f aca="false">M13-L13</f>
        <v>96636.0890127579</v>
      </c>
      <c r="O13" s="15" t="n">
        <f aca="false">E13-I13</f>
        <v>1866181.18341396</v>
      </c>
      <c r="P13" s="16" t="n">
        <f aca="false">IF(E13&gt;0,O13/E13,0)</f>
        <v>0.0914570538306276</v>
      </c>
      <c r="Q13" s="17" t="n">
        <f aca="false">INDEX(Data_Jobs!$H:$H,MATCH($A13,Data_Jobs!$A:$A,0))</f>
        <v>0.09</v>
      </c>
      <c r="R13" s="18" t="n">
        <f aca="false">P13-Q13</f>
        <v>0.00145705383062761</v>
      </c>
      <c r="S13" s="19" t="n">
        <f aca="false">IF(G13&gt;0,SUMIFS('Cost Report'!$K$5:$K$180,'Cost Report'!$A$5:$A$180,$A13)/G13,"")</f>
        <v>1.01439122345845</v>
      </c>
      <c r="T13" s="15" t="n">
        <f aca="false">E13-L13</f>
        <v>14500073.2790128</v>
      </c>
    </row>
    <row r="14" customFormat="false" ht="15" hidden="false" customHeight="false" outlineLevel="0" collapsed="false">
      <c r="A14" s="12" t="s">
        <v>67</v>
      </c>
      <c r="B14" s="13" t="str">
        <f aca="false">INDEX(Data_Jobs!$B:$B,MATCH($A14,Data_Jobs!$A:$A,0))</f>
        <v>Process Building</v>
      </c>
      <c r="C14" s="13" t="str">
        <f aca="false">INDEX(Data_Jobs!$E:$E,MATCH($A14,Data_Jobs!$A:$A,0))</f>
        <v>M. Okafor</v>
      </c>
      <c r="D14" s="13" t="str">
        <f aca="false">INDEX(Data_Jobs!$L:$L,MATCH($A14,Data_Jobs!$A:$A,0))</f>
        <v>In progress</v>
      </c>
      <c r="E14" s="14" t="n">
        <f aca="false">INDEX(Data_Jobs!$K:$K,MATCH($A14,Data_Jobs!$A:$A,0))</f>
        <v>13400000</v>
      </c>
      <c r="F14" s="15" t="n">
        <f aca="false">SUMIFS('Cost Report'!$G$5:$G$180,'Cost Report'!$A$5:$A$180,$A14)</f>
        <v>11858900</v>
      </c>
      <c r="G14" s="15" t="n">
        <f aca="false">SUMIFS('Cost Report'!$H$5:$H$180,'Cost Report'!$A$5:$A$180,$A14)</f>
        <v>5372210.84</v>
      </c>
      <c r="H14" s="15" t="n">
        <f aca="false">SUMIFS('Cost Report'!$I$5:$I$180,'Cost Report'!$A$5:$A$180,$A14)</f>
        <v>9211200</v>
      </c>
      <c r="I14" s="15" t="n">
        <f aca="false">SUMIFS('Cost Report'!$M$5:$M$180,'Cost Report'!$A$5:$A$180,$A14)</f>
        <v>11951245.7896001</v>
      </c>
      <c r="J14" s="15" t="n">
        <f aca="false">I14-G14</f>
        <v>6579034.94960009</v>
      </c>
      <c r="K14" s="16" t="n">
        <f aca="false">IF(I14&gt;0,G14/I14,0)</f>
        <v>0.449510530916774</v>
      </c>
      <c r="L14" s="15" t="n">
        <f aca="false">E14*K14</f>
        <v>6023441.11428478</v>
      </c>
      <c r="M14" s="15" t="n">
        <f aca="false">SUMIFS(Data_Billings!$E:$E,Data_Billings!$D:$D,$A14)</f>
        <v>6611526.58</v>
      </c>
      <c r="N14" s="15" t="n">
        <f aca="false">M14-L14</f>
        <v>588085.465715224</v>
      </c>
      <c r="O14" s="15" t="n">
        <f aca="false">E14-I14</f>
        <v>1448754.21039991</v>
      </c>
      <c r="P14" s="16" t="n">
        <f aca="false">IF(E14&gt;0,O14/E14,0)</f>
        <v>0.10811598585074</v>
      </c>
      <c r="Q14" s="17" t="n">
        <f aca="false">INDEX(Data_Jobs!$H:$H,MATCH($A14,Data_Jobs!$A:$A,0))</f>
        <v>0.115</v>
      </c>
      <c r="R14" s="18" t="n">
        <f aca="false">P14-Q14</f>
        <v>-0.00688401414926039</v>
      </c>
      <c r="S14" s="19" t="n">
        <f aca="false">IF(G14&gt;0,SUMIFS('Cost Report'!$K$5:$K$180,'Cost Report'!$A$5:$A$180,$A14)/G14,"")</f>
        <v>0.996853783199619</v>
      </c>
      <c r="T14" s="15" t="n">
        <f aca="false">E14-L14</f>
        <v>7376558.88571522</v>
      </c>
    </row>
    <row r="15" customFormat="false" ht="15" hidden="false" customHeight="false" outlineLevel="0" collapsed="false">
      <c r="A15" s="12" t="s">
        <v>68</v>
      </c>
      <c r="B15" s="13" t="str">
        <f aca="false">INDEX(Data_Jobs!$B:$B,MATCH($A15,Data_Jobs!$A:$A,0))</f>
        <v>Retail Plaza</v>
      </c>
      <c r="C15" s="13" t="str">
        <f aca="false">INDEX(Data_Jobs!$E:$E,MATCH($A15,Data_Jobs!$A:$A,0))</f>
        <v>A. Dubois</v>
      </c>
      <c r="D15" s="13" t="str">
        <f aca="false">INDEX(Data_Jobs!$L:$L,MATCH($A15,Data_Jobs!$A:$A,0))</f>
        <v>In progress</v>
      </c>
      <c r="E15" s="14" t="n">
        <f aca="false">INDEX(Data_Jobs!$K:$K,MATCH($A15,Data_Jobs!$A:$A,0))</f>
        <v>7650000</v>
      </c>
      <c r="F15" s="15" t="n">
        <f aca="false">SUMIFS('Cost Report'!$G$5:$G$180,'Cost Report'!$A$5:$A$180,$A15)</f>
        <v>6693800</v>
      </c>
      <c r="G15" s="15" t="n">
        <f aca="false">SUMIFS('Cost Report'!$H$5:$H$180,'Cost Report'!$A$5:$A$180,$A15)</f>
        <v>2201288.53</v>
      </c>
      <c r="H15" s="15" t="n">
        <f aca="false">SUMIFS('Cost Report'!$I$5:$I$180,'Cost Report'!$A$5:$A$180,$A15)</f>
        <v>5000900</v>
      </c>
      <c r="I15" s="15" t="n">
        <f aca="false">SUMIFS('Cost Report'!$M$5:$M$180,'Cost Report'!$A$5:$A$180,$A15)</f>
        <v>6607426.22893366</v>
      </c>
      <c r="J15" s="15" t="n">
        <f aca="false">I15-G15</f>
        <v>4406137.69893366</v>
      </c>
      <c r="K15" s="16" t="n">
        <f aca="false">IF(I15&gt;0,G15/I15,0)</f>
        <v>0.333153705199257</v>
      </c>
      <c r="L15" s="15" t="n">
        <f aca="false">E15*K15</f>
        <v>2548625.84477431</v>
      </c>
      <c r="M15" s="15" t="n">
        <f aca="false">SUMIFS(Data_Billings!$E:$E,Data_Billings!$D:$D,$A15)</f>
        <v>2627509.26</v>
      </c>
      <c r="N15" s="15" t="n">
        <f aca="false">M15-L15</f>
        <v>78883.415225687</v>
      </c>
      <c r="O15" s="15" t="n">
        <f aca="false">E15-I15</f>
        <v>1042573.77106634</v>
      </c>
      <c r="P15" s="16" t="n">
        <f aca="false">IF(E15&gt;0,O15/E15,0)</f>
        <v>0.136284153080568</v>
      </c>
      <c r="Q15" s="17" t="n">
        <f aca="false">INDEX(Data_Jobs!$H:$H,MATCH($A15,Data_Jobs!$A:$A,0))</f>
        <v>0.125</v>
      </c>
      <c r="R15" s="18" t="n">
        <f aca="false">P15-Q15</f>
        <v>0.0112841530805677</v>
      </c>
      <c r="S15" s="19" t="n">
        <f aca="false">IF(G15&gt;0,SUMIFS('Cost Report'!$K$5:$K$180,'Cost Report'!$A$5:$A$180,$A15)/G15,"")</f>
        <v>1.03469561984226</v>
      </c>
      <c r="T15" s="15" t="n">
        <f aca="false">E15-L15</f>
        <v>5101374.15522569</v>
      </c>
    </row>
    <row r="16" customFormat="false" ht="15" hidden="false" customHeight="false" outlineLevel="0" collapsed="false">
      <c r="A16" s="12" t="s">
        <v>69</v>
      </c>
      <c r="B16" s="13" t="str">
        <f aca="false">INDEX(Data_Jobs!$B:$B,MATCH($A16,Data_Jobs!$A:$A,0))</f>
        <v>Public Works Yard Building</v>
      </c>
      <c r="C16" s="13" t="str">
        <f aca="false">INDEX(Data_Jobs!$E:$E,MATCH($A16,Data_Jobs!$A:$A,0))</f>
        <v>R. Singh</v>
      </c>
      <c r="D16" s="13" t="str">
        <f aca="false">INDEX(Data_Jobs!$L:$L,MATCH($A16,Data_Jobs!$A:$A,0))</f>
        <v>In progress</v>
      </c>
      <c r="E16" s="14" t="n">
        <f aca="false">INDEX(Data_Jobs!$K:$K,MATCH($A16,Data_Jobs!$A:$A,0))</f>
        <v>6300000</v>
      </c>
      <c r="F16" s="15" t="n">
        <f aca="false">SUMIFS('Cost Report'!$G$5:$G$180,'Cost Report'!$A$5:$A$180,$A16)</f>
        <v>5607100</v>
      </c>
      <c r="G16" s="15" t="n">
        <f aca="false">SUMIFS('Cost Report'!$H$5:$H$180,'Cost Report'!$A$5:$A$180,$A16)</f>
        <v>540737.58</v>
      </c>
      <c r="H16" s="15" t="n">
        <f aca="false">SUMIFS('Cost Report'!$I$5:$I$180,'Cost Report'!$A$5:$A$180,$A16)</f>
        <v>3486800</v>
      </c>
      <c r="I16" s="15" t="n">
        <f aca="false">SUMIFS('Cost Report'!$M$5:$M$180,'Cost Report'!$A$5:$A$180,$A16)</f>
        <v>5598962.25849856</v>
      </c>
      <c r="J16" s="15" t="n">
        <f aca="false">I16-G16</f>
        <v>5058224.67849856</v>
      </c>
      <c r="K16" s="16" t="n">
        <f aca="false">IF(I16&gt;0,G16/I16,0)</f>
        <v>0.0965781791401121</v>
      </c>
      <c r="L16" s="15" t="n">
        <f aca="false">E16*K16</f>
        <v>608442.528582706</v>
      </c>
      <c r="M16" s="15" t="n">
        <f aca="false">SUMIFS(Data_Billings!$E:$E,Data_Billings!$D:$D,$A16)</f>
        <v>614815.4</v>
      </c>
      <c r="N16" s="15" t="n">
        <f aca="false">M16-L16</f>
        <v>6372.87141729402</v>
      </c>
      <c r="O16" s="15" t="n">
        <f aca="false">E16-I16</f>
        <v>701037.741501444</v>
      </c>
      <c r="P16" s="16" t="n">
        <f aca="false">IF(E16&gt;0,O16/E16,0)</f>
        <v>0.111275831984356</v>
      </c>
      <c r="Q16" s="17" t="n">
        <f aca="false">INDEX(Data_Jobs!$H:$H,MATCH($A16,Data_Jobs!$A:$A,0))</f>
        <v>0.11</v>
      </c>
      <c r="R16" s="18" t="n">
        <f aca="false">P16-Q16</f>
        <v>0.0012758319843562</v>
      </c>
      <c r="S16" s="19" t="n">
        <f aca="false">IF(G16&gt;0,SUMIFS('Cost Report'!$K$5:$K$180,'Cost Report'!$A$5:$A$180,$A16)/G16,"")</f>
        <v>1.02367862059818</v>
      </c>
      <c r="T16" s="15" t="n">
        <f aca="false">E16-L16</f>
        <v>5691557.47141729</v>
      </c>
    </row>
    <row r="17" customFormat="false" ht="15" hidden="false" customHeight="false" outlineLevel="0" collapsed="false">
      <c r="A17" s="20" t="s">
        <v>70</v>
      </c>
      <c r="B17" s="20"/>
      <c r="C17" s="20"/>
      <c r="D17" s="20"/>
      <c r="E17" s="21" t="n">
        <f aca="false">SUM(E5:E16)</f>
        <v>176921000</v>
      </c>
      <c r="F17" s="21" t="n">
        <f aca="false">SUM(F5:F16)</f>
        <v>158253700</v>
      </c>
      <c r="G17" s="21" t="n">
        <f aca="false">SUM(G5:G16)</f>
        <v>114578264.51</v>
      </c>
      <c r="H17" s="21" t="n">
        <f aca="false">SUM(H5:H16)</f>
        <v>120824700</v>
      </c>
      <c r="I17" s="21" t="n">
        <f aca="false">SUM(I5:I16)</f>
        <v>160824398.068639</v>
      </c>
      <c r="J17" s="21" t="n">
        <f aca="false">SUM(J5:J16)</f>
        <v>46246133.558639</v>
      </c>
      <c r="K17" s="22" t="n">
        <f aca="false">G17/I17</f>
        <v>0.712443297696029</v>
      </c>
      <c r="L17" s="21" t="n">
        <f aca="false">SUM(L5:L16)</f>
        <v>125838051.917304</v>
      </c>
      <c r="M17" s="21" t="n">
        <f aca="false">SUM(M5:M16)</f>
        <v>128254870.06</v>
      </c>
      <c r="N17" s="21" t="n">
        <f aca="false">SUM(N5:N16)</f>
        <v>2416818.14269592</v>
      </c>
      <c r="O17" s="21" t="n">
        <f aca="false">SUM(O5:O16)</f>
        <v>16096601.931361</v>
      </c>
      <c r="P17" s="22" t="n">
        <f aca="false">O17/E17</f>
        <v>0.0909818615730242</v>
      </c>
      <c r="Q17" s="22" t="n">
        <f aca="false">SUMPRODUCT(Q5:Q16,E5:E16)/E17</f>
        <v>0.104213179893851</v>
      </c>
      <c r="R17" s="23" t="n">
        <f aca="false">P17-Q17</f>
        <v>-0.0132313183208267</v>
      </c>
      <c r="S17" s="24" t="n">
        <f aca="false">'Cost Report'!L181</f>
        <v>0.992503233369144</v>
      </c>
      <c r="T17" s="21" t="n">
        <f aca="false">SUM(T5:T16)</f>
        <v>51082948.0826959</v>
      </c>
    </row>
    <row r="19" customFormat="false" ht="15" hidden="false" customHeight="false" outlineLevel="0" collapsed="false">
      <c r="A19" s="3" t="s">
        <v>71</v>
      </c>
    </row>
    <row r="20" customFormat="false" ht="15" hidden="false" customHeight="false" outlineLevel="0" collapsed="false">
      <c r="A20" s="3" t="s">
        <v>72</v>
      </c>
    </row>
  </sheetData>
  <conditionalFormatting sqref="R5:R16">
    <cfRule type="cellIs" priority="2" operator="lessThan" aboveAverage="0" equalAverage="0" bottom="0" percent="0" rank="0" text="" dxfId="0">
      <formula>-0.02</formula>
    </cfRule>
  </conditionalFormatting>
  <conditionalFormatting sqref="S5:S16">
    <cfRule type="cellIs" priority="3" operator="lessThan" aboveAverage="0" equalAverage="0" bottom="0" percent="0" rank="0" text="" dxfId="0">
      <formula>0.97</formula>
    </cfRule>
  </conditionalFormatting>
  <conditionalFormatting sqref="N5:N16">
    <cfRule type="cellIs" priority="4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9" min="7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5" min="14" style="0" width="15"/>
    <col collapsed="false" customWidth="true" hidden="false" outlineLevel="0" max="18" min="16" style="0" width="11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3" t="s">
        <v>74</v>
      </c>
    </row>
    <row r="3" customFormat="false" ht="15" hidden="false" customHeight="false" outlineLevel="0" collapsed="false">
      <c r="B3" s="25" t="s">
        <v>75</v>
      </c>
      <c r="C3" s="26" t="s">
        <v>64</v>
      </c>
      <c r="D3" s="27" t="str">
        <f aca="false">INDEX(Data_Jobs!$B:$B,MATCH($C$3,Data_Jobs!$A:$A,0))</f>
        <v>Recreation Centre Retrofit</v>
      </c>
    </row>
    <row r="5" customFormat="false" ht="15" hidden="false" customHeight="false" outlineLevel="0" collapsed="false">
      <c r="C5" s="3" t="s">
        <v>76</v>
      </c>
      <c r="D5" s="28" t="str">
        <f aca="false">INDEX(Data_Jobs!$E:$E,MATCH($C$3,Data_Jobs!$A:$A,0))</f>
        <v>J. Tremblay</v>
      </c>
      <c r="F5" s="29" t="s">
        <v>77</v>
      </c>
      <c r="G5" s="29"/>
      <c r="H5" s="30" t="n">
        <f aca="false">INDEX(Data_Jobs!$K:$K,MATCH($C$3,Data_Jobs!$A:$A,0))</f>
        <v>12065000</v>
      </c>
      <c r="J5" s="29" t="s">
        <v>78</v>
      </c>
      <c r="K5" s="29"/>
      <c r="L5" s="29"/>
      <c r="M5" s="31" t="n">
        <f aca="false">IF(H27&gt;0,K27/H27,0)</f>
        <v>0.942922722491211</v>
      </c>
    </row>
    <row r="6" customFormat="false" ht="15" hidden="false" customHeight="false" outlineLevel="0" collapsed="false">
      <c r="C6" s="3" t="s">
        <v>79</v>
      </c>
      <c r="D6" s="28" t="str">
        <f aca="false">INDEX(Data_Jobs!$D:$D,MATCH($C$3,Data_Jobs!$A:$A,0))</f>
        <v>Municipal</v>
      </c>
      <c r="F6" s="29" t="s">
        <v>22</v>
      </c>
      <c r="G6" s="29"/>
      <c r="H6" s="30" t="n">
        <f aca="false">M27</f>
        <v>11519732.2815104</v>
      </c>
      <c r="J6" s="29" t="s">
        <v>80</v>
      </c>
      <c r="K6" s="29"/>
      <c r="L6" s="29"/>
      <c r="M6" s="31" t="n">
        <f aca="false">IF(Q27&gt;0,R27/Q27,0)</f>
        <v>0.893177892573682</v>
      </c>
    </row>
    <row r="7" customFormat="false" ht="15" hidden="false" customHeight="false" outlineLevel="0" collapsed="false">
      <c r="C7" s="3" t="s">
        <v>42</v>
      </c>
      <c r="D7" s="28" t="str">
        <f aca="false">INDEX(Data_Jobs!$L:$L,MATCH($C$3,Data_Jobs!$A:$A,0))</f>
        <v>In progress</v>
      </c>
      <c r="F7" s="29" t="s">
        <v>81</v>
      </c>
      <c r="G7" s="29"/>
      <c r="H7" s="32" t="n">
        <f aca="false">IF(H5&gt;0,(H5-H6)/H5,0)</f>
        <v>0.0451941747608473</v>
      </c>
      <c r="J7" s="29" t="s">
        <v>82</v>
      </c>
      <c r="K7" s="29"/>
      <c r="L7" s="29"/>
      <c r="M7" s="30" t="n">
        <f aca="false">-SUMIF(N12:N26,"&lt;0")</f>
        <v>790532.281510378</v>
      </c>
    </row>
    <row r="8" customFormat="false" ht="15" hidden="false" customHeight="false" outlineLevel="0" collapsed="false">
      <c r="C8" s="3" t="s">
        <v>83</v>
      </c>
      <c r="D8" s="28" t="str">
        <f aca="false">INDEX(Data_Jobs!$J:$J,MATCH($C$3,Data_Jobs!$A:$A,0))</f>
        <v>2027-03-26</v>
      </c>
      <c r="F8" s="29" t="s">
        <v>84</v>
      </c>
      <c r="G8" s="29"/>
      <c r="H8" s="32" t="n">
        <f aca="false">INDEX(Data_Jobs!$H:$H,MATCH($C$3,Data_Jobs!$A:$A,0))</f>
        <v>0.105</v>
      </c>
      <c r="J8" s="29" t="s">
        <v>85</v>
      </c>
      <c r="K8" s="29"/>
      <c r="L8" s="29"/>
      <c r="M8" s="30" t="n">
        <f aca="false">O27</f>
        <v>2937507.77151038</v>
      </c>
    </row>
    <row r="9" customFormat="false" ht="15" hidden="false" customHeight="false" outlineLevel="0" collapsed="false">
      <c r="F9" s="29" t="s">
        <v>30</v>
      </c>
      <c r="G9" s="29"/>
      <c r="H9" s="33" t="n">
        <f aca="false">H7-H8</f>
        <v>-0.0598058252391527</v>
      </c>
    </row>
    <row r="11" customFormat="false" ht="31.5" hidden="false" customHeight="true" outlineLevel="0" collapsed="false">
      <c r="A11" s="34"/>
      <c r="B11" s="11" t="s">
        <v>86</v>
      </c>
      <c r="C11" s="11" t="s">
        <v>87</v>
      </c>
      <c r="D11" s="11" t="s">
        <v>88</v>
      </c>
      <c r="E11" s="11" t="s">
        <v>89</v>
      </c>
      <c r="F11" s="11" t="s">
        <v>90</v>
      </c>
      <c r="G11" s="11" t="s">
        <v>44</v>
      </c>
      <c r="H11" s="11" t="s">
        <v>91</v>
      </c>
      <c r="I11" s="11" t="s">
        <v>46</v>
      </c>
      <c r="J11" s="11" t="s">
        <v>49</v>
      </c>
      <c r="K11" s="11" t="s">
        <v>92</v>
      </c>
      <c r="L11" s="11" t="s">
        <v>20</v>
      </c>
      <c r="M11" s="11" t="s">
        <v>47</v>
      </c>
      <c r="N11" s="11" t="s">
        <v>93</v>
      </c>
      <c r="O11" s="11" t="s">
        <v>48</v>
      </c>
      <c r="P11" s="11" t="s">
        <v>94</v>
      </c>
      <c r="Q11" s="11" t="s">
        <v>95</v>
      </c>
      <c r="R11" s="11" t="s">
        <v>96</v>
      </c>
    </row>
    <row r="12" customFormat="false" ht="15" hidden="false" customHeight="false" outlineLevel="0" collapsed="false">
      <c r="B12" s="12" t="s">
        <v>97</v>
      </c>
      <c r="C12" s="12" t="str">
        <f aca="false">INDEX(Data_CostCodes!$B:$B,MATCH($B12,Data_CostCodes!$A:$A,0))</f>
        <v>General Conditions - Supervision</v>
      </c>
      <c r="D12" s="12" t="str">
        <f aca="false">INDEX(Data_CostCodes!$D:$D,MATCH($B12,Data_CostCodes!$A:$A,0))</f>
        <v>Labour</v>
      </c>
      <c r="E12" s="15" t="n">
        <f aca="false">SUMIFS('Cost Report'!$E$5:$E$180,'Cost Report'!$A$5:$A$180,$C$3,'Cost Report'!$B$5:$B$180,$B12)</f>
        <v>957900</v>
      </c>
      <c r="F12" s="15" t="n">
        <f aca="false">SUMIFS('Cost Report'!$F$5:$F$180,'Cost Report'!$A$5:$A$180,$C$3,'Cost Report'!$B$5:$B$180,$B12)</f>
        <v>0</v>
      </c>
      <c r="G12" s="15" t="n">
        <f aca="false">SUMIFS('Cost Report'!$G$5:$G$180,'Cost Report'!$A$5:$A$180,$C$3,'Cost Report'!$B$5:$B$180,$B12)</f>
        <v>957900</v>
      </c>
      <c r="H12" s="15" t="n">
        <f aca="false">SUMIFS('Cost Report'!$H$5:$H$180,'Cost Report'!$A$5:$A$180,$C$3,'Cost Report'!$B$5:$B$180,$B12)</f>
        <v>766276.35</v>
      </c>
      <c r="I12" s="15" t="n">
        <f aca="false">SUMIFS('Cost Report'!$I$5:$I$180,'Cost Report'!$A$5:$A$180,$C$3,'Cost Report'!$B$5:$B$180,$B12)</f>
        <v>0</v>
      </c>
      <c r="J12" s="16" t="n">
        <f aca="false">IF(G12&gt;0,K12/G12,0)</f>
        <v>0.763</v>
      </c>
      <c r="K12" s="15" t="n">
        <f aca="false">SUMIFS('Cost Report'!$K$5:$K$180,'Cost Report'!$A$5:$A$180,$C$3,'Cost Report'!$B$5:$B$180,$B12)</f>
        <v>730877.7</v>
      </c>
      <c r="L12" s="19" t="n">
        <f aca="false">IF(H12&gt;0,K12/H12,"")</f>
        <v>0.953804329208385</v>
      </c>
      <c r="M12" s="15" t="n">
        <f aca="false">SUMIFS('Cost Report'!$M$5:$M$180,'Cost Report'!$A$5:$A$180,$C$3,'Cost Report'!$B$5:$B$180,$B12)</f>
        <v>1004294.03669725</v>
      </c>
      <c r="N12" s="15" t="n">
        <f aca="false">SUMIFS('Cost Report'!$N$5:$N$180,'Cost Report'!$A$5:$A$180,$C$3,'Cost Report'!$B$5:$B$180,$B12)</f>
        <v>-46394.0366972478</v>
      </c>
      <c r="O12" s="15" t="n">
        <f aca="false">SUMIFS('Cost Report'!$O$5:$O$180,'Cost Report'!$A$5:$A$180,$C$3,'Cost Report'!$B$5:$B$180,$B12)</f>
        <v>238017.686697248</v>
      </c>
      <c r="P12" s="35" t="n">
        <f aca="false">SUMIFS('Cost Report'!$P$5:$P$180,'Cost Report'!$A$5:$A$180,$C$3,'Cost Report'!$B$5:$B$180,$B12)</f>
        <v>10412</v>
      </c>
      <c r="Q12" s="35" t="n">
        <f aca="false">SUMIFS('Cost Report'!$Q$5:$Q$180,'Cost Report'!$A$5:$A$180,$C$3,'Cost Report'!$B$5:$B$180,$B12)</f>
        <v>8329</v>
      </c>
      <c r="R12" s="35" t="n">
        <f aca="false">SUMIFS('Cost Report'!$R$5:$R$180,'Cost Report'!$A$5:$A$180,$C$3,'Cost Report'!$B$5:$B$180,$B12)</f>
        <v>7944.356</v>
      </c>
    </row>
    <row r="13" customFormat="false" ht="15" hidden="false" customHeight="false" outlineLevel="0" collapsed="false">
      <c r="B13" s="12" t="s">
        <v>98</v>
      </c>
      <c r="C13" s="12" t="str">
        <f aca="false">INDEX(Data_CostCodes!$B:$B,MATCH($B13,Data_CostCodes!$A:$A,0))</f>
        <v>Site Facilities &amp; Temp Services</v>
      </c>
      <c r="D13" s="12" t="str">
        <f aca="false">INDEX(Data_CostCodes!$D:$D,MATCH($B13,Data_CostCodes!$A:$A,0))</f>
        <v>Other</v>
      </c>
      <c r="E13" s="15" t="n">
        <f aca="false">SUMIFS('Cost Report'!$E$5:$E$180,'Cost Report'!$A$5:$A$180,$C$3,'Cost Report'!$B$5:$B$180,$B13)</f>
        <v>313200</v>
      </c>
      <c r="F13" s="15" t="n">
        <f aca="false">SUMIFS('Cost Report'!$F$5:$F$180,'Cost Report'!$A$5:$A$180,$C$3,'Cost Report'!$B$5:$B$180,$B13)</f>
        <v>43300</v>
      </c>
      <c r="G13" s="15" t="n">
        <f aca="false">SUMIFS('Cost Report'!$G$5:$G$180,'Cost Report'!$A$5:$A$180,$C$3,'Cost Report'!$B$5:$B$180,$B13)</f>
        <v>356500</v>
      </c>
      <c r="H13" s="15" t="n">
        <f aca="false">SUMIFS('Cost Report'!$H$5:$H$180,'Cost Report'!$A$5:$A$180,$C$3,'Cost Report'!$B$5:$B$180,$B13)</f>
        <v>275153.11</v>
      </c>
      <c r="I13" s="15" t="n">
        <f aca="false">SUMIFS('Cost Report'!$I$5:$I$180,'Cost Report'!$A$5:$A$180,$C$3,'Cost Report'!$B$5:$B$180,$B13)</f>
        <v>0</v>
      </c>
      <c r="J13" s="16" t="n">
        <f aca="false">IF(G13&gt;0,K13/G13,0)</f>
        <v>0.743</v>
      </c>
      <c r="K13" s="15" t="n">
        <f aca="false">SUMIFS('Cost Report'!$K$5:$K$180,'Cost Report'!$A$5:$A$180,$C$3,'Cost Report'!$B$5:$B$180,$B13)</f>
        <v>264879.5</v>
      </c>
      <c r="L13" s="19" t="n">
        <f aca="false">IF(H13&gt;0,K13/H13,"")</f>
        <v>0.962662206507497</v>
      </c>
      <c r="M13" s="15" t="n">
        <f aca="false">SUMIFS('Cost Report'!$M$5:$M$180,'Cost Report'!$A$5:$A$180,$C$3,'Cost Report'!$B$5:$B$180,$B13)</f>
        <v>370327.200538358</v>
      </c>
      <c r="N13" s="15" t="n">
        <f aca="false">SUMIFS('Cost Report'!$N$5:$N$180,'Cost Report'!$A$5:$A$180,$C$3,'Cost Report'!$B$5:$B$180,$B13)</f>
        <v>-13827.200538358</v>
      </c>
      <c r="O13" s="15" t="n">
        <f aca="false">SUMIFS('Cost Report'!$O$5:$O$180,'Cost Report'!$A$5:$A$180,$C$3,'Cost Report'!$B$5:$B$180,$B13)</f>
        <v>95174.090538358</v>
      </c>
      <c r="P13" s="35" t="n">
        <f aca="false">SUMIFS('Cost Report'!$P$5:$P$180,'Cost Report'!$A$5:$A$180,$C$3,'Cost Report'!$B$5:$B$180,$B13)</f>
        <v>0</v>
      </c>
      <c r="Q13" s="35" t="n">
        <f aca="false">SUMIFS('Cost Report'!$Q$5:$Q$180,'Cost Report'!$A$5:$A$180,$C$3,'Cost Report'!$B$5:$B$180,$B13)</f>
        <v>0</v>
      </c>
      <c r="R13" s="35" t="n">
        <f aca="false">SUMIFS('Cost Report'!$R$5:$R$180,'Cost Report'!$A$5:$A$180,$C$3,'Cost Report'!$B$5:$B$180,$B13)</f>
        <v>0</v>
      </c>
    </row>
    <row r="14" customFormat="false" ht="15" hidden="false" customHeight="false" outlineLevel="0" collapsed="false">
      <c r="B14" s="12" t="s">
        <v>99</v>
      </c>
      <c r="C14" s="12" t="str">
        <f aca="false">INDEX(Data_CostCodes!$B:$B,MATCH($B14,Data_CostCodes!$A:$A,0))</f>
        <v>Equipment Rental</v>
      </c>
      <c r="D14" s="12" t="str">
        <f aca="false">INDEX(Data_CostCodes!$D:$D,MATCH($B14,Data_CostCodes!$A:$A,0))</f>
        <v>Equipment</v>
      </c>
      <c r="E14" s="15" t="n">
        <f aca="false">SUMIFS('Cost Report'!$E$5:$E$180,'Cost Report'!$A$5:$A$180,$C$3,'Cost Report'!$B$5:$B$180,$B14)</f>
        <v>275800</v>
      </c>
      <c r="F14" s="15" t="n">
        <f aca="false">SUMIFS('Cost Report'!$F$5:$F$180,'Cost Report'!$A$5:$A$180,$C$3,'Cost Report'!$B$5:$B$180,$B14)</f>
        <v>0</v>
      </c>
      <c r="G14" s="15" t="n">
        <f aca="false">SUMIFS('Cost Report'!$G$5:$G$180,'Cost Report'!$A$5:$A$180,$C$3,'Cost Report'!$B$5:$B$180,$B14)</f>
        <v>275800</v>
      </c>
      <c r="H14" s="15" t="n">
        <f aca="false">SUMIFS('Cost Report'!$H$5:$H$180,'Cost Report'!$A$5:$A$180,$C$3,'Cost Report'!$B$5:$B$180,$B14)</f>
        <v>267801.12</v>
      </c>
      <c r="I14" s="15" t="n">
        <f aca="false">SUMIFS('Cost Report'!$I$5:$I$180,'Cost Report'!$A$5:$A$180,$C$3,'Cost Report'!$B$5:$B$180,$B14)</f>
        <v>0</v>
      </c>
      <c r="J14" s="16" t="n">
        <f aca="false">IF(G14&gt;0,K14/G14,0)</f>
        <v>0.904</v>
      </c>
      <c r="K14" s="15" t="n">
        <f aca="false">SUMIFS('Cost Report'!$K$5:$K$180,'Cost Report'!$A$5:$A$180,$C$3,'Cost Report'!$B$5:$B$180,$B14)</f>
        <v>249323.2</v>
      </c>
      <c r="L14" s="19" t="n">
        <f aca="false">IF(H14&gt;0,K14/H14,"")</f>
        <v>0.931001334124368</v>
      </c>
      <c r="M14" s="15" t="n">
        <f aca="false">SUMIFS('Cost Report'!$M$5:$M$180,'Cost Report'!$A$5:$A$180,$C$3,'Cost Report'!$B$5:$B$180,$B14)</f>
        <v>296240.17699115</v>
      </c>
      <c r="N14" s="15" t="n">
        <f aca="false">SUMIFS('Cost Report'!$N$5:$N$180,'Cost Report'!$A$5:$A$180,$C$3,'Cost Report'!$B$5:$B$180,$B14)</f>
        <v>-20440.1769911504</v>
      </c>
      <c r="O14" s="15" t="n">
        <f aca="false">SUMIFS('Cost Report'!$O$5:$O$180,'Cost Report'!$A$5:$A$180,$C$3,'Cost Report'!$B$5:$B$180,$B14)</f>
        <v>28439.0569911504</v>
      </c>
      <c r="P14" s="35" t="n">
        <f aca="false">SUMIFS('Cost Report'!$P$5:$P$180,'Cost Report'!$A$5:$A$180,$C$3,'Cost Report'!$B$5:$B$180,$B14)</f>
        <v>0</v>
      </c>
      <c r="Q14" s="35" t="n">
        <f aca="false">SUMIFS('Cost Report'!$Q$5:$Q$180,'Cost Report'!$A$5:$A$180,$C$3,'Cost Report'!$B$5:$B$180,$B14)</f>
        <v>0</v>
      </c>
      <c r="R14" s="35" t="n">
        <f aca="false">SUMIFS('Cost Report'!$R$5:$R$180,'Cost Report'!$A$5:$A$180,$C$3,'Cost Report'!$B$5:$B$180,$B14)</f>
        <v>0</v>
      </c>
    </row>
    <row r="15" customFormat="false" ht="15" hidden="false" customHeight="false" outlineLevel="0" collapsed="false">
      <c r="B15" s="12" t="s">
        <v>100</v>
      </c>
      <c r="C15" s="12" t="str">
        <f aca="false">INDEX(Data_CostCodes!$B:$B,MATCH($B15,Data_CostCodes!$A:$A,0))</f>
        <v>Earthwork &amp; Excavation</v>
      </c>
      <c r="D15" s="12" t="str">
        <f aca="false">INDEX(Data_CostCodes!$D:$D,MATCH($B15,Data_CostCodes!$A:$A,0))</f>
        <v>Subcontract</v>
      </c>
      <c r="E15" s="15" t="n">
        <f aca="false">SUMIFS('Cost Report'!$E$5:$E$180,'Cost Report'!$A$5:$A$180,$C$3,'Cost Report'!$B$5:$B$180,$B15)</f>
        <v>410500</v>
      </c>
      <c r="F15" s="15" t="n">
        <f aca="false">SUMIFS('Cost Report'!$F$5:$F$180,'Cost Report'!$A$5:$A$180,$C$3,'Cost Report'!$B$5:$B$180,$B15)</f>
        <v>0</v>
      </c>
      <c r="G15" s="15" t="n">
        <f aca="false">SUMIFS('Cost Report'!$G$5:$G$180,'Cost Report'!$A$5:$A$180,$C$3,'Cost Report'!$B$5:$B$180,$B15)</f>
        <v>410500</v>
      </c>
      <c r="H15" s="15" t="n">
        <f aca="false">SUMIFS('Cost Report'!$H$5:$H$180,'Cost Report'!$A$5:$A$180,$C$3,'Cost Report'!$B$5:$B$180,$B15)</f>
        <v>395353.03</v>
      </c>
      <c r="I15" s="15" t="n">
        <f aca="false">SUMIFS('Cost Report'!$I$5:$I$180,'Cost Report'!$A$5:$A$180,$C$3,'Cost Report'!$B$5:$B$180,$B15)</f>
        <v>396500</v>
      </c>
      <c r="J15" s="16" t="n">
        <f aca="false">IF(G15&gt;0,K15/G15,0)</f>
        <v>1</v>
      </c>
      <c r="K15" s="15" t="n">
        <f aca="false">SUMIFS('Cost Report'!$K$5:$K$180,'Cost Report'!$A$5:$A$180,$C$3,'Cost Report'!$B$5:$B$180,$B15)</f>
        <v>410500</v>
      </c>
      <c r="L15" s="19" t="n">
        <f aca="false">IF(H15&gt;0,K15/H15,"")</f>
        <v>1.03831251780213</v>
      </c>
      <c r="M15" s="15" t="n">
        <f aca="false">SUMIFS('Cost Report'!$M$5:$M$180,'Cost Report'!$A$5:$A$180,$C$3,'Cost Report'!$B$5:$B$180,$B15)</f>
        <v>396500</v>
      </c>
      <c r="N15" s="15" t="n">
        <f aca="false">SUMIFS('Cost Report'!$N$5:$N$180,'Cost Report'!$A$5:$A$180,$C$3,'Cost Report'!$B$5:$B$180,$B15)</f>
        <v>14000</v>
      </c>
      <c r="O15" s="15" t="n">
        <f aca="false">SUMIFS('Cost Report'!$O$5:$O$180,'Cost Report'!$A$5:$A$180,$C$3,'Cost Report'!$B$5:$B$180,$B15)</f>
        <v>1146.96999999997</v>
      </c>
      <c r="P15" s="35" t="n">
        <f aca="false">SUMIFS('Cost Report'!$P$5:$P$180,'Cost Report'!$A$5:$A$180,$C$3,'Cost Report'!$B$5:$B$180,$B15)</f>
        <v>0</v>
      </c>
      <c r="Q15" s="35" t="n">
        <f aca="false">SUMIFS('Cost Report'!$Q$5:$Q$180,'Cost Report'!$A$5:$A$180,$C$3,'Cost Report'!$B$5:$B$180,$B15)</f>
        <v>0</v>
      </c>
      <c r="R15" s="35" t="n">
        <f aca="false">SUMIFS('Cost Report'!$R$5:$R$180,'Cost Report'!$A$5:$A$180,$C$3,'Cost Report'!$B$5:$B$180,$B15)</f>
        <v>0</v>
      </c>
    </row>
    <row r="16" customFormat="false" ht="15" hidden="false" customHeight="false" outlineLevel="0" collapsed="false">
      <c r="B16" s="12" t="s">
        <v>101</v>
      </c>
      <c r="C16" s="12" t="str">
        <f aca="false">INDEX(Data_CostCodes!$B:$B,MATCH($B16,Data_CostCodes!$A:$A,0))</f>
        <v>Concrete Formwork</v>
      </c>
      <c r="D16" s="12" t="str">
        <f aca="false">INDEX(Data_CostCodes!$D:$D,MATCH($B16,Data_CostCodes!$A:$A,0))</f>
        <v>Labour</v>
      </c>
      <c r="E16" s="15" t="n">
        <f aca="false">SUMIFS('Cost Report'!$E$5:$E$180,'Cost Report'!$A$5:$A$180,$C$3,'Cost Report'!$B$5:$B$180,$B16)</f>
        <v>545200</v>
      </c>
      <c r="F16" s="15" t="n">
        <f aca="false">SUMIFS('Cost Report'!$F$5:$F$180,'Cost Report'!$A$5:$A$180,$C$3,'Cost Report'!$B$5:$B$180,$B16)</f>
        <v>549300</v>
      </c>
      <c r="G16" s="15" t="n">
        <f aca="false">SUMIFS('Cost Report'!$G$5:$G$180,'Cost Report'!$A$5:$A$180,$C$3,'Cost Report'!$B$5:$B$180,$B16)</f>
        <v>1094500</v>
      </c>
      <c r="H16" s="15" t="n">
        <f aca="false">SUMIFS('Cost Report'!$H$5:$H$180,'Cost Report'!$A$5:$A$180,$C$3,'Cost Report'!$B$5:$B$180,$B16)</f>
        <v>1229218.83</v>
      </c>
      <c r="I16" s="15" t="n">
        <f aca="false">SUMIFS('Cost Report'!$I$5:$I$180,'Cost Report'!$A$5:$A$180,$C$3,'Cost Report'!$B$5:$B$180,$B16)</f>
        <v>0</v>
      </c>
      <c r="J16" s="16" t="n">
        <f aca="false">IF(G16&gt;0,K16/G16,0)</f>
        <v>1</v>
      </c>
      <c r="K16" s="15" t="n">
        <f aca="false">SUMIFS('Cost Report'!$K$5:$K$180,'Cost Report'!$A$5:$A$180,$C$3,'Cost Report'!$B$5:$B$180,$B16)</f>
        <v>1094500</v>
      </c>
      <c r="L16" s="19" t="n">
        <f aca="false">IF(H16&gt;0,K16/H16,"")</f>
        <v>0.890402891078393</v>
      </c>
      <c r="M16" s="15" t="n">
        <f aca="false">SUMIFS('Cost Report'!$M$5:$M$180,'Cost Report'!$A$5:$A$180,$C$3,'Cost Report'!$B$5:$B$180,$B16)</f>
        <v>1229218.83</v>
      </c>
      <c r="N16" s="15" t="n">
        <f aca="false">SUMIFS('Cost Report'!$N$5:$N$180,'Cost Report'!$A$5:$A$180,$C$3,'Cost Report'!$B$5:$B$180,$B16)</f>
        <v>-134718.83</v>
      </c>
      <c r="O16" s="15" t="n">
        <f aca="false">SUMIFS('Cost Report'!$O$5:$O$180,'Cost Report'!$A$5:$A$180,$C$3,'Cost Report'!$B$5:$B$180,$B16)</f>
        <v>0</v>
      </c>
      <c r="P16" s="35" t="n">
        <f aca="false">SUMIFS('Cost Report'!$P$5:$P$180,'Cost Report'!$A$5:$A$180,$C$3,'Cost Report'!$B$5:$B$180,$B16)</f>
        <v>14791</v>
      </c>
      <c r="Q16" s="35" t="n">
        <f aca="false">SUMIFS('Cost Report'!$Q$5:$Q$180,'Cost Report'!$A$5:$A$180,$C$3,'Cost Report'!$B$5:$B$180,$B16)</f>
        <v>16611.2</v>
      </c>
      <c r="R16" s="35" t="n">
        <f aca="false">SUMIFS('Cost Report'!$R$5:$R$180,'Cost Report'!$A$5:$A$180,$C$3,'Cost Report'!$B$5:$B$180,$B16)</f>
        <v>14791</v>
      </c>
    </row>
    <row r="17" customFormat="false" ht="15" hidden="false" customHeight="false" outlineLevel="0" collapsed="false">
      <c r="B17" s="12" t="s">
        <v>102</v>
      </c>
      <c r="C17" s="12" t="str">
        <f aca="false">INDEX(Data_CostCodes!$B:$B,MATCH($B17,Data_CostCodes!$A:$A,0))</f>
        <v>Reinforcing Steel</v>
      </c>
      <c r="D17" s="12" t="str">
        <f aca="false">INDEX(Data_CostCodes!$D:$D,MATCH($B17,Data_CostCodes!$A:$A,0))</f>
        <v>Material</v>
      </c>
      <c r="E17" s="15" t="n">
        <f aca="false">SUMIFS('Cost Report'!$E$5:$E$180,'Cost Report'!$A$5:$A$180,$C$3,'Cost Report'!$B$5:$B$180,$B17)</f>
        <v>452600</v>
      </c>
      <c r="F17" s="15" t="n">
        <f aca="false">SUMIFS('Cost Report'!$F$5:$F$180,'Cost Report'!$A$5:$A$180,$C$3,'Cost Report'!$B$5:$B$180,$B17)</f>
        <v>0</v>
      </c>
      <c r="G17" s="15" t="n">
        <f aca="false">SUMIFS('Cost Report'!$G$5:$G$180,'Cost Report'!$A$5:$A$180,$C$3,'Cost Report'!$B$5:$B$180,$B17)</f>
        <v>452600</v>
      </c>
      <c r="H17" s="15" t="n">
        <f aca="false">SUMIFS('Cost Report'!$H$5:$H$180,'Cost Report'!$A$5:$A$180,$C$3,'Cost Report'!$B$5:$B$180,$B17)</f>
        <v>446285.28</v>
      </c>
      <c r="I17" s="15" t="n">
        <f aca="false">SUMIFS('Cost Report'!$I$5:$I$180,'Cost Report'!$A$5:$A$180,$C$3,'Cost Report'!$B$5:$B$180,$B17)</f>
        <v>456400</v>
      </c>
      <c r="J17" s="16" t="n">
        <f aca="false">IF(G17&gt;0,K17/G17,0)</f>
        <v>1</v>
      </c>
      <c r="K17" s="15" t="n">
        <f aca="false">SUMIFS('Cost Report'!$K$5:$K$180,'Cost Report'!$A$5:$A$180,$C$3,'Cost Report'!$B$5:$B$180,$B17)</f>
        <v>452600</v>
      </c>
      <c r="L17" s="19" t="n">
        <f aca="false">IF(H17&gt;0,K17/H17,"")</f>
        <v>1.01414951440926</v>
      </c>
      <c r="M17" s="15" t="n">
        <f aca="false">SUMIFS('Cost Report'!$M$5:$M$180,'Cost Report'!$A$5:$A$180,$C$3,'Cost Report'!$B$5:$B$180,$B17)</f>
        <v>456400</v>
      </c>
      <c r="N17" s="15" t="n">
        <f aca="false">SUMIFS('Cost Report'!$N$5:$N$180,'Cost Report'!$A$5:$A$180,$C$3,'Cost Report'!$B$5:$B$180,$B17)</f>
        <v>-3800</v>
      </c>
      <c r="O17" s="15" t="n">
        <f aca="false">SUMIFS('Cost Report'!$O$5:$O$180,'Cost Report'!$A$5:$A$180,$C$3,'Cost Report'!$B$5:$B$180,$B17)</f>
        <v>10114.72</v>
      </c>
      <c r="P17" s="35" t="n">
        <f aca="false">SUMIFS('Cost Report'!$P$5:$P$180,'Cost Report'!$A$5:$A$180,$C$3,'Cost Report'!$B$5:$B$180,$B17)</f>
        <v>0</v>
      </c>
      <c r="Q17" s="35" t="n">
        <f aca="false">SUMIFS('Cost Report'!$Q$5:$Q$180,'Cost Report'!$A$5:$A$180,$C$3,'Cost Report'!$B$5:$B$180,$B17)</f>
        <v>0</v>
      </c>
      <c r="R17" s="35" t="n">
        <f aca="false">SUMIFS('Cost Report'!$R$5:$R$180,'Cost Report'!$A$5:$A$180,$C$3,'Cost Report'!$B$5:$B$180,$B17)</f>
        <v>0</v>
      </c>
    </row>
    <row r="18" customFormat="false" ht="15" hidden="false" customHeight="false" outlineLevel="0" collapsed="false">
      <c r="B18" s="12" t="s">
        <v>103</v>
      </c>
      <c r="C18" s="12" t="str">
        <f aca="false">INDEX(Data_CostCodes!$B:$B,MATCH($B18,Data_CostCodes!$A:$A,0))</f>
        <v>Cast-in-Place Concrete</v>
      </c>
      <c r="D18" s="12" t="str">
        <f aca="false">INDEX(Data_CostCodes!$D:$D,MATCH($B18,Data_CostCodes!$A:$A,0))</f>
        <v>Material</v>
      </c>
      <c r="E18" s="15" t="n">
        <f aca="false">SUMIFS('Cost Report'!$E$5:$E$180,'Cost Report'!$A$5:$A$180,$C$3,'Cost Report'!$B$5:$B$180,$B18)</f>
        <v>763100</v>
      </c>
      <c r="F18" s="15" t="n">
        <f aca="false">SUMIFS('Cost Report'!$F$5:$F$180,'Cost Report'!$A$5:$A$180,$C$3,'Cost Report'!$B$5:$B$180,$B18)</f>
        <v>0</v>
      </c>
      <c r="G18" s="15" t="n">
        <f aca="false">SUMIFS('Cost Report'!$G$5:$G$180,'Cost Report'!$A$5:$A$180,$C$3,'Cost Report'!$B$5:$B$180,$B18)</f>
        <v>763100</v>
      </c>
      <c r="H18" s="15" t="n">
        <f aca="false">SUMIFS('Cost Report'!$H$5:$H$180,'Cost Report'!$A$5:$A$180,$C$3,'Cost Report'!$B$5:$B$180,$B18)</f>
        <v>756596.67</v>
      </c>
      <c r="I18" s="15" t="n">
        <f aca="false">SUMIFS('Cost Report'!$I$5:$I$180,'Cost Report'!$A$5:$A$180,$C$3,'Cost Report'!$B$5:$B$180,$B18)</f>
        <v>767600</v>
      </c>
      <c r="J18" s="16" t="n">
        <f aca="false">IF(G18&gt;0,K18/G18,0)</f>
        <v>1</v>
      </c>
      <c r="K18" s="15" t="n">
        <f aca="false">SUMIFS('Cost Report'!$K$5:$K$180,'Cost Report'!$A$5:$A$180,$C$3,'Cost Report'!$B$5:$B$180,$B18)</f>
        <v>763100</v>
      </c>
      <c r="L18" s="19" t="n">
        <f aca="false">IF(H18&gt;0,K18/H18,"")</f>
        <v>1.00859550439206</v>
      </c>
      <c r="M18" s="15" t="n">
        <f aca="false">SUMIFS('Cost Report'!$M$5:$M$180,'Cost Report'!$A$5:$A$180,$C$3,'Cost Report'!$B$5:$B$180,$B18)</f>
        <v>767600</v>
      </c>
      <c r="N18" s="15" t="n">
        <f aca="false">SUMIFS('Cost Report'!$N$5:$N$180,'Cost Report'!$A$5:$A$180,$C$3,'Cost Report'!$B$5:$B$180,$B18)</f>
        <v>-4500</v>
      </c>
      <c r="O18" s="15" t="n">
        <f aca="false">SUMIFS('Cost Report'!$O$5:$O$180,'Cost Report'!$A$5:$A$180,$C$3,'Cost Report'!$B$5:$B$180,$B18)</f>
        <v>11003.33</v>
      </c>
      <c r="P18" s="35" t="n">
        <f aca="false">SUMIFS('Cost Report'!$P$5:$P$180,'Cost Report'!$A$5:$A$180,$C$3,'Cost Report'!$B$5:$B$180,$B18)</f>
        <v>0</v>
      </c>
      <c r="Q18" s="35" t="n">
        <f aca="false">SUMIFS('Cost Report'!$Q$5:$Q$180,'Cost Report'!$A$5:$A$180,$C$3,'Cost Report'!$B$5:$B$180,$B18)</f>
        <v>0</v>
      </c>
      <c r="R18" s="35" t="n">
        <f aca="false">SUMIFS('Cost Report'!$R$5:$R$180,'Cost Report'!$A$5:$A$180,$C$3,'Cost Report'!$B$5:$B$180,$B18)</f>
        <v>0</v>
      </c>
    </row>
    <row r="19" customFormat="false" ht="15" hidden="false" customHeight="false" outlineLevel="0" collapsed="false">
      <c r="B19" s="12" t="s">
        <v>104</v>
      </c>
      <c r="C19" s="12" t="str">
        <f aca="false">INDEX(Data_CostCodes!$B:$B,MATCH($B19,Data_CostCodes!$A:$A,0))</f>
        <v>Masonry</v>
      </c>
      <c r="D19" s="12" t="str">
        <f aca="false">INDEX(Data_CostCodes!$D:$D,MATCH($B19,Data_CostCodes!$A:$A,0))</f>
        <v>Subcontract</v>
      </c>
      <c r="E19" s="15" t="n">
        <f aca="false">SUMIFS('Cost Report'!$E$5:$E$180,'Cost Report'!$A$5:$A$180,$C$3,'Cost Report'!$B$5:$B$180,$B19)</f>
        <v>789900</v>
      </c>
      <c r="F19" s="15" t="n">
        <f aca="false">SUMIFS('Cost Report'!$F$5:$F$180,'Cost Report'!$A$5:$A$180,$C$3,'Cost Report'!$B$5:$B$180,$B19)</f>
        <v>0</v>
      </c>
      <c r="G19" s="15" t="n">
        <f aca="false">SUMIFS('Cost Report'!$G$5:$G$180,'Cost Report'!$A$5:$A$180,$C$3,'Cost Report'!$B$5:$B$180,$B19)</f>
        <v>789900</v>
      </c>
      <c r="H19" s="15" t="n">
        <f aca="false">SUMIFS('Cost Report'!$H$5:$H$180,'Cost Report'!$A$5:$A$180,$C$3,'Cost Report'!$B$5:$B$180,$B19)</f>
        <v>808032.22</v>
      </c>
      <c r="I19" s="15" t="n">
        <f aca="false">SUMIFS('Cost Report'!$I$5:$I$180,'Cost Report'!$A$5:$A$180,$C$3,'Cost Report'!$B$5:$B$180,$B19)</f>
        <v>811100</v>
      </c>
      <c r="J19" s="16" t="n">
        <f aca="false">IF(G19&gt;0,K19/G19,0)</f>
        <v>1</v>
      </c>
      <c r="K19" s="15" t="n">
        <f aca="false">SUMIFS('Cost Report'!$K$5:$K$180,'Cost Report'!$A$5:$A$180,$C$3,'Cost Report'!$B$5:$B$180,$B19)</f>
        <v>789900</v>
      </c>
      <c r="L19" s="19" t="n">
        <f aca="false">IF(H19&gt;0,K19/H19,"")</f>
        <v>0.977560028485003</v>
      </c>
      <c r="M19" s="15" t="n">
        <f aca="false">SUMIFS('Cost Report'!$M$5:$M$180,'Cost Report'!$A$5:$A$180,$C$3,'Cost Report'!$B$5:$B$180,$B19)</f>
        <v>811100</v>
      </c>
      <c r="N19" s="15" t="n">
        <f aca="false">SUMIFS('Cost Report'!$N$5:$N$180,'Cost Report'!$A$5:$A$180,$C$3,'Cost Report'!$B$5:$B$180,$B19)</f>
        <v>-21200</v>
      </c>
      <c r="O19" s="15" t="n">
        <f aca="false">SUMIFS('Cost Report'!$O$5:$O$180,'Cost Report'!$A$5:$A$180,$C$3,'Cost Report'!$B$5:$B$180,$B19)</f>
        <v>3067.78000000003</v>
      </c>
      <c r="P19" s="35" t="n">
        <f aca="false">SUMIFS('Cost Report'!$P$5:$P$180,'Cost Report'!$A$5:$A$180,$C$3,'Cost Report'!$B$5:$B$180,$B19)</f>
        <v>0</v>
      </c>
      <c r="Q19" s="35" t="n">
        <f aca="false">SUMIFS('Cost Report'!$Q$5:$Q$180,'Cost Report'!$A$5:$A$180,$C$3,'Cost Report'!$B$5:$B$180,$B19)</f>
        <v>0</v>
      </c>
      <c r="R19" s="35" t="n">
        <f aca="false">SUMIFS('Cost Report'!$R$5:$R$180,'Cost Report'!$A$5:$A$180,$C$3,'Cost Report'!$B$5:$B$180,$B19)</f>
        <v>0</v>
      </c>
    </row>
    <row r="20" customFormat="false" ht="15" hidden="false" customHeight="false" outlineLevel="0" collapsed="false">
      <c r="B20" s="12" t="s">
        <v>105</v>
      </c>
      <c r="C20" s="12" t="str">
        <f aca="false">INDEX(Data_CostCodes!$B:$B,MATCH($B20,Data_CostCodes!$A:$A,0))</f>
        <v>Structural Steel</v>
      </c>
      <c r="D20" s="12" t="str">
        <f aca="false">INDEX(Data_CostCodes!$D:$D,MATCH($B20,Data_CostCodes!$A:$A,0))</f>
        <v>Subcontract</v>
      </c>
      <c r="E20" s="15" t="n">
        <f aca="false">SUMIFS('Cost Report'!$E$5:$E$180,'Cost Report'!$A$5:$A$180,$C$3,'Cost Report'!$B$5:$B$180,$B20)</f>
        <v>730300</v>
      </c>
      <c r="F20" s="15" t="n">
        <f aca="false">SUMIFS('Cost Report'!$F$5:$F$180,'Cost Report'!$A$5:$A$180,$C$3,'Cost Report'!$B$5:$B$180,$B20)</f>
        <v>0</v>
      </c>
      <c r="G20" s="15" t="n">
        <f aca="false">SUMIFS('Cost Report'!$G$5:$G$180,'Cost Report'!$A$5:$A$180,$C$3,'Cost Report'!$B$5:$B$180,$B20)</f>
        <v>730300</v>
      </c>
      <c r="H20" s="15" t="n">
        <f aca="false">SUMIFS('Cost Report'!$H$5:$H$180,'Cost Report'!$A$5:$A$180,$C$3,'Cost Report'!$B$5:$B$180,$B20)</f>
        <v>731077.8</v>
      </c>
      <c r="I20" s="15" t="n">
        <f aca="false">SUMIFS('Cost Report'!$I$5:$I$180,'Cost Report'!$A$5:$A$180,$C$3,'Cost Report'!$B$5:$B$180,$B20)</f>
        <v>735800</v>
      </c>
      <c r="J20" s="16" t="n">
        <f aca="false">IF(G20&gt;0,K20/G20,0)</f>
        <v>1</v>
      </c>
      <c r="K20" s="15" t="n">
        <f aca="false">SUMIFS('Cost Report'!$K$5:$K$180,'Cost Report'!$A$5:$A$180,$C$3,'Cost Report'!$B$5:$B$180,$B20)</f>
        <v>730300</v>
      </c>
      <c r="L20" s="19" t="n">
        <f aca="false">IF(H20&gt;0,K20/H20,"")</f>
        <v>0.998936091343493</v>
      </c>
      <c r="M20" s="15" t="n">
        <f aca="false">SUMIFS('Cost Report'!$M$5:$M$180,'Cost Report'!$A$5:$A$180,$C$3,'Cost Report'!$B$5:$B$180,$B20)</f>
        <v>735800</v>
      </c>
      <c r="N20" s="15" t="n">
        <f aca="false">SUMIFS('Cost Report'!$N$5:$N$180,'Cost Report'!$A$5:$A$180,$C$3,'Cost Report'!$B$5:$B$180,$B20)</f>
        <v>-5500</v>
      </c>
      <c r="O20" s="15" t="n">
        <f aca="false">SUMIFS('Cost Report'!$O$5:$O$180,'Cost Report'!$A$5:$A$180,$C$3,'Cost Report'!$B$5:$B$180,$B20)</f>
        <v>4722.20000000007</v>
      </c>
      <c r="P20" s="35" t="n">
        <f aca="false">SUMIFS('Cost Report'!$P$5:$P$180,'Cost Report'!$A$5:$A$180,$C$3,'Cost Report'!$B$5:$B$180,$B20)</f>
        <v>0</v>
      </c>
      <c r="Q20" s="35" t="n">
        <f aca="false">SUMIFS('Cost Report'!$Q$5:$Q$180,'Cost Report'!$A$5:$A$180,$C$3,'Cost Report'!$B$5:$B$180,$B20)</f>
        <v>0</v>
      </c>
      <c r="R20" s="35" t="n">
        <f aca="false">SUMIFS('Cost Report'!$R$5:$R$180,'Cost Report'!$A$5:$A$180,$C$3,'Cost Report'!$B$5:$B$180,$B20)</f>
        <v>0</v>
      </c>
    </row>
    <row r="21" customFormat="false" ht="15" hidden="false" customHeight="false" outlineLevel="0" collapsed="false">
      <c r="B21" s="12" t="s">
        <v>106</v>
      </c>
      <c r="C21" s="12" t="str">
        <f aca="false">INDEX(Data_CostCodes!$B:$B,MATCH($B21,Data_CostCodes!$A:$A,0))</f>
        <v>Rough Carpentry</v>
      </c>
      <c r="D21" s="12" t="str">
        <f aca="false">INDEX(Data_CostCodes!$D:$D,MATCH($B21,Data_CostCodes!$A:$A,0))</f>
        <v>Labour</v>
      </c>
      <c r="E21" s="15" t="n">
        <f aca="false">SUMIFS('Cost Report'!$E$5:$E$180,'Cost Report'!$A$5:$A$180,$C$3,'Cost Report'!$B$5:$B$180,$B21)</f>
        <v>385900</v>
      </c>
      <c r="F21" s="15" t="n">
        <f aca="false">SUMIFS('Cost Report'!$F$5:$F$180,'Cost Report'!$A$5:$A$180,$C$3,'Cost Report'!$B$5:$B$180,$B21)</f>
        <v>0</v>
      </c>
      <c r="G21" s="15" t="n">
        <f aca="false">SUMIFS('Cost Report'!$G$5:$G$180,'Cost Report'!$A$5:$A$180,$C$3,'Cost Report'!$B$5:$B$180,$B21)</f>
        <v>385900</v>
      </c>
      <c r="H21" s="15" t="n">
        <f aca="false">SUMIFS('Cost Report'!$H$5:$H$180,'Cost Report'!$A$5:$A$180,$C$3,'Cost Report'!$B$5:$B$180,$B21)</f>
        <v>360969.68</v>
      </c>
      <c r="I21" s="15" t="n">
        <f aca="false">SUMIFS('Cost Report'!$I$5:$I$180,'Cost Report'!$A$5:$A$180,$C$3,'Cost Report'!$B$5:$B$180,$B21)</f>
        <v>0</v>
      </c>
      <c r="J21" s="16" t="n">
        <f aca="false">IF(G21&gt;0,K21/G21,0)</f>
        <v>0.751</v>
      </c>
      <c r="K21" s="15" t="n">
        <f aca="false">SUMIFS('Cost Report'!$K$5:$K$180,'Cost Report'!$A$5:$A$180,$C$3,'Cost Report'!$B$5:$B$180,$B21)</f>
        <v>289810.9</v>
      </c>
      <c r="L21" s="19" t="n">
        <f aca="false">IF(H21&gt;0,K21/H21,"")</f>
        <v>0.802867708999825</v>
      </c>
      <c r="M21" s="15" t="n">
        <f aca="false">SUMIFS('Cost Report'!$M$5:$M$180,'Cost Report'!$A$5:$A$180,$C$3,'Cost Report'!$B$5:$B$180,$B21)</f>
        <v>480652.037283622</v>
      </c>
      <c r="N21" s="15" t="n">
        <f aca="false">SUMIFS('Cost Report'!$N$5:$N$180,'Cost Report'!$A$5:$A$180,$C$3,'Cost Report'!$B$5:$B$180,$B21)</f>
        <v>-94752.0372836218</v>
      </c>
      <c r="O21" s="15" t="n">
        <f aca="false">SUMIFS('Cost Report'!$O$5:$O$180,'Cost Report'!$A$5:$A$180,$C$3,'Cost Report'!$B$5:$B$180,$B21)</f>
        <v>119682.357283622</v>
      </c>
      <c r="P21" s="35" t="n">
        <f aca="false">SUMIFS('Cost Report'!$P$5:$P$180,'Cost Report'!$A$5:$A$180,$C$3,'Cost Report'!$B$5:$B$180,$B21)</f>
        <v>5435</v>
      </c>
      <c r="Q21" s="35" t="n">
        <f aca="false">SUMIFS('Cost Report'!$Q$5:$Q$180,'Cost Report'!$A$5:$A$180,$C$3,'Cost Report'!$B$5:$B$180,$B21)</f>
        <v>5084.1</v>
      </c>
      <c r="R21" s="35" t="n">
        <f aca="false">SUMIFS('Cost Report'!$R$5:$R$180,'Cost Report'!$A$5:$A$180,$C$3,'Cost Report'!$B$5:$B$180,$B21)</f>
        <v>4081.685</v>
      </c>
    </row>
    <row r="22" customFormat="false" ht="15" hidden="false" customHeight="false" outlineLevel="0" collapsed="false">
      <c r="B22" s="12" t="s">
        <v>107</v>
      </c>
      <c r="C22" s="12" t="str">
        <f aca="false">INDEX(Data_CostCodes!$B:$B,MATCH($B22,Data_CostCodes!$A:$A,0))</f>
        <v>Roofing &amp; Insulation</v>
      </c>
      <c r="D22" s="12" t="str">
        <f aca="false">INDEX(Data_CostCodes!$D:$D,MATCH($B22,Data_CostCodes!$A:$A,0))</f>
        <v>Subcontract</v>
      </c>
      <c r="E22" s="15" t="n">
        <f aca="false">SUMIFS('Cost Report'!$E$5:$E$180,'Cost Report'!$A$5:$A$180,$C$3,'Cost Report'!$B$5:$B$180,$B22)</f>
        <v>647300</v>
      </c>
      <c r="F22" s="15" t="n">
        <f aca="false">SUMIFS('Cost Report'!$F$5:$F$180,'Cost Report'!$A$5:$A$180,$C$3,'Cost Report'!$B$5:$B$180,$B22)</f>
        <v>57600</v>
      </c>
      <c r="G22" s="15" t="n">
        <f aca="false">SUMIFS('Cost Report'!$G$5:$G$180,'Cost Report'!$A$5:$A$180,$C$3,'Cost Report'!$B$5:$B$180,$B22)</f>
        <v>704900</v>
      </c>
      <c r="H22" s="15" t="n">
        <f aca="false">SUMIFS('Cost Report'!$H$5:$H$180,'Cost Report'!$A$5:$A$180,$C$3,'Cost Report'!$B$5:$B$180,$B22)</f>
        <v>657408.01</v>
      </c>
      <c r="I22" s="15" t="n">
        <f aca="false">SUMIFS('Cost Report'!$I$5:$I$180,'Cost Report'!$A$5:$A$180,$C$3,'Cost Report'!$B$5:$B$180,$B22)</f>
        <v>705400</v>
      </c>
      <c r="J22" s="16" t="n">
        <f aca="false">IF(G22&gt;0,K22/G22,0)</f>
        <v>0.954</v>
      </c>
      <c r="K22" s="15" t="n">
        <f aca="false">SUMIFS('Cost Report'!$K$5:$K$180,'Cost Report'!$A$5:$A$180,$C$3,'Cost Report'!$B$5:$B$180,$B22)</f>
        <v>672474.6</v>
      </c>
      <c r="L22" s="19" t="n">
        <f aca="false">IF(H22&gt;0,K22/H22,"")</f>
        <v>1.02291817223219</v>
      </c>
      <c r="M22" s="15" t="n">
        <f aca="false">SUMIFS('Cost Report'!$M$5:$M$180,'Cost Report'!$A$5:$A$180,$C$3,'Cost Report'!$B$5:$B$180,$B22)</f>
        <v>705400</v>
      </c>
      <c r="N22" s="15" t="n">
        <f aca="false">SUMIFS('Cost Report'!$N$5:$N$180,'Cost Report'!$A$5:$A$180,$C$3,'Cost Report'!$B$5:$B$180,$B22)</f>
        <v>-500</v>
      </c>
      <c r="O22" s="15" t="n">
        <f aca="false">SUMIFS('Cost Report'!$O$5:$O$180,'Cost Report'!$A$5:$A$180,$C$3,'Cost Report'!$B$5:$B$180,$B22)</f>
        <v>47991.99</v>
      </c>
      <c r="P22" s="35" t="n">
        <f aca="false">SUMIFS('Cost Report'!$P$5:$P$180,'Cost Report'!$A$5:$A$180,$C$3,'Cost Report'!$B$5:$B$180,$B22)</f>
        <v>0</v>
      </c>
      <c r="Q22" s="35" t="n">
        <f aca="false">SUMIFS('Cost Report'!$Q$5:$Q$180,'Cost Report'!$A$5:$A$180,$C$3,'Cost Report'!$B$5:$B$180,$B22)</f>
        <v>0</v>
      </c>
      <c r="R22" s="35" t="n">
        <f aca="false">SUMIFS('Cost Report'!$R$5:$R$180,'Cost Report'!$A$5:$A$180,$C$3,'Cost Report'!$B$5:$B$180,$B22)</f>
        <v>0</v>
      </c>
    </row>
    <row r="23" customFormat="false" ht="15" hidden="false" customHeight="false" outlineLevel="0" collapsed="false">
      <c r="B23" s="12" t="s">
        <v>108</v>
      </c>
      <c r="C23" s="12" t="str">
        <f aca="false">INDEX(Data_CostCodes!$B:$B,MATCH($B23,Data_CostCodes!$A:$A,0))</f>
        <v>Doors, Frames &amp; Hardware</v>
      </c>
      <c r="D23" s="12" t="str">
        <f aca="false">INDEX(Data_CostCodes!$D:$D,MATCH($B23,Data_CostCodes!$A:$A,0))</f>
        <v>Material</v>
      </c>
      <c r="E23" s="15" t="n">
        <f aca="false">SUMIFS('Cost Report'!$E$5:$E$180,'Cost Report'!$A$5:$A$180,$C$3,'Cost Report'!$B$5:$B$180,$B23)</f>
        <v>438400</v>
      </c>
      <c r="F23" s="15" t="n">
        <f aca="false">SUMIFS('Cost Report'!$F$5:$F$180,'Cost Report'!$A$5:$A$180,$C$3,'Cost Report'!$B$5:$B$180,$B23)</f>
        <v>0</v>
      </c>
      <c r="G23" s="15" t="n">
        <f aca="false">SUMIFS('Cost Report'!$G$5:$G$180,'Cost Report'!$A$5:$A$180,$C$3,'Cost Report'!$B$5:$B$180,$B23)</f>
        <v>438400</v>
      </c>
      <c r="H23" s="15" t="n">
        <f aca="false">SUMIFS('Cost Report'!$H$5:$H$180,'Cost Report'!$A$5:$A$180,$C$3,'Cost Report'!$B$5:$B$180,$B23)</f>
        <v>46792.64</v>
      </c>
      <c r="I23" s="15" t="n">
        <f aca="false">SUMIFS('Cost Report'!$I$5:$I$180,'Cost Report'!$A$5:$A$180,$C$3,'Cost Report'!$B$5:$B$180,$B23)</f>
        <v>430700</v>
      </c>
      <c r="J23" s="16" t="n">
        <f aca="false">IF(G23&gt;0,K23/G23,0)</f>
        <v>0.11</v>
      </c>
      <c r="K23" s="15" t="n">
        <f aca="false">SUMIFS('Cost Report'!$K$5:$K$180,'Cost Report'!$A$5:$A$180,$C$3,'Cost Report'!$B$5:$B$180,$B23)</f>
        <v>48224</v>
      </c>
      <c r="L23" s="19" t="n">
        <f aca="false">IF(H23&gt;0,K23/H23,"")</f>
        <v>1.03058942602939</v>
      </c>
      <c r="M23" s="15" t="n">
        <f aca="false">SUMIFS('Cost Report'!$M$5:$M$180,'Cost Report'!$A$5:$A$180,$C$3,'Cost Report'!$B$5:$B$180,$B23)</f>
        <v>430700</v>
      </c>
      <c r="N23" s="15" t="n">
        <f aca="false">SUMIFS('Cost Report'!$N$5:$N$180,'Cost Report'!$A$5:$A$180,$C$3,'Cost Report'!$B$5:$B$180,$B23)</f>
        <v>7700</v>
      </c>
      <c r="O23" s="15" t="n">
        <f aca="false">SUMIFS('Cost Report'!$O$5:$O$180,'Cost Report'!$A$5:$A$180,$C$3,'Cost Report'!$B$5:$B$180,$B23)</f>
        <v>383907.36</v>
      </c>
      <c r="P23" s="35" t="n">
        <f aca="false">SUMIFS('Cost Report'!$P$5:$P$180,'Cost Report'!$A$5:$A$180,$C$3,'Cost Report'!$B$5:$B$180,$B23)</f>
        <v>0</v>
      </c>
      <c r="Q23" s="35" t="n">
        <f aca="false">SUMIFS('Cost Report'!$Q$5:$Q$180,'Cost Report'!$A$5:$A$180,$C$3,'Cost Report'!$B$5:$B$180,$B23)</f>
        <v>0</v>
      </c>
      <c r="R23" s="35" t="n">
        <f aca="false">SUMIFS('Cost Report'!$R$5:$R$180,'Cost Report'!$A$5:$A$180,$C$3,'Cost Report'!$B$5:$B$180,$B23)</f>
        <v>0</v>
      </c>
    </row>
    <row r="24" customFormat="false" ht="15" hidden="false" customHeight="false" outlineLevel="0" collapsed="false">
      <c r="B24" s="12" t="s">
        <v>109</v>
      </c>
      <c r="C24" s="12" t="str">
        <f aca="false">INDEX(Data_CostCodes!$B:$B,MATCH($B24,Data_CostCodes!$A:$A,0))</f>
        <v>Drywall &amp; Finishes</v>
      </c>
      <c r="D24" s="12" t="str">
        <f aca="false">INDEX(Data_CostCodes!$D:$D,MATCH($B24,Data_CostCodes!$A:$A,0))</f>
        <v>Subcontract</v>
      </c>
      <c r="E24" s="15" t="n">
        <f aca="false">SUMIFS('Cost Report'!$E$5:$E$180,'Cost Report'!$A$5:$A$180,$C$3,'Cost Report'!$B$5:$B$180,$B24)</f>
        <v>874500</v>
      </c>
      <c r="F24" s="15" t="n">
        <f aca="false">SUMIFS('Cost Report'!$F$5:$F$180,'Cost Report'!$A$5:$A$180,$C$3,'Cost Report'!$B$5:$B$180,$B24)</f>
        <v>0</v>
      </c>
      <c r="G24" s="15" t="n">
        <f aca="false">SUMIFS('Cost Report'!$G$5:$G$180,'Cost Report'!$A$5:$A$180,$C$3,'Cost Report'!$B$5:$B$180,$B24)</f>
        <v>874500</v>
      </c>
      <c r="H24" s="15" t="n">
        <f aca="false">SUMIFS('Cost Report'!$H$5:$H$180,'Cost Report'!$A$5:$A$180,$C$3,'Cost Report'!$B$5:$B$180,$B24)</f>
        <v>81208.9</v>
      </c>
      <c r="I24" s="15" t="n">
        <f aca="false">SUMIFS('Cost Report'!$I$5:$I$180,'Cost Report'!$A$5:$A$180,$C$3,'Cost Report'!$B$5:$B$180,$B24)</f>
        <v>884500</v>
      </c>
      <c r="J24" s="16" t="n">
        <f aca="false">IF(G24&gt;0,K24/G24,0)</f>
        <v>0.094</v>
      </c>
      <c r="K24" s="15" t="n">
        <f aca="false">SUMIFS('Cost Report'!$K$5:$K$180,'Cost Report'!$A$5:$A$180,$C$3,'Cost Report'!$B$5:$B$180,$B24)</f>
        <v>82203</v>
      </c>
      <c r="L24" s="19" t="n">
        <f aca="false">IF(H24&gt;0,K24/H24,"")</f>
        <v>1.01224126912198</v>
      </c>
      <c r="M24" s="15" t="n">
        <f aca="false">SUMIFS('Cost Report'!$M$5:$M$180,'Cost Report'!$A$5:$A$180,$C$3,'Cost Report'!$B$5:$B$180,$B24)</f>
        <v>884500</v>
      </c>
      <c r="N24" s="15" t="n">
        <f aca="false">SUMIFS('Cost Report'!$N$5:$N$180,'Cost Report'!$A$5:$A$180,$C$3,'Cost Report'!$B$5:$B$180,$B24)</f>
        <v>-10000</v>
      </c>
      <c r="O24" s="15" t="n">
        <f aca="false">SUMIFS('Cost Report'!$O$5:$O$180,'Cost Report'!$A$5:$A$180,$C$3,'Cost Report'!$B$5:$B$180,$B24)</f>
        <v>803291.1</v>
      </c>
      <c r="P24" s="35" t="n">
        <f aca="false">SUMIFS('Cost Report'!$P$5:$P$180,'Cost Report'!$A$5:$A$180,$C$3,'Cost Report'!$B$5:$B$180,$B24)</f>
        <v>0</v>
      </c>
      <c r="Q24" s="35" t="n">
        <f aca="false">SUMIFS('Cost Report'!$Q$5:$Q$180,'Cost Report'!$A$5:$A$180,$C$3,'Cost Report'!$B$5:$B$180,$B24)</f>
        <v>0</v>
      </c>
      <c r="R24" s="35" t="n">
        <f aca="false">SUMIFS('Cost Report'!$R$5:$R$180,'Cost Report'!$A$5:$A$180,$C$3,'Cost Report'!$B$5:$B$180,$B24)</f>
        <v>0</v>
      </c>
    </row>
    <row r="25" customFormat="false" ht="15" hidden="false" customHeight="false" outlineLevel="0" collapsed="false">
      <c r="B25" s="12" t="s">
        <v>110</v>
      </c>
      <c r="C25" s="12" t="str">
        <f aca="false">INDEX(Data_CostCodes!$B:$B,MATCH($B25,Data_CostCodes!$A:$A,0))</f>
        <v>Mechanical</v>
      </c>
      <c r="D25" s="12" t="str">
        <f aca="false">INDEX(Data_CostCodes!$D:$D,MATCH($B25,Data_CostCodes!$A:$A,0))</f>
        <v>Subcontract</v>
      </c>
      <c r="E25" s="15" t="n">
        <f aca="false">SUMIFS('Cost Report'!$E$5:$E$180,'Cost Report'!$A$5:$A$180,$C$3,'Cost Report'!$B$5:$B$180,$B25)</f>
        <v>1463800</v>
      </c>
      <c r="F25" s="15" t="n">
        <f aca="false">SUMIFS('Cost Report'!$F$5:$F$180,'Cost Report'!$A$5:$A$180,$C$3,'Cost Report'!$B$5:$B$180,$B25)</f>
        <v>0</v>
      </c>
      <c r="G25" s="15" t="n">
        <f aca="false">SUMIFS('Cost Report'!$G$5:$G$180,'Cost Report'!$A$5:$A$180,$C$3,'Cost Report'!$B$5:$B$180,$B25)</f>
        <v>1463800</v>
      </c>
      <c r="H25" s="15" t="n">
        <f aca="false">SUMIFS('Cost Report'!$H$5:$H$180,'Cost Report'!$A$5:$A$180,$C$3,'Cost Report'!$B$5:$B$180,$B25)</f>
        <v>1151483.07</v>
      </c>
      <c r="I25" s="15" t="n">
        <f aca="false">SUMIFS('Cost Report'!$I$5:$I$180,'Cost Report'!$A$5:$A$180,$C$3,'Cost Report'!$B$5:$B$180,$B25)</f>
        <v>1898700</v>
      </c>
      <c r="J25" s="16" t="n">
        <f aca="false">IF(G25&gt;0,K25/G25,0)</f>
        <v>0.607</v>
      </c>
      <c r="K25" s="15" t="n">
        <f aca="false">SUMIFS('Cost Report'!$K$5:$K$180,'Cost Report'!$A$5:$A$180,$C$3,'Cost Report'!$B$5:$B$180,$B25)</f>
        <v>888526.6</v>
      </c>
      <c r="L25" s="19" t="n">
        <f aca="false">IF(H25&gt;0,K25/H25,"")</f>
        <v>0.771636703264773</v>
      </c>
      <c r="M25" s="15" t="n">
        <f aca="false">SUMIFS('Cost Report'!$M$5:$M$180,'Cost Report'!$A$5:$A$180,$C$3,'Cost Report'!$B$5:$B$180,$B25)</f>
        <v>1898700</v>
      </c>
      <c r="N25" s="15" t="n">
        <f aca="false">SUMIFS('Cost Report'!$N$5:$N$180,'Cost Report'!$A$5:$A$180,$C$3,'Cost Report'!$B$5:$B$180,$B25)</f>
        <v>-434900</v>
      </c>
      <c r="O25" s="15" t="n">
        <f aca="false">SUMIFS('Cost Report'!$O$5:$O$180,'Cost Report'!$A$5:$A$180,$C$3,'Cost Report'!$B$5:$B$180,$B25)</f>
        <v>747216.93</v>
      </c>
      <c r="P25" s="35" t="n">
        <f aca="false">SUMIFS('Cost Report'!$P$5:$P$180,'Cost Report'!$A$5:$A$180,$C$3,'Cost Report'!$B$5:$B$180,$B25)</f>
        <v>0</v>
      </c>
      <c r="Q25" s="35" t="n">
        <f aca="false">SUMIFS('Cost Report'!$Q$5:$Q$180,'Cost Report'!$A$5:$A$180,$C$3,'Cost Report'!$B$5:$B$180,$B25)</f>
        <v>0</v>
      </c>
      <c r="R25" s="35" t="n">
        <f aca="false">SUMIFS('Cost Report'!$R$5:$R$180,'Cost Report'!$A$5:$A$180,$C$3,'Cost Report'!$B$5:$B$180,$B25)</f>
        <v>0</v>
      </c>
    </row>
    <row r="26" customFormat="false" ht="15" hidden="false" customHeight="false" outlineLevel="0" collapsed="false">
      <c r="B26" s="12" t="s">
        <v>111</v>
      </c>
      <c r="C26" s="12" t="str">
        <f aca="false">INDEX(Data_CostCodes!$B:$B,MATCH($B26,Data_CostCodes!$A:$A,0))</f>
        <v>Electrical</v>
      </c>
      <c r="D26" s="12" t="str">
        <f aca="false">INDEX(Data_CostCodes!$D:$D,MATCH($B26,Data_CostCodes!$A:$A,0))</f>
        <v>Subcontract</v>
      </c>
      <c r="E26" s="15" t="n">
        <f aca="false">SUMIFS('Cost Report'!$E$5:$E$180,'Cost Report'!$A$5:$A$180,$C$3,'Cost Report'!$B$5:$B$180,$B26)</f>
        <v>1065000</v>
      </c>
      <c r="F26" s="15" t="n">
        <f aca="false">SUMIFS('Cost Report'!$F$5:$F$180,'Cost Report'!$A$5:$A$180,$C$3,'Cost Report'!$B$5:$B$180,$B26)</f>
        <v>0</v>
      </c>
      <c r="G26" s="15" t="n">
        <f aca="false">SUMIFS('Cost Report'!$G$5:$G$180,'Cost Report'!$A$5:$A$180,$C$3,'Cost Report'!$B$5:$B$180,$B26)</f>
        <v>1065000</v>
      </c>
      <c r="H26" s="15" t="n">
        <f aca="false">SUMIFS('Cost Report'!$H$5:$H$180,'Cost Report'!$A$5:$A$180,$C$3,'Cost Report'!$B$5:$B$180,$B26)</f>
        <v>608567.8</v>
      </c>
      <c r="I26" s="15" t="n">
        <f aca="false">SUMIFS('Cost Report'!$I$5:$I$180,'Cost Report'!$A$5:$A$180,$C$3,'Cost Report'!$B$5:$B$180,$B26)</f>
        <v>1052300</v>
      </c>
      <c r="J26" s="16" t="n">
        <f aca="false">IF(G26&gt;0,K26/G26,0)</f>
        <v>0.587</v>
      </c>
      <c r="K26" s="15" t="n">
        <f aca="false">SUMIFS('Cost Report'!$K$5:$K$180,'Cost Report'!$A$5:$A$180,$C$3,'Cost Report'!$B$5:$B$180,$B26)</f>
        <v>625155</v>
      </c>
      <c r="L26" s="19" t="n">
        <f aca="false">IF(H26&gt;0,K26/H26,"")</f>
        <v>1.02725612495436</v>
      </c>
      <c r="M26" s="15" t="n">
        <f aca="false">SUMIFS('Cost Report'!$M$5:$M$180,'Cost Report'!$A$5:$A$180,$C$3,'Cost Report'!$B$5:$B$180,$B26)</f>
        <v>1052300</v>
      </c>
      <c r="N26" s="15" t="n">
        <f aca="false">SUMIFS('Cost Report'!$N$5:$N$180,'Cost Report'!$A$5:$A$180,$C$3,'Cost Report'!$B$5:$B$180,$B26)</f>
        <v>12700</v>
      </c>
      <c r="O26" s="15" t="n">
        <f aca="false">SUMIFS('Cost Report'!$O$5:$O$180,'Cost Report'!$A$5:$A$180,$C$3,'Cost Report'!$B$5:$B$180,$B26)</f>
        <v>443732.2</v>
      </c>
      <c r="P26" s="35" t="n">
        <f aca="false">SUMIFS('Cost Report'!$P$5:$P$180,'Cost Report'!$A$5:$A$180,$C$3,'Cost Report'!$B$5:$B$180,$B26)</f>
        <v>0</v>
      </c>
      <c r="Q26" s="35" t="n">
        <f aca="false">SUMIFS('Cost Report'!$Q$5:$Q$180,'Cost Report'!$A$5:$A$180,$C$3,'Cost Report'!$B$5:$B$180,$B26)</f>
        <v>0</v>
      </c>
      <c r="R26" s="35" t="n">
        <f aca="false">SUMIFS('Cost Report'!$R$5:$R$180,'Cost Report'!$A$5:$A$180,$C$3,'Cost Report'!$B$5:$B$180,$B26)</f>
        <v>0</v>
      </c>
    </row>
    <row r="27" customFormat="false" ht="15" hidden="false" customHeight="false" outlineLevel="0" collapsed="false">
      <c r="B27" s="20" t="s">
        <v>112</v>
      </c>
      <c r="C27" s="20"/>
      <c r="D27" s="20"/>
      <c r="E27" s="21" t="n">
        <f aca="false">SUM(E12:E26)</f>
        <v>10113400</v>
      </c>
      <c r="F27" s="21" t="n">
        <f aca="false">SUM(F12:F26)</f>
        <v>650200</v>
      </c>
      <c r="G27" s="21" t="n">
        <f aca="false">SUM(G12:G26)</f>
        <v>10763600</v>
      </c>
      <c r="H27" s="21" t="n">
        <f aca="false">SUM(H12:H26)</f>
        <v>8582224.51</v>
      </c>
      <c r="I27" s="21" t="n">
        <f aca="false">SUM(I12:I26)</f>
        <v>8139000</v>
      </c>
      <c r="J27" s="22" t="n">
        <f aca="false">IF(G27&gt;0,K27/G27,0)</f>
        <v>0.751827873573897</v>
      </c>
      <c r="K27" s="21" t="n">
        <f aca="false">SUM(K12:K26)</f>
        <v>8092374.5</v>
      </c>
      <c r="L27" s="24" t="n">
        <f aca="false">IF(H27&gt;0,K27/H27,0)</f>
        <v>0.942922722491211</v>
      </c>
      <c r="M27" s="21" t="n">
        <f aca="false">SUM(M12:M26)</f>
        <v>11519732.2815104</v>
      </c>
      <c r="N27" s="21" t="n">
        <f aca="false">SUM(N12:N26)</f>
        <v>-756132.281510378</v>
      </c>
      <c r="O27" s="21" t="n">
        <f aca="false">SUM(O12:O26)</f>
        <v>2937507.77151038</v>
      </c>
      <c r="P27" s="36" t="n">
        <f aca="false">SUM(P12:P26)</f>
        <v>30638</v>
      </c>
      <c r="Q27" s="36" t="n">
        <f aca="false">SUM(Q12:Q26)</f>
        <v>30024.3</v>
      </c>
      <c r="R27" s="36" t="n">
        <f aca="false">SUM(R12:R26)</f>
        <v>26817.041</v>
      </c>
    </row>
    <row r="29" customFormat="false" ht="15" hidden="false" customHeight="false" outlineLevel="0" collapsed="false">
      <c r="B29" s="3" t="s">
        <v>113</v>
      </c>
    </row>
  </sheetData>
  <mergeCells count="9">
    <mergeCell ref="F5:G5"/>
    <mergeCell ref="J5:L5"/>
    <mergeCell ref="F6:G6"/>
    <mergeCell ref="J6:L6"/>
    <mergeCell ref="F7:G7"/>
    <mergeCell ref="J7:L7"/>
    <mergeCell ref="F8:G8"/>
    <mergeCell ref="J8:L8"/>
    <mergeCell ref="F9:G9"/>
  </mergeCells>
  <conditionalFormatting sqref="H9">
    <cfRule type="cellIs" priority="2" operator="lessThan" aboveAverage="0" equalAverage="0" bottom="0" percent="0" rank="0" text="" dxfId="0">
      <formula>-0.02</formula>
    </cfRule>
  </conditionalFormatting>
  <conditionalFormatting sqref="M5">
    <cfRule type="cellIs" priority="3" operator="lessThan" aboveAverage="0" equalAverage="0" bottom="0" percent="0" rank="0" text="" dxfId="0">
      <formula>0.97</formula>
    </cfRule>
  </conditionalFormatting>
  <conditionalFormatting sqref="M6">
    <cfRule type="cellIs" priority="4" operator="lessThan" aboveAverage="0" equalAverage="0" bottom="0" percent="0" rank="0" text="" dxfId="0">
      <formula>0.97</formula>
    </cfRule>
  </conditionalFormatting>
  <conditionalFormatting sqref="N12:N26">
    <cfRule type="cellIs" priority="5" operator="lessThan" aboveAverage="0" equalAverage="0" bottom="0" percent="0" rank="0" text="" dxfId="0">
      <formula>-25000</formula>
    </cfRule>
  </conditionalFormatting>
  <conditionalFormatting sqref="L12:L26">
    <cfRule type="expression" priority="6" aboveAverage="0" equalAverage="0" bottom="0" percent="0" rank="0" text="" dxfId="0">
      <formula>AND(ISNUMBER(L12),L12&lt;0.95)</formula>
    </cfRule>
  </conditionalFormatting>
  <dataValidations count="1">
    <dataValidation allowBlank="false" errorStyle="stop" operator="between" prompt="Choose a job number from the list" promptTitle="Job" showDropDown="false" showErrorMessage="false" showInputMessage="false" sqref="C3" type="list">
      <formula1>Data_Jobs!$A$2:$A$13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12"/>
    <col collapsed="false" customWidth="true" hidden="false" outlineLevel="0" max="14" min="14" style="0" width="14"/>
    <col collapsed="false" customWidth="true" hidden="false" outlineLevel="0" max="15" min="15" style="0" width="15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3" t="s">
        <v>115</v>
      </c>
    </row>
    <row r="4" customFormat="false" ht="21.75" hidden="false" customHeight="true" outlineLevel="0" collapsed="false">
      <c r="A4" s="11" t="s">
        <v>116</v>
      </c>
      <c r="B4" s="11" t="s">
        <v>58</v>
      </c>
      <c r="C4" s="11" t="s">
        <v>59</v>
      </c>
      <c r="D4" s="11" t="s">
        <v>60</v>
      </c>
      <c r="E4" s="11" t="s">
        <v>61</v>
      </c>
      <c r="F4" s="11" t="s">
        <v>62</v>
      </c>
      <c r="G4" s="11" t="s">
        <v>63</v>
      </c>
      <c r="H4" s="11" t="s">
        <v>64</v>
      </c>
      <c r="I4" s="11" t="s">
        <v>65</v>
      </c>
      <c r="J4" s="11" t="s">
        <v>66</v>
      </c>
      <c r="K4" s="11" t="s">
        <v>67</v>
      </c>
      <c r="L4" s="11" t="s">
        <v>68</v>
      </c>
      <c r="M4" s="11" t="s">
        <v>69</v>
      </c>
      <c r="N4" s="11" t="s">
        <v>117</v>
      </c>
      <c r="O4" s="11" t="s">
        <v>118</v>
      </c>
    </row>
    <row r="5" customFormat="false" ht="15" hidden="false" customHeight="false" outlineLevel="0" collapsed="false">
      <c r="A5" s="37" t="n">
        <v>202406</v>
      </c>
      <c r="B5" s="38" t="n">
        <f aca="false">SUMIFS(Data_JobCost!$L:$L,Data_JobCost!$C:$C,$A5,Data_JobCost!$D:$D,B$4)</f>
        <v>39201.02</v>
      </c>
      <c r="C5" s="38" t="n">
        <f aca="false">SUMIFS(Data_JobCost!$L:$L,Data_JobCost!$C:$C,$A5,Data_JobCost!$D:$D,C$4)</f>
        <v>0</v>
      </c>
      <c r="D5" s="38" t="n">
        <f aca="false">SUMIFS(Data_JobCost!$L:$L,Data_JobCost!$C:$C,$A5,Data_JobCost!$D:$D,D$4)</f>
        <v>0</v>
      </c>
      <c r="E5" s="38" t="n">
        <f aca="false">SUMIFS(Data_JobCost!$L:$L,Data_JobCost!$C:$C,$A5,Data_JobCost!$D:$D,E$4)</f>
        <v>0</v>
      </c>
      <c r="F5" s="38" t="n">
        <f aca="false">SUMIFS(Data_JobCost!$L:$L,Data_JobCost!$C:$C,$A5,Data_JobCost!$D:$D,F$4)</f>
        <v>0</v>
      </c>
      <c r="G5" s="38" t="n">
        <f aca="false">SUMIFS(Data_JobCost!$L:$L,Data_JobCost!$C:$C,$A5,Data_JobCost!$D:$D,G$4)</f>
        <v>0</v>
      </c>
      <c r="H5" s="38" t="n">
        <f aca="false">SUMIFS(Data_JobCost!$L:$L,Data_JobCost!$C:$C,$A5,Data_JobCost!$D:$D,H$4)</f>
        <v>0</v>
      </c>
      <c r="I5" s="38" t="n">
        <f aca="false">SUMIFS(Data_JobCost!$L:$L,Data_JobCost!$C:$C,$A5,Data_JobCost!$D:$D,I$4)</f>
        <v>0</v>
      </c>
      <c r="J5" s="38" t="n">
        <f aca="false">SUMIFS(Data_JobCost!$L:$L,Data_JobCost!$C:$C,$A5,Data_JobCost!$D:$D,J$4)</f>
        <v>0</v>
      </c>
      <c r="K5" s="38" t="n">
        <f aca="false">SUMIFS(Data_JobCost!$L:$L,Data_JobCost!$C:$C,$A5,Data_JobCost!$D:$D,K$4)</f>
        <v>0</v>
      </c>
      <c r="L5" s="38" t="n">
        <f aca="false">SUMIFS(Data_JobCost!$L:$L,Data_JobCost!$C:$C,$A5,Data_JobCost!$D:$D,L$4)</f>
        <v>0</v>
      </c>
      <c r="M5" s="38" t="n">
        <f aca="false">SUMIFS(Data_JobCost!$L:$L,Data_JobCost!$C:$C,$A5,Data_JobCost!$D:$D,M$4)</f>
        <v>0</v>
      </c>
      <c r="N5" s="39" t="n">
        <f aca="false">SUM(B5:M5)</f>
        <v>39201.02</v>
      </c>
      <c r="O5" s="38" t="n">
        <f aca="false">N5</f>
        <v>39201.02</v>
      </c>
    </row>
    <row r="6" customFormat="false" ht="15" hidden="false" customHeight="false" outlineLevel="0" collapsed="false">
      <c r="A6" s="37" t="n">
        <v>202407</v>
      </c>
      <c r="B6" s="38" t="n">
        <f aca="false">SUMIFS(Data_JobCost!$L:$L,Data_JobCost!$C:$C,$A6,Data_JobCost!$D:$D,B$4)</f>
        <v>91276.61</v>
      </c>
      <c r="C6" s="38" t="n">
        <f aca="false">SUMIFS(Data_JobCost!$L:$L,Data_JobCost!$C:$C,$A6,Data_JobCost!$D:$D,C$4)</f>
        <v>0</v>
      </c>
      <c r="D6" s="38" t="n">
        <f aca="false">SUMIFS(Data_JobCost!$L:$L,Data_JobCost!$C:$C,$A6,Data_JobCost!$D:$D,D$4)</f>
        <v>0</v>
      </c>
      <c r="E6" s="38" t="n">
        <f aca="false">SUMIFS(Data_JobCost!$L:$L,Data_JobCost!$C:$C,$A6,Data_JobCost!$D:$D,E$4)</f>
        <v>0</v>
      </c>
      <c r="F6" s="38" t="n">
        <f aca="false">SUMIFS(Data_JobCost!$L:$L,Data_JobCost!$C:$C,$A6,Data_JobCost!$D:$D,F$4)</f>
        <v>0</v>
      </c>
      <c r="G6" s="38" t="n">
        <f aca="false">SUMIFS(Data_JobCost!$L:$L,Data_JobCost!$C:$C,$A6,Data_JobCost!$D:$D,G$4)</f>
        <v>0</v>
      </c>
      <c r="H6" s="38" t="n">
        <f aca="false">SUMIFS(Data_JobCost!$L:$L,Data_JobCost!$C:$C,$A6,Data_JobCost!$D:$D,H$4)</f>
        <v>0</v>
      </c>
      <c r="I6" s="38" t="n">
        <f aca="false">SUMIFS(Data_JobCost!$L:$L,Data_JobCost!$C:$C,$A6,Data_JobCost!$D:$D,I$4)</f>
        <v>0</v>
      </c>
      <c r="J6" s="38" t="n">
        <f aca="false">SUMIFS(Data_JobCost!$L:$L,Data_JobCost!$C:$C,$A6,Data_JobCost!$D:$D,J$4)</f>
        <v>0</v>
      </c>
      <c r="K6" s="38" t="n">
        <f aca="false">SUMIFS(Data_JobCost!$L:$L,Data_JobCost!$C:$C,$A6,Data_JobCost!$D:$D,K$4)</f>
        <v>0</v>
      </c>
      <c r="L6" s="38" t="n">
        <f aca="false">SUMIFS(Data_JobCost!$L:$L,Data_JobCost!$C:$C,$A6,Data_JobCost!$D:$D,L$4)</f>
        <v>0</v>
      </c>
      <c r="M6" s="38" t="n">
        <f aca="false">SUMIFS(Data_JobCost!$L:$L,Data_JobCost!$C:$C,$A6,Data_JobCost!$D:$D,M$4)</f>
        <v>0</v>
      </c>
      <c r="N6" s="39" t="n">
        <f aca="false">SUM(B6:M6)</f>
        <v>91276.61</v>
      </c>
      <c r="O6" s="38" t="n">
        <f aca="false">O5+N6</f>
        <v>130477.63</v>
      </c>
    </row>
    <row r="7" customFormat="false" ht="15" hidden="false" customHeight="false" outlineLevel="0" collapsed="false">
      <c r="A7" s="37" t="n">
        <v>202408</v>
      </c>
      <c r="B7" s="38" t="n">
        <f aca="false">SUMIFS(Data_JobCost!$L:$L,Data_JobCost!$C:$C,$A7,Data_JobCost!$D:$D,B$4)</f>
        <v>184236.51</v>
      </c>
      <c r="C7" s="38" t="n">
        <f aca="false">SUMIFS(Data_JobCost!$L:$L,Data_JobCost!$C:$C,$A7,Data_JobCost!$D:$D,C$4)</f>
        <v>0</v>
      </c>
      <c r="D7" s="38" t="n">
        <f aca="false">SUMIFS(Data_JobCost!$L:$L,Data_JobCost!$C:$C,$A7,Data_JobCost!$D:$D,D$4)</f>
        <v>0</v>
      </c>
      <c r="E7" s="38" t="n">
        <f aca="false">SUMIFS(Data_JobCost!$L:$L,Data_JobCost!$C:$C,$A7,Data_JobCost!$D:$D,E$4)</f>
        <v>0</v>
      </c>
      <c r="F7" s="38" t="n">
        <f aca="false">SUMIFS(Data_JobCost!$L:$L,Data_JobCost!$C:$C,$A7,Data_JobCost!$D:$D,F$4)</f>
        <v>0</v>
      </c>
      <c r="G7" s="38" t="n">
        <f aca="false">SUMIFS(Data_JobCost!$L:$L,Data_JobCost!$C:$C,$A7,Data_JobCost!$D:$D,G$4)</f>
        <v>0</v>
      </c>
      <c r="H7" s="38" t="n">
        <f aca="false">SUMIFS(Data_JobCost!$L:$L,Data_JobCost!$C:$C,$A7,Data_JobCost!$D:$D,H$4)</f>
        <v>0</v>
      </c>
      <c r="I7" s="38" t="n">
        <f aca="false">SUMIFS(Data_JobCost!$L:$L,Data_JobCost!$C:$C,$A7,Data_JobCost!$D:$D,I$4)</f>
        <v>0</v>
      </c>
      <c r="J7" s="38" t="n">
        <f aca="false">SUMIFS(Data_JobCost!$L:$L,Data_JobCost!$C:$C,$A7,Data_JobCost!$D:$D,J$4)</f>
        <v>0</v>
      </c>
      <c r="K7" s="38" t="n">
        <f aca="false">SUMIFS(Data_JobCost!$L:$L,Data_JobCost!$C:$C,$A7,Data_JobCost!$D:$D,K$4)</f>
        <v>0</v>
      </c>
      <c r="L7" s="38" t="n">
        <f aca="false">SUMIFS(Data_JobCost!$L:$L,Data_JobCost!$C:$C,$A7,Data_JobCost!$D:$D,L$4)</f>
        <v>0</v>
      </c>
      <c r="M7" s="38" t="n">
        <f aca="false">SUMIFS(Data_JobCost!$L:$L,Data_JobCost!$C:$C,$A7,Data_JobCost!$D:$D,M$4)</f>
        <v>0</v>
      </c>
      <c r="N7" s="39" t="n">
        <f aca="false">SUM(B7:M7)</f>
        <v>184236.51</v>
      </c>
      <c r="O7" s="38" t="n">
        <f aca="false">O6+N7</f>
        <v>314714.14</v>
      </c>
    </row>
    <row r="8" customFormat="false" ht="15" hidden="false" customHeight="false" outlineLevel="0" collapsed="false">
      <c r="A8" s="37" t="n">
        <v>202409</v>
      </c>
      <c r="B8" s="38" t="n">
        <f aca="false">SUMIFS(Data_JobCost!$L:$L,Data_JobCost!$C:$C,$A8,Data_JobCost!$D:$D,B$4)</f>
        <v>245464.58</v>
      </c>
      <c r="C8" s="38" t="n">
        <f aca="false">SUMIFS(Data_JobCost!$L:$L,Data_JobCost!$C:$C,$A8,Data_JobCost!$D:$D,C$4)</f>
        <v>0</v>
      </c>
      <c r="D8" s="38" t="n">
        <f aca="false">SUMIFS(Data_JobCost!$L:$L,Data_JobCost!$C:$C,$A8,Data_JobCost!$D:$D,D$4)</f>
        <v>0</v>
      </c>
      <c r="E8" s="38" t="n">
        <f aca="false">SUMIFS(Data_JobCost!$L:$L,Data_JobCost!$C:$C,$A8,Data_JobCost!$D:$D,E$4)</f>
        <v>0</v>
      </c>
      <c r="F8" s="38" t="n">
        <f aca="false">SUMIFS(Data_JobCost!$L:$L,Data_JobCost!$C:$C,$A8,Data_JobCost!$D:$D,F$4)</f>
        <v>0</v>
      </c>
      <c r="G8" s="38" t="n">
        <f aca="false">SUMIFS(Data_JobCost!$L:$L,Data_JobCost!$C:$C,$A8,Data_JobCost!$D:$D,G$4)</f>
        <v>0</v>
      </c>
      <c r="H8" s="38" t="n">
        <f aca="false">SUMIFS(Data_JobCost!$L:$L,Data_JobCost!$C:$C,$A8,Data_JobCost!$D:$D,H$4)</f>
        <v>0</v>
      </c>
      <c r="I8" s="38" t="n">
        <f aca="false">SUMIFS(Data_JobCost!$L:$L,Data_JobCost!$C:$C,$A8,Data_JobCost!$D:$D,I$4)</f>
        <v>0</v>
      </c>
      <c r="J8" s="38" t="n">
        <f aca="false">SUMIFS(Data_JobCost!$L:$L,Data_JobCost!$C:$C,$A8,Data_JobCost!$D:$D,J$4)</f>
        <v>0</v>
      </c>
      <c r="K8" s="38" t="n">
        <f aca="false">SUMIFS(Data_JobCost!$L:$L,Data_JobCost!$C:$C,$A8,Data_JobCost!$D:$D,K$4)</f>
        <v>0</v>
      </c>
      <c r="L8" s="38" t="n">
        <f aca="false">SUMIFS(Data_JobCost!$L:$L,Data_JobCost!$C:$C,$A8,Data_JobCost!$D:$D,L$4)</f>
        <v>0</v>
      </c>
      <c r="M8" s="38" t="n">
        <f aca="false">SUMIFS(Data_JobCost!$L:$L,Data_JobCost!$C:$C,$A8,Data_JobCost!$D:$D,M$4)</f>
        <v>0</v>
      </c>
      <c r="N8" s="39" t="n">
        <f aca="false">SUM(B8:M8)</f>
        <v>245464.58</v>
      </c>
      <c r="O8" s="38" t="n">
        <f aca="false">O7+N8</f>
        <v>560178.72</v>
      </c>
    </row>
    <row r="9" customFormat="false" ht="15" hidden="false" customHeight="false" outlineLevel="0" collapsed="false">
      <c r="A9" s="37" t="n">
        <v>202410</v>
      </c>
      <c r="B9" s="38" t="n">
        <f aca="false">SUMIFS(Data_JobCost!$L:$L,Data_JobCost!$C:$C,$A9,Data_JobCost!$D:$D,B$4)</f>
        <v>342893.6</v>
      </c>
      <c r="C9" s="38" t="n">
        <f aca="false">SUMIFS(Data_JobCost!$L:$L,Data_JobCost!$C:$C,$A9,Data_JobCost!$D:$D,C$4)</f>
        <v>0</v>
      </c>
      <c r="D9" s="38" t="n">
        <f aca="false">SUMIFS(Data_JobCost!$L:$L,Data_JobCost!$C:$C,$A9,Data_JobCost!$D:$D,D$4)</f>
        <v>0</v>
      </c>
      <c r="E9" s="38" t="n">
        <f aca="false">SUMIFS(Data_JobCost!$L:$L,Data_JobCost!$C:$C,$A9,Data_JobCost!$D:$D,E$4)</f>
        <v>0</v>
      </c>
      <c r="F9" s="38" t="n">
        <f aca="false">SUMIFS(Data_JobCost!$L:$L,Data_JobCost!$C:$C,$A9,Data_JobCost!$D:$D,F$4)</f>
        <v>0</v>
      </c>
      <c r="G9" s="38" t="n">
        <f aca="false">SUMIFS(Data_JobCost!$L:$L,Data_JobCost!$C:$C,$A9,Data_JobCost!$D:$D,G$4)</f>
        <v>0</v>
      </c>
      <c r="H9" s="38" t="n">
        <f aca="false">SUMIFS(Data_JobCost!$L:$L,Data_JobCost!$C:$C,$A9,Data_JobCost!$D:$D,H$4)</f>
        <v>0</v>
      </c>
      <c r="I9" s="38" t="n">
        <f aca="false">SUMIFS(Data_JobCost!$L:$L,Data_JobCost!$C:$C,$A9,Data_JobCost!$D:$D,I$4)</f>
        <v>0</v>
      </c>
      <c r="J9" s="38" t="n">
        <f aca="false">SUMIFS(Data_JobCost!$L:$L,Data_JobCost!$C:$C,$A9,Data_JobCost!$D:$D,J$4)</f>
        <v>0</v>
      </c>
      <c r="K9" s="38" t="n">
        <f aca="false">SUMIFS(Data_JobCost!$L:$L,Data_JobCost!$C:$C,$A9,Data_JobCost!$D:$D,K$4)</f>
        <v>0</v>
      </c>
      <c r="L9" s="38" t="n">
        <f aca="false">SUMIFS(Data_JobCost!$L:$L,Data_JobCost!$C:$C,$A9,Data_JobCost!$D:$D,L$4)</f>
        <v>0</v>
      </c>
      <c r="M9" s="38" t="n">
        <f aca="false">SUMIFS(Data_JobCost!$L:$L,Data_JobCost!$C:$C,$A9,Data_JobCost!$D:$D,M$4)</f>
        <v>0</v>
      </c>
      <c r="N9" s="39" t="n">
        <f aca="false">SUM(B9:M9)</f>
        <v>342893.6</v>
      </c>
      <c r="O9" s="38" t="n">
        <f aca="false">O8+N9</f>
        <v>903072.32</v>
      </c>
    </row>
    <row r="10" customFormat="false" ht="15" hidden="false" customHeight="false" outlineLevel="0" collapsed="false">
      <c r="A10" s="37" t="n">
        <v>202411</v>
      </c>
      <c r="B10" s="38" t="n">
        <f aca="false">SUMIFS(Data_JobCost!$L:$L,Data_JobCost!$C:$C,$A10,Data_JobCost!$D:$D,B$4)</f>
        <v>384273.5</v>
      </c>
      <c r="C10" s="38" t="n">
        <f aca="false">SUMIFS(Data_JobCost!$L:$L,Data_JobCost!$C:$C,$A10,Data_JobCost!$D:$D,C$4)</f>
        <v>0</v>
      </c>
      <c r="D10" s="38" t="n">
        <f aca="false">SUMIFS(Data_JobCost!$L:$L,Data_JobCost!$C:$C,$A10,Data_JobCost!$D:$D,D$4)</f>
        <v>0</v>
      </c>
      <c r="E10" s="38" t="n">
        <f aca="false">SUMIFS(Data_JobCost!$L:$L,Data_JobCost!$C:$C,$A10,Data_JobCost!$D:$D,E$4)</f>
        <v>0</v>
      </c>
      <c r="F10" s="38" t="n">
        <f aca="false">SUMIFS(Data_JobCost!$L:$L,Data_JobCost!$C:$C,$A10,Data_JobCost!$D:$D,F$4)</f>
        <v>0</v>
      </c>
      <c r="G10" s="38" t="n">
        <f aca="false">SUMIFS(Data_JobCost!$L:$L,Data_JobCost!$C:$C,$A10,Data_JobCost!$D:$D,G$4)</f>
        <v>0</v>
      </c>
      <c r="H10" s="38" t="n">
        <f aca="false">SUMIFS(Data_JobCost!$L:$L,Data_JobCost!$C:$C,$A10,Data_JobCost!$D:$D,H$4)</f>
        <v>0</v>
      </c>
      <c r="I10" s="38" t="n">
        <f aca="false">SUMIFS(Data_JobCost!$L:$L,Data_JobCost!$C:$C,$A10,Data_JobCost!$D:$D,I$4)</f>
        <v>0</v>
      </c>
      <c r="J10" s="38" t="n">
        <f aca="false">SUMIFS(Data_JobCost!$L:$L,Data_JobCost!$C:$C,$A10,Data_JobCost!$D:$D,J$4)</f>
        <v>0</v>
      </c>
      <c r="K10" s="38" t="n">
        <f aca="false">SUMIFS(Data_JobCost!$L:$L,Data_JobCost!$C:$C,$A10,Data_JobCost!$D:$D,K$4)</f>
        <v>0</v>
      </c>
      <c r="L10" s="38" t="n">
        <f aca="false">SUMIFS(Data_JobCost!$L:$L,Data_JobCost!$C:$C,$A10,Data_JobCost!$D:$D,L$4)</f>
        <v>0</v>
      </c>
      <c r="M10" s="38" t="n">
        <f aca="false">SUMIFS(Data_JobCost!$L:$L,Data_JobCost!$C:$C,$A10,Data_JobCost!$D:$D,M$4)</f>
        <v>0</v>
      </c>
      <c r="N10" s="39" t="n">
        <f aca="false">SUM(B10:M10)</f>
        <v>384273.5</v>
      </c>
      <c r="O10" s="38" t="n">
        <f aca="false">O9+N10</f>
        <v>1287345.82</v>
      </c>
    </row>
    <row r="11" customFormat="false" ht="15" hidden="false" customHeight="false" outlineLevel="0" collapsed="false">
      <c r="A11" s="37" t="n">
        <v>202412</v>
      </c>
      <c r="B11" s="38" t="n">
        <f aca="false">SUMIFS(Data_JobCost!$L:$L,Data_JobCost!$C:$C,$A11,Data_JobCost!$D:$D,B$4)</f>
        <v>438101.97</v>
      </c>
      <c r="C11" s="38" t="n">
        <f aca="false">SUMIFS(Data_JobCost!$L:$L,Data_JobCost!$C:$C,$A11,Data_JobCost!$D:$D,C$4)</f>
        <v>0</v>
      </c>
      <c r="D11" s="38" t="n">
        <f aca="false">SUMIFS(Data_JobCost!$L:$L,Data_JobCost!$C:$C,$A11,Data_JobCost!$D:$D,D$4)</f>
        <v>0</v>
      </c>
      <c r="E11" s="38" t="n">
        <f aca="false">SUMIFS(Data_JobCost!$L:$L,Data_JobCost!$C:$C,$A11,Data_JobCost!$D:$D,E$4)</f>
        <v>0</v>
      </c>
      <c r="F11" s="38" t="n">
        <f aca="false">SUMIFS(Data_JobCost!$L:$L,Data_JobCost!$C:$C,$A11,Data_JobCost!$D:$D,F$4)</f>
        <v>0</v>
      </c>
      <c r="G11" s="38" t="n">
        <f aca="false">SUMIFS(Data_JobCost!$L:$L,Data_JobCost!$C:$C,$A11,Data_JobCost!$D:$D,G$4)</f>
        <v>0</v>
      </c>
      <c r="H11" s="38" t="n">
        <f aca="false">SUMIFS(Data_JobCost!$L:$L,Data_JobCost!$C:$C,$A11,Data_JobCost!$D:$D,H$4)</f>
        <v>0</v>
      </c>
      <c r="I11" s="38" t="n">
        <f aca="false">SUMIFS(Data_JobCost!$L:$L,Data_JobCost!$C:$C,$A11,Data_JobCost!$D:$D,I$4)</f>
        <v>0</v>
      </c>
      <c r="J11" s="38" t="n">
        <f aca="false">SUMIFS(Data_JobCost!$L:$L,Data_JobCost!$C:$C,$A11,Data_JobCost!$D:$D,J$4)</f>
        <v>0</v>
      </c>
      <c r="K11" s="38" t="n">
        <f aca="false">SUMIFS(Data_JobCost!$L:$L,Data_JobCost!$C:$C,$A11,Data_JobCost!$D:$D,K$4)</f>
        <v>0</v>
      </c>
      <c r="L11" s="38" t="n">
        <f aca="false">SUMIFS(Data_JobCost!$L:$L,Data_JobCost!$C:$C,$A11,Data_JobCost!$D:$D,L$4)</f>
        <v>0</v>
      </c>
      <c r="M11" s="38" t="n">
        <f aca="false">SUMIFS(Data_JobCost!$L:$L,Data_JobCost!$C:$C,$A11,Data_JobCost!$D:$D,M$4)</f>
        <v>0</v>
      </c>
      <c r="N11" s="39" t="n">
        <f aca="false">SUM(B11:M11)</f>
        <v>438101.97</v>
      </c>
      <c r="O11" s="38" t="n">
        <f aca="false">O10+N11</f>
        <v>1725447.79</v>
      </c>
    </row>
    <row r="12" customFormat="false" ht="15" hidden="false" customHeight="false" outlineLevel="0" collapsed="false">
      <c r="A12" s="37" t="n">
        <v>202501</v>
      </c>
      <c r="B12" s="38" t="n">
        <f aca="false">SUMIFS(Data_JobCost!$L:$L,Data_JobCost!$C:$C,$A12,Data_JobCost!$D:$D,B$4)</f>
        <v>558702.16</v>
      </c>
      <c r="C12" s="38" t="n">
        <f aca="false">SUMIFS(Data_JobCost!$L:$L,Data_JobCost!$C:$C,$A12,Data_JobCost!$D:$D,C$4)</f>
        <v>0</v>
      </c>
      <c r="D12" s="38" t="n">
        <f aca="false">SUMIFS(Data_JobCost!$L:$L,Data_JobCost!$C:$C,$A12,Data_JobCost!$D:$D,D$4)</f>
        <v>0</v>
      </c>
      <c r="E12" s="38" t="n">
        <f aca="false">SUMIFS(Data_JobCost!$L:$L,Data_JobCost!$C:$C,$A12,Data_JobCost!$D:$D,E$4)</f>
        <v>0</v>
      </c>
      <c r="F12" s="38" t="n">
        <f aca="false">SUMIFS(Data_JobCost!$L:$L,Data_JobCost!$C:$C,$A12,Data_JobCost!$D:$D,F$4)</f>
        <v>0</v>
      </c>
      <c r="G12" s="38" t="n">
        <f aca="false">SUMIFS(Data_JobCost!$L:$L,Data_JobCost!$C:$C,$A12,Data_JobCost!$D:$D,G$4)</f>
        <v>0</v>
      </c>
      <c r="H12" s="38" t="n">
        <f aca="false">SUMIFS(Data_JobCost!$L:$L,Data_JobCost!$C:$C,$A12,Data_JobCost!$D:$D,H$4)</f>
        <v>0</v>
      </c>
      <c r="I12" s="38" t="n">
        <f aca="false">SUMIFS(Data_JobCost!$L:$L,Data_JobCost!$C:$C,$A12,Data_JobCost!$D:$D,I$4)</f>
        <v>0</v>
      </c>
      <c r="J12" s="38" t="n">
        <f aca="false">SUMIFS(Data_JobCost!$L:$L,Data_JobCost!$C:$C,$A12,Data_JobCost!$D:$D,J$4)</f>
        <v>0</v>
      </c>
      <c r="K12" s="38" t="n">
        <f aca="false">SUMIFS(Data_JobCost!$L:$L,Data_JobCost!$C:$C,$A12,Data_JobCost!$D:$D,K$4)</f>
        <v>0</v>
      </c>
      <c r="L12" s="38" t="n">
        <f aca="false">SUMIFS(Data_JobCost!$L:$L,Data_JobCost!$C:$C,$A12,Data_JobCost!$D:$D,L$4)</f>
        <v>0</v>
      </c>
      <c r="M12" s="38" t="n">
        <f aca="false">SUMIFS(Data_JobCost!$L:$L,Data_JobCost!$C:$C,$A12,Data_JobCost!$D:$D,M$4)</f>
        <v>0</v>
      </c>
      <c r="N12" s="39" t="n">
        <f aca="false">SUM(B12:M12)</f>
        <v>558702.16</v>
      </c>
      <c r="O12" s="38" t="n">
        <f aca="false">O11+N12</f>
        <v>2284149.95</v>
      </c>
    </row>
    <row r="13" customFormat="false" ht="15" hidden="false" customHeight="false" outlineLevel="0" collapsed="false">
      <c r="A13" s="37" t="n">
        <v>202502</v>
      </c>
      <c r="B13" s="38" t="n">
        <f aca="false">SUMIFS(Data_JobCost!$L:$L,Data_JobCost!$C:$C,$A13,Data_JobCost!$D:$D,B$4)</f>
        <v>520964.18</v>
      </c>
      <c r="C13" s="38" t="n">
        <f aca="false">SUMIFS(Data_JobCost!$L:$L,Data_JobCost!$C:$C,$A13,Data_JobCost!$D:$D,C$4)</f>
        <v>0</v>
      </c>
      <c r="D13" s="38" t="n">
        <f aca="false">SUMIFS(Data_JobCost!$L:$L,Data_JobCost!$C:$C,$A13,Data_JobCost!$D:$D,D$4)</f>
        <v>0</v>
      </c>
      <c r="E13" s="38" t="n">
        <f aca="false">SUMIFS(Data_JobCost!$L:$L,Data_JobCost!$C:$C,$A13,Data_JobCost!$D:$D,E$4)</f>
        <v>0</v>
      </c>
      <c r="F13" s="38" t="n">
        <f aca="false">SUMIFS(Data_JobCost!$L:$L,Data_JobCost!$C:$C,$A13,Data_JobCost!$D:$D,F$4)</f>
        <v>0</v>
      </c>
      <c r="G13" s="38" t="n">
        <f aca="false">SUMIFS(Data_JobCost!$L:$L,Data_JobCost!$C:$C,$A13,Data_JobCost!$D:$D,G$4)</f>
        <v>0</v>
      </c>
      <c r="H13" s="38" t="n">
        <f aca="false">SUMIFS(Data_JobCost!$L:$L,Data_JobCost!$C:$C,$A13,Data_JobCost!$D:$D,H$4)</f>
        <v>0</v>
      </c>
      <c r="I13" s="38" t="n">
        <f aca="false">SUMIFS(Data_JobCost!$L:$L,Data_JobCost!$C:$C,$A13,Data_JobCost!$D:$D,I$4)</f>
        <v>0</v>
      </c>
      <c r="J13" s="38" t="n">
        <f aca="false">SUMIFS(Data_JobCost!$L:$L,Data_JobCost!$C:$C,$A13,Data_JobCost!$D:$D,J$4)</f>
        <v>0</v>
      </c>
      <c r="K13" s="38" t="n">
        <f aca="false">SUMIFS(Data_JobCost!$L:$L,Data_JobCost!$C:$C,$A13,Data_JobCost!$D:$D,K$4)</f>
        <v>0</v>
      </c>
      <c r="L13" s="38" t="n">
        <f aca="false">SUMIFS(Data_JobCost!$L:$L,Data_JobCost!$C:$C,$A13,Data_JobCost!$D:$D,L$4)</f>
        <v>0</v>
      </c>
      <c r="M13" s="38" t="n">
        <f aca="false">SUMIFS(Data_JobCost!$L:$L,Data_JobCost!$C:$C,$A13,Data_JobCost!$D:$D,M$4)</f>
        <v>0</v>
      </c>
      <c r="N13" s="39" t="n">
        <f aca="false">SUM(B13:M13)</f>
        <v>520964.18</v>
      </c>
      <c r="O13" s="38" t="n">
        <f aca="false">O12+N13</f>
        <v>2805114.13</v>
      </c>
    </row>
    <row r="14" customFormat="false" ht="15" hidden="false" customHeight="false" outlineLevel="0" collapsed="false">
      <c r="A14" s="37" t="n">
        <v>202503</v>
      </c>
      <c r="B14" s="38" t="n">
        <f aca="false">SUMIFS(Data_JobCost!$L:$L,Data_JobCost!$C:$C,$A14,Data_JobCost!$D:$D,B$4)</f>
        <v>667866.28</v>
      </c>
      <c r="C14" s="38" t="n">
        <f aca="false">SUMIFS(Data_JobCost!$L:$L,Data_JobCost!$C:$C,$A14,Data_JobCost!$D:$D,C$4)</f>
        <v>141082.97</v>
      </c>
      <c r="D14" s="38" t="n">
        <f aca="false">SUMIFS(Data_JobCost!$L:$L,Data_JobCost!$C:$C,$A14,Data_JobCost!$D:$D,D$4)</f>
        <v>0</v>
      </c>
      <c r="E14" s="38" t="n">
        <f aca="false">SUMIFS(Data_JobCost!$L:$L,Data_JobCost!$C:$C,$A14,Data_JobCost!$D:$D,E$4)</f>
        <v>0</v>
      </c>
      <c r="F14" s="38" t="n">
        <f aca="false">SUMIFS(Data_JobCost!$L:$L,Data_JobCost!$C:$C,$A14,Data_JobCost!$D:$D,F$4)</f>
        <v>0</v>
      </c>
      <c r="G14" s="38" t="n">
        <f aca="false">SUMIFS(Data_JobCost!$L:$L,Data_JobCost!$C:$C,$A14,Data_JobCost!$D:$D,G$4)</f>
        <v>0</v>
      </c>
      <c r="H14" s="38" t="n">
        <f aca="false">SUMIFS(Data_JobCost!$L:$L,Data_JobCost!$C:$C,$A14,Data_JobCost!$D:$D,H$4)</f>
        <v>0</v>
      </c>
      <c r="I14" s="38" t="n">
        <f aca="false">SUMIFS(Data_JobCost!$L:$L,Data_JobCost!$C:$C,$A14,Data_JobCost!$D:$D,I$4)</f>
        <v>0</v>
      </c>
      <c r="J14" s="38" t="n">
        <f aca="false">SUMIFS(Data_JobCost!$L:$L,Data_JobCost!$C:$C,$A14,Data_JobCost!$D:$D,J$4)</f>
        <v>0</v>
      </c>
      <c r="K14" s="38" t="n">
        <f aca="false">SUMIFS(Data_JobCost!$L:$L,Data_JobCost!$C:$C,$A14,Data_JobCost!$D:$D,K$4)</f>
        <v>0</v>
      </c>
      <c r="L14" s="38" t="n">
        <f aca="false">SUMIFS(Data_JobCost!$L:$L,Data_JobCost!$C:$C,$A14,Data_JobCost!$D:$D,L$4)</f>
        <v>0</v>
      </c>
      <c r="M14" s="38" t="n">
        <f aca="false">SUMIFS(Data_JobCost!$L:$L,Data_JobCost!$C:$C,$A14,Data_JobCost!$D:$D,M$4)</f>
        <v>0</v>
      </c>
      <c r="N14" s="39" t="n">
        <f aca="false">SUM(B14:M14)</f>
        <v>808949.25</v>
      </c>
      <c r="O14" s="38" t="n">
        <f aca="false">O13+N14</f>
        <v>3614063.38</v>
      </c>
    </row>
    <row r="15" customFormat="false" ht="15" hidden="false" customHeight="false" outlineLevel="0" collapsed="false">
      <c r="A15" s="37" t="n">
        <v>202504</v>
      </c>
      <c r="B15" s="38" t="n">
        <f aca="false">SUMIFS(Data_JobCost!$L:$L,Data_JobCost!$C:$C,$A15,Data_JobCost!$D:$D,B$4)</f>
        <v>701693.98</v>
      </c>
      <c r="C15" s="38" t="n">
        <f aca="false">SUMIFS(Data_JobCost!$L:$L,Data_JobCost!$C:$C,$A15,Data_JobCost!$D:$D,C$4)</f>
        <v>375657.23</v>
      </c>
      <c r="D15" s="38" t="n">
        <f aca="false">SUMIFS(Data_JobCost!$L:$L,Data_JobCost!$C:$C,$A15,Data_JobCost!$D:$D,D$4)</f>
        <v>0</v>
      </c>
      <c r="E15" s="38" t="n">
        <f aca="false">SUMIFS(Data_JobCost!$L:$L,Data_JobCost!$C:$C,$A15,Data_JobCost!$D:$D,E$4)</f>
        <v>0</v>
      </c>
      <c r="F15" s="38" t="n">
        <f aca="false">SUMIFS(Data_JobCost!$L:$L,Data_JobCost!$C:$C,$A15,Data_JobCost!$D:$D,F$4)</f>
        <v>0</v>
      </c>
      <c r="G15" s="38" t="n">
        <f aca="false">SUMIFS(Data_JobCost!$L:$L,Data_JobCost!$C:$C,$A15,Data_JobCost!$D:$D,G$4)</f>
        <v>0</v>
      </c>
      <c r="H15" s="38" t="n">
        <f aca="false">SUMIFS(Data_JobCost!$L:$L,Data_JobCost!$C:$C,$A15,Data_JobCost!$D:$D,H$4)</f>
        <v>0</v>
      </c>
      <c r="I15" s="38" t="n">
        <f aca="false">SUMIFS(Data_JobCost!$L:$L,Data_JobCost!$C:$C,$A15,Data_JobCost!$D:$D,I$4)</f>
        <v>0</v>
      </c>
      <c r="J15" s="38" t="n">
        <f aca="false">SUMIFS(Data_JobCost!$L:$L,Data_JobCost!$C:$C,$A15,Data_JobCost!$D:$D,J$4)</f>
        <v>0</v>
      </c>
      <c r="K15" s="38" t="n">
        <f aca="false">SUMIFS(Data_JobCost!$L:$L,Data_JobCost!$C:$C,$A15,Data_JobCost!$D:$D,K$4)</f>
        <v>0</v>
      </c>
      <c r="L15" s="38" t="n">
        <f aca="false">SUMIFS(Data_JobCost!$L:$L,Data_JobCost!$C:$C,$A15,Data_JobCost!$D:$D,L$4)</f>
        <v>0</v>
      </c>
      <c r="M15" s="38" t="n">
        <f aca="false">SUMIFS(Data_JobCost!$L:$L,Data_JobCost!$C:$C,$A15,Data_JobCost!$D:$D,M$4)</f>
        <v>0</v>
      </c>
      <c r="N15" s="39" t="n">
        <f aca="false">SUM(B15:M15)</f>
        <v>1077351.21</v>
      </c>
      <c r="O15" s="38" t="n">
        <f aca="false">O14+N15</f>
        <v>4691414.59</v>
      </c>
    </row>
    <row r="16" customFormat="false" ht="15" hidden="false" customHeight="false" outlineLevel="0" collapsed="false">
      <c r="A16" s="37" t="n">
        <v>202505</v>
      </c>
      <c r="B16" s="38" t="n">
        <f aca="false">SUMIFS(Data_JobCost!$L:$L,Data_JobCost!$C:$C,$A16,Data_JobCost!$D:$D,B$4)</f>
        <v>744704.94</v>
      </c>
      <c r="C16" s="38" t="n">
        <f aca="false">SUMIFS(Data_JobCost!$L:$L,Data_JobCost!$C:$C,$A16,Data_JobCost!$D:$D,C$4)</f>
        <v>805086.61</v>
      </c>
      <c r="D16" s="38" t="n">
        <f aca="false">SUMIFS(Data_JobCost!$L:$L,Data_JobCost!$C:$C,$A16,Data_JobCost!$D:$D,D$4)</f>
        <v>66021.25</v>
      </c>
      <c r="E16" s="38" t="n">
        <f aca="false">SUMIFS(Data_JobCost!$L:$L,Data_JobCost!$C:$C,$A16,Data_JobCost!$D:$D,E$4)</f>
        <v>0</v>
      </c>
      <c r="F16" s="38" t="n">
        <f aca="false">SUMIFS(Data_JobCost!$L:$L,Data_JobCost!$C:$C,$A16,Data_JobCost!$D:$D,F$4)</f>
        <v>0</v>
      </c>
      <c r="G16" s="38" t="n">
        <f aca="false">SUMIFS(Data_JobCost!$L:$L,Data_JobCost!$C:$C,$A16,Data_JobCost!$D:$D,G$4)</f>
        <v>0</v>
      </c>
      <c r="H16" s="38" t="n">
        <f aca="false">SUMIFS(Data_JobCost!$L:$L,Data_JobCost!$C:$C,$A16,Data_JobCost!$D:$D,H$4)</f>
        <v>0</v>
      </c>
      <c r="I16" s="38" t="n">
        <f aca="false">SUMIFS(Data_JobCost!$L:$L,Data_JobCost!$C:$C,$A16,Data_JobCost!$D:$D,I$4)</f>
        <v>0</v>
      </c>
      <c r="J16" s="38" t="n">
        <f aca="false">SUMIFS(Data_JobCost!$L:$L,Data_JobCost!$C:$C,$A16,Data_JobCost!$D:$D,J$4)</f>
        <v>0</v>
      </c>
      <c r="K16" s="38" t="n">
        <f aca="false">SUMIFS(Data_JobCost!$L:$L,Data_JobCost!$C:$C,$A16,Data_JobCost!$D:$D,K$4)</f>
        <v>0</v>
      </c>
      <c r="L16" s="38" t="n">
        <f aca="false">SUMIFS(Data_JobCost!$L:$L,Data_JobCost!$C:$C,$A16,Data_JobCost!$D:$D,L$4)</f>
        <v>0</v>
      </c>
      <c r="M16" s="38" t="n">
        <f aca="false">SUMIFS(Data_JobCost!$L:$L,Data_JobCost!$C:$C,$A16,Data_JobCost!$D:$D,M$4)</f>
        <v>0</v>
      </c>
      <c r="N16" s="39" t="n">
        <f aca="false">SUM(B16:M16)</f>
        <v>1615812.8</v>
      </c>
      <c r="O16" s="38" t="n">
        <f aca="false">O15+N16</f>
        <v>6307227.39</v>
      </c>
    </row>
    <row r="17" customFormat="false" ht="15" hidden="false" customHeight="false" outlineLevel="0" collapsed="false">
      <c r="A17" s="37" t="n">
        <v>202506</v>
      </c>
      <c r="B17" s="38" t="n">
        <f aca="false">SUMIFS(Data_JobCost!$L:$L,Data_JobCost!$C:$C,$A17,Data_JobCost!$D:$D,B$4)</f>
        <v>726320.95</v>
      </c>
      <c r="C17" s="38" t="n">
        <f aca="false">SUMIFS(Data_JobCost!$L:$L,Data_JobCost!$C:$C,$A17,Data_JobCost!$D:$D,C$4)</f>
        <v>878383.12</v>
      </c>
      <c r="D17" s="38" t="n">
        <f aca="false">SUMIFS(Data_JobCost!$L:$L,Data_JobCost!$C:$C,$A17,Data_JobCost!$D:$D,D$4)</f>
        <v>164577.98</v>
      </c>
      <c r="E17" s="38" t="n">
        <f aca="false">SUMIFS(Data_JobCost!$L:$L,Data_JobCost!$C:$C,$A17,Data_JobCost!$D:$D,E$4)</f>
        <v>99896.84</v>
      </c>
      <c r="F17" s="38" t="n">
        <f aca="false">SUMIFS(Data_JobCost!$L:$L,Data_JobCost!$C:$C,$A17,Data_JobCost!$D:$D,F$4)</f>
        <v>0</v>
      </c>
      <c r="G17" s="38" t="n">
        <f aca="false">SUMIFS(Data_JobCost!$L:$L,Data_JobCost!$C:$C,$A17,Data_JobCost!$D:$D,G$4)</f>
        <v>0</v>
      </c>
      <c r="H17" s="38" t="n">
        <f aca="false">SUMIFS(Data_JobCost!$L:$L,Data_JobCost!$C:$C,$A17,Data_JobCost!$D:$D,H$4)</f>
        <v>0</v>
      </c>
      <c r="I17" s="38" t="n">
        <f aca="false">SUMIFS(Data_JobCost!$L:$L,Data_JobCost!$C:$C,$A17,Data_JobCost!$D:$D,I$4)</f>
        <v>0</v>
      </c>
      <c r="J17" s="38" t="n">
        <f aca="false">SUMIFS(Data_JobCost!$L:$L,Data_JobCost!$C:$C,$A17,Data_JobCost!$D:$D,J$4)</f>
        <v>0</v>
      </c>
      <c r="K17" s="38" t="n">
        <f aca="false">SUMIFS(Data_JobCost!$L:$L,Data_JobCost!$C:$C,$A17,Data_JobCost!$D:$D,K$4)</f>
        <v>0</v>
      </c>
      <c r="L17" s="38" t="n">
        <f aca="false">SUMIFS(Data_JobCost!$L:$L,Data_JobCost!$C:$C,$A17,Data_JobCost!$D:$D,L$4)</f>
        <v>0</v>
      </c>
      <c r="M17" s="38" t="n">
        <f aca="false">SUMIFS(Data_JobCost!$L:$L,Data_JobCost!$C:$C,$A17,Data_JobCost!$D:$D,M$4)</f>
        <v>0</v>
      </c>
      <c r="N17" s="39" t="n">
        <f aca="false">SUM(B17:M17)</f>
        <v>1869178.89</v>
      </c>
      <c r="O17" s="38" t="n">
        <f aca="false">O16+N17</f>
        <v>8176406.28</v>
      </c>
    </row>
    <row r="18" customFormat="false" ht="15" hidden="false" customHeight="false" outlineLevel="0" collapsed="false">
      <c r="A18" s="37" t="n">
        <v>202507</v>
      </c>
      <c r="B18" s="38" t="n">
        <f aca="false">SUMIFS(Data_JobCost!$L:$L,Data_JobCost!$C:$C,$A18,Data_JobCost!$D:$D,B$4)</f>
        <v>845618.87</v>
      </c>
      <c r="C18" s="38" t="n">
        <f aca="false">SUMIFS(Data_JobCost!$L:$L,Data_JobCost!$C:$C,$A18,Data_JobCost!$D:$D,C$4)</f>
        <v>1021952</v>
      </c>
      <c r="D18" s="38" t="n">
        <f aca="false">SUMIFS(Data_JobCost!$L:$L,Data_JobCost!$C:$C,$A18,Data_JobCost!$D:$D,D$4)</f>
        <v>334214.27</v>
      </c>
      <c r="E18" s="38" t="n">
        <f aca="false">SUMIFS(Data_JobCost!$L:$L,Data_JobCost!$C:$C,$A18,Data_JobCost!$D:$D,E$4)</f>
        <v>290282.01</v>
      </c>
      <c r="F18" s="38" t="n">
        <f aca="false">SUMIFS(Data_JobCost!$L:$L,Data_JobCost!$C:$C,$A18,Data_JobCost!$D:$D,F$4)</f>
        <v>0</v>
      </c>
      <c r="G18" s="38" t="n">
        <f aca="false">SUMIFS(Data_JobCost!$L:$L,Data_JobCost!$C:$C,$A18,Data_JobCost!$D:$D,G$4)</f>
        <v>0</v>
      </c>
      <c r="H18" s="38" t="n">
        <f aca="false">SUMIFS(Data_JobCost!$L:$L,Data_JobCost!$C:$C,$A18,Data_JobCost!$D:$D,H$4)</f>
        <v>0</v>
      </c>
      <c r="I18" s="38" t="n">
        <f aca="false">SUMIFS(Data_JobCost!$L:$L,Data_JobCost!$C:$C,$A18,Data_JobCost!$D:$D,I$4)</f>
        <v>0</v>
      </c>
      <c r="J18" s="38" t="n">
        <f aca="false">SUMIFS(Data_JobCost!$L:$L,Data_JobCost!$C:$C,$A18,Data_JobCost!$D:$D,J$4)</f>
        <v>0</v>
      </c>
      <c r="K18" s="38" t="n">
        <f aca="false">SUMIFS(Data_JobCost!$L:$L,Data_JobCost!$C:$C,$A18,Data_JobCost!$D:$D,K$4)</f>
        <v>0</v>
      </c>
      <c r="L18" s="38" t="n">
        <f aca="false">SUMIFS(Data_JobCost!$L:$L,Data_JobCost!$C:$C,$A18,Data_JobCost!$D:$D,L$4)</f>
        <v>0</v>
      </c>
      <c r="M18" s="38" t="n">
        <f aca="false">SUMIFS(Data_JobCost!$L:$L,Data_JobCost!$C:$C,$A18,Data_JobCost!$D:$D,M$4)</f>
        <v>0</v>
      </c>
      <c r="N18" s="39" t="n">
        <f aca="false">SUM(B18:M18)</f>
        <v>2492067.15</v>
      </c>
      <c r="O18" s="38" t="n">
        <f aca="false">O17+N18</f>
        <v>10668473.43</v>
      </c>
    </row>
    <row r="19" customFormat="false" ht="15" hidden="false" customHeight="false" outlineLevel="0" collapsed="false">
      <c r="A19" s="37" t="n">
        <v>202508</v>
      </c>
      <c r="B19" s="38" t="n">
        <f aca="false">SUMIFS(Data_JobCost!$L:$L,Data_JobCost!$C:$C,$A19,Data_JobCost!$D:$D,B$4)</f>
        <v>886665.08</v>
      </c>
      <c r="C19" s="38" t="n">
        <f aca="false">SUMIFS(Data_JobCost!$L:$L,Data_JobCost!$C:$C,$A19,Data_JobCost!$D:$D,C$4)</f>
        <v>1127570.08</v>
      </c>
      <c r="D19" s="38" t="n">
        <f aca="false">SUMIFS(Data_JobCost!$L:$L,Data_JobCost!$C:$C,$A19,Data_JobCost!$D:$D,D$4)</f>
        <v>447882.78</v>
      </c>
      <c r="E19" s="38" t="n">
        <f aca="false">SUMIFS(Data_JobCost!$L:$L,Data_JobCost!$C:$C,$A19,Data_JobCost!$D:$D,E$4)</f>
        <v>473897.08</v>
      </c>
      <c r="F19" s="38" t="n">
        <f aca="false">SUMIFS(Data_JobCost!$L:$L,Data_JobCost!$C:$C,$A19,Data_JobCost!$D:$D,F$4)</f>
        <v>98662.46</v>
      </c>
      <c r="G19" s="38" t="n">
        <f aca="false">SUMIFS(Data_JobCost!$L:$L,Data_JobCost!$C:$C,$A19,Data_JobCost!$D:$D,G$4)</f>
        <v>0</v>
      </c>
      <c r="H19" s="38" t="n">
        <f aca="false">SUMIFS(Data_JobCost!$L:$L,Data_JobCost!$C:$C,$A19,Data_JobCost!$D:$D,H$4)</f>
        <v>0</v>
      </c>
      <c r="I19" s="38" t="n">
        <f aca="false">SUMIFS(Data_JobCost!$L:$L,Data_JobCost!$C:$C,$A19,Data_JobCost!$D:$D,I$4)</f>
        <v>0</v>
      </c>
      <c r="J19" s="38" t="n">
        <f aca="false">SUMIFS(Data_JobCost!$L:$L,Data_JobCost!$C:$C,$A19,Data_JobCost!$D:$D,J$4)</f>
        <v>0</v>
      </c>
      <c r="K19" s="38" t="n">
        <f aca="false">SUMIFS(Data_JobCost!$L:$L,Data_JobCost!$C:$C,$A19,Data_JobCost!$D:$D,K$4)</f>
        <v>0</v>
      </c>
      <c r="L19" s="38" t="n">
        <f aca="false">SUMIFS(Data_JobCost!$L:$L,Data_JobCost!$C:$C,$A19,Data_JobCost!$D:$D,L$4)</f>
        <v>0</v>
      </c>
      <c r="M19" s="38" t="n">
        <f aca="false">SUMIFS(Data_JobCost!$L:$L,Data_JobCost!$C:$C,$A19,Data_JobCost!$D:$D,M$4)</f>
        <v>0</v>
      </c>
      <c r="N19" s="39" t="n">
        <f aca="false">SUM(B19:M19)</f>
        <v>3034677.48</v>
      </c>
      <c r="O19" s="38" t="n">
        <f aca="false">O18+N19</f>
        <v>13703150.91</v>
      </c>
    </row>
    <row r="20" customFormat="false" ht="15" hidden="false" customHeight="false" outlineLevel="0" collapsed="false">
      <c r="A20" s="37" t="n">
        <v>202509</v>
      </c>
      <c r="B20" s="38" t="n">
        <f aca="false">SUMIFS(Data_JobCost!$L:$L,Data_JobCost!$C:$C,$A20,Data_JobCost!$D:$D,B$4)</f>
        <v>866256.7</v>
      </c>
      <c r="C20" s="38" t="n">
        <f aca="false">SUMIFS(Data_JobCost!$L:$L,Data_JobCost!$C:$C,$A20,Data_JobCost!$D:$D,C$4)</f>
        <v>1332743.09</v>
      </c>
      <c r="D20" s="38" t="n">
        <f aca="false">SUMIFS(Data_JobCost!$L:$L,Data_JobCost!$C:$C,$A20,Data_JobCost!$D:$D,D$4)</f>
        <v>488620.92</v>
      </c>
      <c r="E20" s="38" t="n">
        <f aca="false">SUMIFS(Data_JobCost!$L:$L,Data_JobCost!$C:$C,$A20,Data_JobCost!$D:$D,E$4)</f>
        <v>551913.21</v>
      </c>
      <c r="F20" s="38" t="n">
        <f aca="false">SUMIFS(Data_JobCost!$L:$L,Data_JobCost!$C:$C,$A20,Data_JobCost!$D:$D,F$4)</f>
        <v>238124.31</v>
      </c>
      <c r="G20" s="38" t="n">
        <f aca="false">SUMIFS(Data_JobCost!$L:$L,Data_JobCost!$C:$C,$A20,Data_JobCost!$D:$D,G$4)</f>
        <v>44053.67</v>
      </c>
      <c r="H20" s="38" t="n">
        <f aca="false">SUMIFS(Data_JobCost!$L:$L,Data_JobCost!$C:$C,$A20,Data_JobCost!$D:$D,H$4)</f>
        <v>0</v>
      </c>
      <c r="I20" s="38" t="n">
        <f aca="false">SUMIFS(Data_JobCost!$L:$L,Data_JobCost!$C:$C,$A20,Data_JobCost!$D:$D,I$4)</f>
        <v>0</v>
      </c>
      <c r="J20" s="38" t="n">
        <f aca="false">SUMIFS(Data_JobCost!$L:$L,Data_JobCost!$C:$C,$A20,Data_JobCost!$D:$D,J$4)</f>
        <v>0</v>
      </c>
      <c r="K20" s="38" t="n">
        <f aca="false">SUMIFS(Data_JobCost!$L:$L,Data_JobCost!$C:$C,$A20,Data_JobCost!$D:$D,K$4)</f>
        <v>0</v>
      </c>
      <c r="L20" s="38" t="n">
        <f aca="false">SUMIFS(Data_JobCost!$L:$L,Data_JobCost!$C:$C,$A20,Data_JobCost!$D:$D,L$4)</f>
        <v>0</v>
      </c>
      <c r="M20" s="38" t="n">
        <f aca="false">SUMIFS(Data_JobCost!$L:$L,Data_JobCost!$C:$C,$A20,Data_JobCost!$D:$D,M$4)</f>
        <v>0</v>
      </c>
      <c r="N20" s="39" t="n">
        <f aca="false">SUM(B20:M20)</f>
        <v>3521711.9</v>
      </c>
      <c r="O20" s="38" t="n">
        <f aca="false">O19+N20</f>
        <v>17224862.81</v>
      </c>
    </row>
    <row r="21" customFormat="false" ht="15" hidden="false" customHeight="false" outlineLevel="0" collapsed="false">
      <c r="A21" s="37" t="n">
        <v>202510</v>
      </c>
      <c r="B21" s="38" t="n">
        <f aca="false">SUMIFS(Data_JobCost!$L:$L,Data_JobCost!$C:$C,$A21,Data_JobCost!$D:$D,B$4)</f>
        <v>915103.58</v>
      </c>
      <c r="C21" s="38" t="n">
        <f aca="false">SUMIFS(Data_JobCost!$L:$L,Data_JobCost!$C:$C,$A21,Data_JobCost!$D:$D,C$4)</f>
        <v>1590245.5</v>
      </c>
      <c r="D21" s="38" t="n">
        <f aca="false">SUMIFS(Data_JobCost!$L:$L,Data_JobCost!$C:$C,$A21,Data_JobCost!$D:$D,D$4)</f>
        <v>668495.42</v>
      </c>
      <c r="E21" s="38" t="n">
        <f aca="false">SUMIFS(Data_JobCost!$L:$L,Data_JobCost!$C:$C,$A21,Data_JobCost!$D:$D,E$4)</f>
        <v>676091.31</v>
      </c>
      <c r="F21" s="38" t="n">
        <f aca="false">SUMIFS(Data_JobCost!$L:$L,Data_JobCost!$C:$C,$A21,Data_JobCost!$D:$D,F$4)</f>
        <v>561081.87</v>
      </c>
      <c r="G21" s="38" t="n">
        <f aca="false">SUMIFS(Data_JobCost!$L:$L,Data_JobCost!$C:$C,$A21,Data_JobCost!$D:$D,G$4)</f>
        <v>183047.27</v>
      </c>
      <c r="H21" s="38" t="n">
        <f aca="false">SUMIFS(Data_JobCost!$L:$L,Data_JobCost!$C:$C,$A21,Data_JobCost!$D:$D,H$4)</f>
        <v>54833.63</v>
      </c>
      <c r="I21" s="38" t="n">
        <f aca="false">SUMIFS(Data_JobCost!$L:$L,Data_JobCost!$C:$C,$A21,Data_JobCost!$D:$D,I$4)</f>
        <v>0</v>
      </c>
      <c r="J21" s="38" t="n">
        <f aca="false">SUMIFS(Data_JobCost!$L:$L,Data_JobCost!$C:$C,$A21,Data_JobCost!$D:$D,J$4)</f>
        <v>0</v>
      </c>
      <c r="K21" s="38" t="n">
        <f aca="false">SUMIFS(Data_JobCost!$L:$L,Data_JobCost!$C:$C,$A21,Data_JobCost!$D:$D,K$4)</f>
        <v>0</v>
      </c>
      <c r="L21" s="38" t="n">
        <f aca="false">SUMIFS(Data_JobCost!$L:$L,Data_JobCost!$C:$C,$A21,Data_JobCost!$D:$D,L$4)</f>
        <v>0</v>
      </c>
      <c r="M21" s="38" t="n">
        <f aca="false">SUMIFS(Data_JobCost!$L:$L,Data_JobCost!$C:$C,$A21,Data_JobCost!$D:$D,M$4)</f>
        <v>0</v>
      </c>
      <c r="N21" s="39" t="n">
        <f aca="false">SUM(B21:M21)</f>
        <v>4648898.58</v>
      </c>
      <c r="O21" s="38" t="n">
        <f aca="false">O20+N21</f>
        <v>21873761.39</v>
      </c>
    </row>
    <row r="22" customFormat="false" ht="15" hidden="false" customHeight="false" outlineLevel="0" collapsed="false">
      <c r="A22" s="37" t="n">
        <v>202511</v>
      </c>
      <c r="B22" s="38" t="n">
        <f aca="false">SUMIFS(Data_JobCost!$L:$L,Data_JobCost!$C:$C,$A22,Data_JobCost!$D:$D,B$4)</f>
        <v>811349.49</v>
      </c>
      <c r="C22" s="38" t="n">
        <f aca="false">SUMIFS(Data_JobCost!$L:$L,Data_JobCost!$C:$C,$A22,Data_JobCost!$D:$D,C$4)</f>
        <v>1452995.17</v>
      </c>
      <c r="D22" s="38" t="n">
        <f aca="false">SUMIFS(Data_JobCost!$L:$L,Data_JobCost!$C:$C,$A22,Data_JobCost!$D:$D,D$4)</f>
        <v>801717.39</v>
      </c>
      <c r="E22" s="38" t="n">
        <f aca="false">SUMIFS(Data_JobCost!$L:$L,Data_JobCost!$C:$C,$A22,Data_JobCost!$D:$D,E$4)</f>
        <v>769053.1</v>
      </c>
      <c r="F22" s="38" t="n">
        <f aca="false">SUMIFS(Data_JobCost!$L:$L,Data_JobCost!$C:$C,$A22,Data_JobCost!$D:$D,F$4)</f>
        <v>699457.01</v>
      </c>
      <c r="G22" s="38" t="n">
        <f aca="false">SUMIFS(Data_JobCost!$L:$L,Data_JobCost!$C:$C,$A22,Data_JobCost!$D:$D,G$4)</f>
        <v>322802.99</v>
      </c>
      <c r="H22" s="38" t="n">
        <f aca="false">SUMIFS(Data_JobCost!$L:$L,Data_JobCost!$C:$C,$A22,Data_JobCost!$D:$D,H$4)</f>
        <v>172560.97</v>
      </c>
      <c r="I22" s="38" t="n">
        <f aca="false">SUMIFS(Data_JobCost!$L:$L,Data_JobCost!$C:$C,$A22,Data_JobCost!$D:$D,I$4)</f>
        <v>199159.44</v>
      </c>
      <c r="J22" s="38" t="n">
        <f aca="false">SUMIFS(Data_JobCost!$L:$L,Data_JobCost!$C:$C,$A22,Data_JobCost!$D:$D,J$4)</f>
        <v>0</v>
      </c>
      <c r="K22" s="38" t="n">
        <f aca="false">SUMIFS(Data_JobCost!$L:$L,Data_JobCost!$C:$C,$A22,Data_JobCost!$D:$D,K$4)</f>
        <v>0</v>
      </c>
      <c r="L22" s="38" t="n">
        <f aca="false">SUMIFS(Data_JobCost!$L:$L,Data_JobCost!$C:$C,$A22,Data_JobCost!$D:$D,L$4)</f>
        <v>0</v>
      </c>
      <c r="M22" s="38" t="n">
        <f aca="false">SUMIFS(Data_JobCost!$L:$L,Data_JobCost!$C:$C,$A22,Data_JobCost!$D:$D,M$4)</f>
        <v>0</v>
      </c>
      <c r="N22" s="39" t="n">
        <f aca="false">SUM(B22:M22)</f>
        <v>5229095.56</v>
      </c>
      <c r="O22" s="38" t="n">
        <f aca="false">O21+N22</f>
        <v>27102856.95</v>
      </c>
    </row>
    <row r="23" customFormat="false" ht="15" hidden="false" customHeight="false" outlineLevel="0" collapsed="false">
      <c r="A23" s="37" t="n">
        <v>202512</v>
      </c>
      <c r="B23" s="38" t="n">
        <f aca="false">SUMIFS(Data_JobCost!$L:$L,Data_JobCost!$C:$C,$A23,Data_JobCost!$D:$D,B$4)</f>
        <v>841222.34</v>
      </c>
      <c r="C23" s="38" t="n">
        <f aca="false">SUMIFS(Data_JobCost!$L:$L,Data_JobCost!$C:$C,$A23,Data_JobCost!$D:$D,C$4)</f>
        <v>1442866.13</v>
      </c>
      <c r="D23" s="38" t="n">
        <f aca="false">SUMIFS(Data_JobCost!$L:$L,Data_JobCost!$C:$C,$A23,Data_JobCost!$D:$D,D$4)</f>
        <v>875577.96</v>
      </c>
      <c r="E23" s="38" t="n">
        <f aca="false">SUMIFS(Data_JobCost!$L:$L,Data_JobCost!$C:$C,$A23,Data_JobCost!$D:$D,E$4)</f>
        <v>876180.45</v>
      </c>
      <c r="F23" s="38" t="n">
        <f aca="false">SUMIFS(Data_JobCost!$L:$L,Data_JobCost!$C:$C,$A23,Data_JobCost!$D:$D,F$4)</f>
        <v>883006.9</v>
      </c>
      <c r="G23" s="38" t="n">
        <f aca="false">SUMIFS(Data_JobCost!$L:$L,Data_JobCost!$C:$C,$A23,Data_JobCost!$D:$D,G$4)</f>
        <v>469451.92</v>
      </c>
      <c r="H23" s="38" t="n">
        <f aca="false">SUMIFS(Data_JobCost!$L:$L,Data_JobCost!$C:$C,$A23,Data_JobCost!$D:$D,H$4)</f>
        <v>405644.52</v>
      </c>
      <c r="I23" s="38" t="n">
        <f aca="false">SUMIFS(Data_JobCost!$L:$L,Data_JobCost!$C:$C,$A23,Data_JobCost!$D:$D,I$4)</f>
        <v>664831.16</v>
      </c>
      <c r="J23" s="38" t="n">
        <f aca="false">SUMIFS(Data_JobCost!$L:$L,Data_JobCost!$C:$C,$A23,Data_JobCost!$D:$D,J$4)</f>
        <v>0</v>
      </c>
      <c r="K23" s="38" t="n">
        <f aca="false">SUMIFS(Data_JobCost!$L:$L,Data_JobCost!$C:$C,$A23,Data_JobCost!$D:$D,K$4)</f>
        <v>0</v>
      </c>
      <c r="L23" s="38" t="n">
        <f aca="false">SUMIFS(Data_JobCost!$L:$L,Data_JobCost!$C:$C,$A23,Data_JobCost!$D:$D,L$4)</f>
        <v>0</v>
      </c>
      <c r="M23" s="38" t="n">
        <f aca="false">SUMIFS(Data_JobCost!$L:$L,Data_JobCost!$C:$C,$A23,Data_JobCost!$D:$D,M$4)</f>
        <v>0</v>
      </c>
      <c r="N23" s="39" t="n">
        <f aca="false">SUM(B23:M23)</f>
        <v>6458781.38</v>
      </c>
      <c r="O23" s="38" t="n">
        <f aca="false">O22+N23</f>
        <v>33561638.33</v>
      </c>
    </row>
    <row r="24" customFormat="false" ht="15" hidden="false" customHeight="false" outlineLevel="0" collapsed="false">
      <c r="A24" s="37" t="n">
        <v>202601</v>
      </c>
      <c r="B24" s="38" t="n">
        <f aca="false">SUMIFS(Data_JobCost!$L:$L,Data_JobCost!$C:$C,$A24,Data_JobCost!$D:$D,B$4)</f>
        <v>841540.1</v>
      </c>
      <c r="C24" s="38" t="n">
        <f aca="false">SUMIFS(Data_JobCost!$L:$L,Data_JobCost!$C:$C,$A24,Data_JobCost!$D:$D,C$4)</f>
        <v>1285805.78</v>
      </c>
      <c r="D24" s="38" t="n">
        <f aca="false">SUMIFS(Data_JobCost!$L:$L,Data_JobCost!$C:$C,$A24,Data_JobCost!$D:$D,D$4)</f>
        <v>992602.14</v>
      </c>
      <c r="E24" s="38" t="n">
        <f aca="false">SUMIFS(Data_JobCost!$L:$L,Data_JobCost!$C:$C,$A24,Data_JobCost!$D:$D,E$4)</f>
        <v>775864.69</v>
      </c>
      <c r="F24" s="38" t="n">
        <f aca="false">SUMIFS(Data_JobCost!$L:$L,Data_JobCost!$C:$C,$A24,Data_JobCost!$D:$D,F$4)</f>
        <v>1013457.55</v>
      </c>
      <c r="G24" s="38" t="n">
        <f aca="false">SUMIFS(Data_JobCost!$L:$L,Data_JobCost!$C:$C,$A24,Data_JobCost!$D:$D,G$4)</f>
        <v>605417.19</v>
      </c>
      <c r="H24" s="38" t="n">
        <f aca="false">SUMIFS(Data_JobCost!$L:$L,Data_JobCost!$C:$C,$A24,Data_JobCost!$D:$D,H$4)</f>
        <v>556844.83</v>
      </c>
      <c r="I24" s="38" t="n">
        <f aca="false">SUMIFS(Data_JobCost!$L:$L,Data_JobCost!$C:$C,$A24,Data_JobCost!$D:$D,I$4)</f>
        <v>886588.4</v>
      </c>
      <c r="J24" s="38" t="n">
        <f aca="false">SUMIFS(Data_JobCost!$L:$L,Data_JobCost!$C:$C,$A24,Data_JobCost!$D:$D,J$4)</f>
        <v>57698.23</v>
      </c>
      <c r="K24" s="38" t="n">
        <f aca="false">SUMIFS(Data_JobCost!$L:$L,Data_JobCost!$C:$C,$A24,Data_JobCost!$D:$D,K$4)</f>
        <v>0</v>
      </c>
      <c r="L24" s="38" t="n">
        <f aca="false">SUMIFS(Data_JobCost!$L:$L,Data_JobCost!$C:$C,$A24,Data_JobCost!$D:$D,L$4)</f>
        <v>0</v>
      </c>
      <c r="M24" s="38" t="n">
        <f aca="false">SUMIFS(Data_JobCost!$L:$L,Data_JobCost!$C:$C,$A24,Data_JobCost!$D:$D,M$4)</f>
        <v>0</v>
      </c>
      <c r="N24" s="39" t="n">
        <f aca="false">SUM(B24:M24)</f>
        <v>7015818.91</v>
      </c>
      <c r="O24" s="38" t="n">
        <f aca="false">O23+N24</f>
        <v>40577457.24</v>
      </c>
    </row>
    <row r="25" customFormat="false" ht="15" hidden="false" customHeight="false" outlineLevel="0" collapsed="false">
      <c r="A25" s="37" t="n">
        <v>202602</v>
      </c>
      <c r="B25" s="38" t="n">
        <f aca="false">SUMIFS(Data_JobCost!$L:$L,Data_JobCost!$C:$C,$A25,Data_JobCost!$D:$D,B$4)</f>
        <v>748578.96</v>
      </c>
      <c r="C25" s="38" t="n">
        <f aca="false">SUMIFS(Data_JobCost!$L:$L,Data_JobCost!$C:$C,$A25,Data_JobCost!$D:$D,C$4)</f>
        <v>1083398.96</v>
      </c>
      <c r="D25" s="38" t="n">
        <f aca="false">SUMIFS(Data_JobCost!$L:$L,Data_JobCost!$C:$C,$A25,Data_JobCost!$D:$D,D$4)</f>
        <v>968605.39</v>
      </c>
      <c r="E25" s="38" t="n">
        <f aca="false">SUMIFS(Data_JobCost!$L:$L,Data_JobCost!$C:$C,$A25,Data_JobCost!$D:$D,E$4)</f>
        <v>671385.52</v>
      </c>
      <c r="F25" s="38" t="n">
        <f aca="false">SUMIFS(Data_JobCost!$L:$L,Data_JobCost!$C:$C,$A25,Data_JobCost!$D:$D,F$4)</f>
        <v>1235878.04</v>
      </c>
      <c r="G25" s="38" t="n">
        <f aca="false">SUMIFS(Data_JobCost!$L:$L,Data_JobCost!$C:$C,$A25,Data_JobCost!$D:$D,G$4)</f>
        <v>635227.17</v>
      </c>
      <c r="H25" s="38" t="n">
        <f aca="false">SUMIFS(Data_JobCost!$L:$L,Data_JobCost!$C:$C,$A25,Data_JobCost!$D:$D,H$4)</f>
        <v>679393.45</v>
      </c>
      <c r="I25" s="38" t="n">
        <f aca="false">SUMIFS(Data_JobCost!$L:$L,Data_JobCost!$C:$C,$A25,Data_JobCost!$D:$D,I$4)</f>
        <v>973941.12</v>
      </c>
      <c r="J25" s="38" t="n">
        <f aca="false">SUMIFS(Data_JobCost!$L:$L,Data_JobCost!$C:$C,$A25,Data_JobCost!$D:$D,J$4)</f>
        <v>160395.04</v>
      </c>
      <c r="K25" s="38" t="n">
        <f aca="false">SUMIFS(Data_JobCost!$L:$L,Data_JobCost!$C:$C,$A25,Data_JobCost!$D:$D,K$4)</f>
        <v>0</v>
      </c>
      <c r="L25" s="38" t="n">
        <f aca="false">SUMIFS(Data_JobCost!$L:$L,Data_JobCost!$C:$C,$A25,Data_JobCost!$D:$D,L$4)</f>
        <v>0</v>
      </c>
      <c r="M25" s="38" t="n">
        <f aca="false">SUMIFS(Data_JobCost!$L:$L,Data_JobCost!$C:$C,$A25,Data_JobCost!$D:$D,M$4)</f>
        <v>0</v>
      </c>
      <c r="N25" s="39" t="n">
        <f aca="false">SUM(B25:M25)</f>
        <v>7156803.65</v>
      </c>
      <c r="O25" s="38" t="n">
        <f aca="false">O24+N25</f>
        <v>47734260.89</v>
      </c>
    </row>
    <row r="26" customFormat="false" ht="15" hidden="false" customHeight="false" outlineLevel="0" collapsed="false">
      <c r="A26" s="37" t="n">
        <v>202603</v>
      </c>
      <c r="B26" s="38" t="n">
        <f aca="false">SUMIFS(Data_JobCost!$L:$L,Data_JobCost!$C:$C,$A26,Data_JobCost!$D:$D,B$4)</f>
        <v>700971.61</v>
      </c>
      <c r="C26" s="38" t="n">
        <f aca="false">SUMIFS(Data_JobCost!$L:$L,Data_JobCost!$C:$C,$A26,Data_JobCost!$D:$D,C$4)</f>
        <v>1284077.11</v>
      </c>
      <c r="D26" s="38" t="n">
        <f aca="false">SUMIFS(Data_JobCost!$L:$L,Data_JobCost!$C:$C,$A26,Data_JobCost!$D:$D,D$4)</f>
        <v>1143630.62</v>
      </c>
      <c r="E26" s="38" t="n">
        <f aca="false">SUMIFS(Data_JobCost!$L:$L,Data_JobCost!$C:$C,$A26,Data_JobCost!$D:$D,E$4)</f>
        <v>736613.04</v>
      </c>
      <c r="F26" s="38" t="n">
        <f aca="false">SUMIFS(Data_JobCost!$L:$L,Data_JobCost!$C:$C,$A26,Data_JobCost!$D:$D,F$4)</f>
        <v>1492267.11</v>
      </c>
      <c r="G26" s="38" t="n">
        <f aca="false">SUMIFS(Data_JobCost!$L:$L,Data_JobCost!$C:$C,$A26,Data_JobCost!$D:$D,G$4)</f>
        <v>774958.46</v>
      </c>
      <c r="H26" s="38" t="n">
        <f aca="false">SUMIFS(Data_JobCost!$L:$L,Data_JobCost!$C:$C,$A26,Data_JobCost!$D:$D,H$4)</f>
        <v>875214.24</v>
      </c>
      <c r="I26" s="38" t="n">
        <f aca="false">SUMIFS(Data_JobCost!$L:$L,Data_JobCost!$C:$C,$A26,Data_JobCost!$D:$D,I$4)</f>
        <v>1283009.52</v>
      </c>
      <c r="J26" s="38" t="n">
        <f aca="false">SUMIFS(Data_JobCost!$L:$L,Data_JobCost!$C:$C,$A26,Data_JobCost!$D:$D,J$4)</f>
        <v>395486.06</v>
      </c>
      <c r="K26" s="38" t="n">
        <f aca="false">SUMIFS(Data_JobCost!$L:$L,Data_JobCost!$C:$C,$A26,Data_JobCost!$D:$D,K$4)</f>
        <v>158933.14</v>
      </c>
      <c r="L26" s="38" t="n">
        <f aca="false">SUMIFS(Data_JobCost!$L:$L,Data_JobCost!$C:$C,$A26,Data_JobCost!$D:$D,L$4)</f>
        <v>0</v>
      </c>
      <c r="M26" s="38" t="n">
        <f aca="false">SUMIFS(Data_JobCost!$L:$L,Data_JobCost!$C:$C,$A26,Data_JobCost!$D:$D,M$4)</f>
        <v>0</v>
      </c>
      <c r="N26" s="39" t="n">
        <f aca="false">SUM(B26:M26)</f>
        <v>8845160.91</v>
      </c>
      <c r="O26" s="38" t="n">
        <f aca="false">O25+N26</f>
        <v>56579421.8</v>
      </c>
    </row>
    <row r="27" customFormat="false" ht="15" hidden="false" customHeight="false" outlineLevel="0" collapsed="false">
      <c r="A27" s="37" t="n">
        <v>202604</v>
      </c>
      <c r="B27" s="38" t="n">
        <f aca="false">SUMIFS(Data_JobCost!$L:$L,Data_JobCost!$C:$C,$A27,Data_JobCost!$D:$D,B$4)</f>
        <v>487771.8</v>
      </c>
      <c r="C27" s="38" t="n">
        <f aca="false">SUMIFS(Data_JobCost!$L:$L,Data_JobCost!$C:$C,$A27,Data_JobCost!$D:$D,C$4)</f>
        <v>1255615.34</v>
      </c>
      <c r="D27" s="38" t="n">
        <f aca="false">SUMIFS(Data_JobCost!$L:$L,Data_JobCost!$C:$C,$A27,Data_JobCost!$D:$D,D$4)</f>
        <v>1332647.04</v>
      </c>
      <c r="E27" s="38" t="n">
        <f aca="false">SUMIFS(Data_JobCost!$L:$L,Data_JobCost!$C:$C,$A27,Data_JobCost!$D:$D,E$4)</f>
        <v>745721.74</v>
      </c>
      <c r="F27" s="38" t="n">
        <f aca="false">SUMIFS(Data_JobCost!$L:$L,Data_JobCost!$C:$C,$A27,Data_JobCost!$D:$D,F$4)</f>
        <v>1615476.54</v>
      </c>
      <c r="G27" s="38" t="n">
        <f aca="false">SUMIFS(Data_JobCost!$L:$L,Data_JobCost!$C:$C,$A27,Data_JobCost!$D:$D,G$4)</f>
        <v>864224.37</v>
      </c>
      <c r="H27" s="38" t="n">
        <f aca="false">SUMIFS(Data_JobCost!$L:$L,Data_JobCost!$C:$C,$A27,Data_JobCost!$D:$D,H$4)</f>
        <v>867987.23</v>
      </c>
      <c r="I27" s="38" t="n">
        <f aca="false">SUMIFS(Data_JobCost!$L:$L,Data_JobCost!$C:$C,$A27,Data_JobCost!$D:$D,I$4)</f>
        <v>1744825.94</v>
      </c>
      <c r="J27" s="38" t="n">
        <f aca="false">SUMIFS(Data_JobCost!$L:$L,Data_JobCost!$C:$C,$A27,Data_JobCost!$D:$D,J$4)</f>
        <v>534884.81</v>
      </c>
      <c r="K27" s="38" t="n">
        <f aca="false">SUMIFS(Data_JobCost!$L:$L,Data_JobCost!$C:$C,$A27,Data_JobCost!$D:$D,K$4)</f>
        <v>425052.2</v>
      </c>
      <c r="L27" s="38" t="n">
        <f aca="false">SUMIFS(Data_JobCost!$L:$L,Data_JobCost!$C:$C,$A27,Data_JobCost!$D:$D,L$4)</f>
        <v>0</v>
      </c>
      <c r="M27" s="38" t="n">
        <f aca="false">SUMIFS(Data_JobCost!$L:$L,Data_JobCost!$C:$C,$A27,Data_JobCost!$D:$D,M$4)</f>
        <v>0</v>
      </c>
      <c r="N27" s="39" t="n">
        <f aca="false">SUM(B27:M27)</f>
        <v>9874207.01</v>
      </c>
      <c r="O27" s="38" t="n">
        <f aca="false">O26+N27</f>
        <v>66453628.81</v>
      </c>
    </row>
    <row r="28" customFormat="false" ht="15" hidden="false" customHeight="false" outlineLevel="0" collapsed="false">
      <c r="A28" s="37" t="n">
        <v>202605</v>
      </c>
      <c r="B28" s="38" t="n">
        <f aca="false">SUMIFS(Data_JobCost!$L:$L,Data_JobCost!$C:$C,$A28,Data_JobCost!$D:$D,B$4)</f>
        <v>343624.93</v>
      </c>
      <c r="C28" s="38" t="n">
        <f aca="false">SUMIFS(Data_JobCost!$L:$L,Data_JobCost!$C:$C,$A28,Data_JobCost!$D:$D,C$4)</f>
        <v>1095473.51</v>
      </c>
      <c r="D28" s="38" t="n">
        <f aca="false">SUMIFS(Data_JobCost!$L:$L,Data_JobCost!$C:$C,$A28,Data_JobCost!$D:$D,D$4)</f>
        <v>1244070.87</v>
      </c>
      <c r="E28" s="38" t="n">
        <f aca="false">SUMIFS(Data_JobCost!$L:$L,Data_JobCost!$C:$C,$A28,Data_JobCost!$D:$D,E$4)</f>
        <v>677988.56</v>
      </c>
      <c r="F28" s="38" t="n">
        <f aca="false">SUMIFS(Data_JobCost!$L:$L,Data_JobCost!$C:$C,$A28,Data_JobCost!$D:$D,F$4)</f>
        <v>1631954.82</v>
      </c>
      <c r="G28" s="38" t="n">
        <f aca="false">SUMIFS(Data_JobCost!$L:$L,Data_JobCost!$C:$C,$A28,Data_JobCost!$D:$D,G$4)</f>
        <v>945844.42</v>
      </c>
      <c r="H28" s="38" t="n">
        <f aca="false">SUMIFS(Data_JobCost!$L:$L,Data_JobCost!$C:$C,$A28,Data_JobCost!$D:$D,H$4)</f>
        <v>890518.43</v>
      </c>
      <c r="I28" s="38" t="n">
        <f aca="false">SUMIFS(Data_JobCost!$L:$L,Data_JobCost!$C:$C,$A28,Data_JobCost!$D:$D,I$4)</f>
        <v>1738891.17</v>
      </c>
      <c r="J28" s="38" t="n">
        <f aca="false">SUMIFS(Data_JobCost!$L:$L,Data_JobCost!$C:$C,$A28,Data_JobCost!$D:$D,J$4)</f>
        <v>635978.04</v>
      </c>
      <c r="K28" s="38" t="n">
        <f aca="false">SUMIFS(Data_JobCost!$L:$L,Data_JobCost!$C:$C,$A28,Data_JobCost!$D:$D,K$4)</f>
        <v>695587.76</v>
      </c>
      <c r="L28" s="38" t="n">
        <f aca="false">SUMIFS(Data_JobCost!$L:$L,Data_JobCost!$C:$C,$A28,Data_JobCost!$D:$D,L$4)</f>
        <v>89882.88</v>
      </c>
      <c r="M28" s="38" t="n">
        <f aca="false">SUMIFS(Data_JobCost!$L:$L,Data_JobCost!$C:$C,$A28,Data_JobCost!$D:$D,M$4)</f>
        <v>0</v>
      </c>
      <c r="N28" s="39" t="n">
        <f aca="false">SUM(B28:M28)</f>
        <v>9989815.39</v>
      </c>
      <c r="O28" s="38" t="n">
        <f aca="false">O27+N28</f>
        <v>76443444.2</v>
      </c>
    </row>
    <row r="29" customFormat="false" ht="15" hidden="false" customHeight="false" outlineLevel="0" collapsed="false">
      <c r="A29" s="37" t="n">
        <v>202606</v>
      </c>
      <c r="B29" s="38" t="n">
        <f aca="false">SUMIFS(Data_JobCost!$L:$L,Data_JobCost!$C:$C,$A29,Data_JobCost!$D:$D,B$4)</f>
        <v>208891.19</v>
      </c>
      <c r="C29" s="38" t="n">
        <f aca="false">SUMIFS(Data_JobCost!$L:$L,Data_JobCost!$C:$C,$A29,Data_JobCost!$D:$D,C$4)</f>
        <v>880909.18</v>
      </c>
      <c r="D29" s="38" t="n">
        <f aca="false">SUMIFS(Data_JobCost!$L:$L,Data_JobCost!$C:$C,$A29,Data_JobCost!$D:$D,D$4)</f>
        <v>1159606.63</v>
      </c>
      <c r="E29" s="38" t="n">
        <f aca="false">SUMIFS(Data_JobCost!$L:$L,Data_JobCost!$C:$C,$A29,Data_JobCost!$D:$D,E$4)</f>
        <v>487977.06</v>
      </c>
      <c r="F29" s="38" t="n">
        <f aca="false">SUMIFS(Data_JobCost!$L:$L,Data_JobCost!$C:$C,$A29,Data_JobCost!$D:$D,F$4)</f>
        <v>1626153.94</v>
      </c>
      <c r="G29" s="38" t="n">
        <f aca="false">SUMIFS(Data_JobCost!$L:$L,Data_JobCost!$C:$C,$A29,Data_JobCost!$D:$D,G$4)</f>
        <v>857657.4</v>
      </c>
      <c r="H29" s="38" t="n">
        <f aca="false">SUMIFS(Data_JobCost!$L:$L,Data_JobCost!$C:$C,$A29,Data_JobCost!$D:$D,H$4)</f>
        <v>907777.69</v>
      </c>
      <c r="I29" s="38" t="n">
        <f aca="false">SUMIFS(Data_JobCost!$L:$L,Data_JobCost!$C:$C,$A29,Data_JobCost!$D:$D,I$4)</f>
        <v>1370718.87</v>
      </c>
      <c r="J29" s="38" t="n">
        <f aca="false">SUMIFS(Data_JobCost!$L:$L,Data_JobCost!$C:$C,$A29,Data_JobCost!$D:$D,J$4)</f>
        <v>695288.99</v>
      </c>
      <c r="K29" s="38" t="n">
        <f aca="false">SUMIFS(Data_JobCost!$L:$L,Data_JobCost!$C:$C,$A29,Data_JobCost!$D:$D,K$4)</f>
        <v>741853.4</v>
      </c>
      <c r="L29" s="38" t="n">
        <f aca="false">SUMIFS(Data_JobCost!$L:$L,Data_JobCost!$C:$C,$A29,Data_JobCost!$D:$D,L$4)</f>
        <v>305021.24</v>
      </c>
      <c r="M29" s="38" t="n">
        <f aca="false">SUMIFS(Data_JobCost!$L:$L,Data_JobCost!$C:$C,$A29,Data_JobCost!$D:$D,M$4)</f>
        <v>0</v>
      </c>
      <c r="N29" s="39" t="n">
        <f aca="false">SUM(B29:M29)</f>
        <v>9241855.59</v>
      </c>
      <c r="O29" s="38" t="n">
        <f aca="false">O28+N29</f>
        <v>85685299.79</v>
      </c>
    </row>
    <row r="30" customFormat="false" ht="15" hidden="false" customHeight="false" outlineLevel="0" collapsed="false">
      <c r="A30" s="37" t="n">
        <v>202607</v>
      </c>
      <c r="B30" s="38" t="n">
        <f aca="false">SUMIFS(Data_JobCost!$L:$L,Data_JobCost!$C:$C,$A30,Data_JobCost!$D:$D,B$4)</f>
        <v>112484.74</v>
      </c>
      <c r="C30" s="38" t="n">
        <f aca="false">SUMIFS(Data_JobCost!$L:$L,Data_JobCost!$C:$C,$A30,Data_JobCost!$D:$D,C$4)</f>
        <v>837995.75</v>
      </c>
      <c r="D30" s="38" t="n">
        <f aca="false">SUMIFS(Data_JobCost!$L:$L,Data_JobCost!$C:$C,$A30,Data_JobCost!$D:$D,D$4)</f>
        <v>1061773.88</v>
      </c>
      <c r="E30" s="38" t="n">
        <f aca="false">SUMIFS(Data_JobCost!$L:$L,Data_JobCost!$C:$C,$A30,Data_JobCost!$D:$D,E$4)</f>
        <v>420828.37</v>
      </c>
      <c r="F30" s="38" t="n">
        <f aca="false">SUMIFS(Data_JobCost!$L:$L,Data_JobCost!$C:$C,$A30,Data_JobCost!$D:$D,F$4)</f>
        <v>1595494.57</v>
      </c>
      <c r="G30" s="38" t="n">
        <f aca="false">SUMIFS(Data_JobCost!$L:$L,Data_JobCost!$C:$C,$A30,Data_JobCost!$D:$D,G$4)</f>
        <v>825836.93</v>
      </c>
      <c r="H30" s="38" t="n">
        <f aca="false">SUMIFS(Data_JobCost!$L:$L,Data_JobCost!$C:$C,$A30,Data_JobCost!$D:$D,H$4)</f>
        <v>1096050.7</v>
      </c>
      <c r="I30" s="38" t="n">
        <f aca="false">SUMIFS(Data_JobCost!$L:$L,Data_JobCost!$C:$C,$A30,Data_JobCost!$D:$D,I$4)</f>
        <v>1456574.1</v>
      </c>
      <c r="J30" s="38" t="n">
        <f aca="false">SUMIFS(Data_JobCost!$L:$L,Data_JobCost!$C:$C,$A30,Data_JobCost!$D:$D,J$4)</f>
        <v>845799.06</v>
      </c>
      <c r="K30" s="38" t="n">
        <f aca="false">SUMIFS(Data_JobCost!$L:$L,Data_JobCost!$C:$C,$A30,Data_JobCost!$D:$D,K$4)</f>
        <v>990712.91</v>
      </c>
      <c r="L30" s="38" t="n">
        <f aca="false">SUMIFS(Data_JobCost!$L:$L,Data_JobCost!$C:$C,$A30,Data_JobCost!$D:$D,L$4)</f>
        <v>466720.2</v>
      </c>
      <c r="M30" s="38" t="n">
        <f aca="false">SUMIFS(Data_JobCost!$L:$L,Data_JobCost!$C:$C,$A30,Data_JobCost!$D:$D,M$4)</f>
        <v>41892.12</v>
      </c>
      <c r="N30" s="39" t="n">
        <f aca="false">SUM(B30:M30)</f>
        <v>9752163.33</v>
      </c>
      <c r="O30" s="38" t="n">
        <f aca="false">O29+N30</f>
        <v>95437463.12</v>
      </c>
    </row>
    <row r="31" customFormat="false" ht="15" hidden="false" customHeight="false" outlineLevel="0" collapsed="false">
      <c r="A31" s="37" t="n">
        <v>202608</v>
      </c>
      <c r="B31" s="38" t="n">
        <f aca="false">SUMIFS(Data_JobCost!$L:$L,Data_JobCost!$C:$C,$A31,Data_JobCost!$D:$D,B$4)</f>
        <v>20085.64</v>
      </c>
      <c r="C31" s="38" t="n">
        <f aca="false">SUMIFS(Data_JobCost!$L:$L,Data_JobCost!$C:$C,$A31,Data_JobCost!$D:$D,C$4)</f>
        <v>670747.57</v>
      </c>
      <c r="D31" s="38" t="n">
        <f aca="false">SUMIFS(Data_JobCost!$L:$L,Data_JobCost!$C:$C,$A31,Data_JobCost!$D:$D,D$4)</f>
        <v>1086795.56</v>
      </c>
      <c r="E31" s="38" t="n">
        <f aca="false">SUMIFS(Data_JobCost!$L:$L,Data_JobCost!$C:$C,$A31,Data_JobCost!$D:$D,E$4)</f>
        <v>246752.74</v>
      </c>
      <c r="F31" s="38" t="n">
        <f aca="false">SUMIFS(Data_JobCost!$L:$L,Data_JobCost!$C:$C,$A31,Data_JobCost!$D:$D,F$4)</f>
        <v>1550724.9</v>
      </c>
      <c r="G31" s="38" t="n">
        <f aca="false">SUMIFS(Data_JobCost!$L:$L,Data_JobCost!$C:$C,$A31,Data_JobCost!$D:$D,G$4)</f>
        <v>767291.63</v>
      </c>
      <c r="H31" s="38" t="n">
        <f aca="false">SUMIFS(Data_JobCost!$L:$L,Data_JobCost!$C:$C,$A31,Data_JobCost!$D:$D,H$4)</f>
        <v>1125553.07</v>
      </c>
      <c r="I31" s="38" t="n">
        <f aca="false">SUMIFS(Data_JobCost!$L:$L,Data_JobCost!$C:$C,$A31,Data_JobCost!$D:$D,I$4)</f>
        <v>1485092.28</v>
      </c>
      <c r="J31" s="38" t="n">
        <f aca="false">SUMIFS(Data_JobCost!$L:$L,Data_JobCost!$C:$C,$A31,Data_JobCost!$D:$D,J$4)</f>
        <v>1002506.36</v>
      </c>
      <c r="K31" s="38" t="n">
        <f aca="false">SUMIFS(Data_JobCost!$L:$L,Data_JobCost!$C:$C,$A31,Data_JobCost!$D:$D,K$4)</f>
        <v>1235116.24</v>
      </c>
      <c r="L31" s="38" t="n">
        <f aca="false">SUMIFS(Data_JobCost!$L:$L,Data_JobCost!$C:$C,$A31,Data_JobCost!$D:$D,L$4)</f>
        <v>603506.35</v>
      </c>
      <c r="M31" s="38" t="n">
        <f aca="false">SUMIFS(Data_JobCost!$L:$L,Data_JobCost!$C:$C,$A31,Data_JobCost!$D:$D,M$4)</f>
        <v>199213.76</v>
      </c>
      <c r="N31" s="39" t="n">
        <f aca="false">SUM(B31:M31)</f>
        <v>9993386.1</v>
      </c>
      <c r="O31" s="38" t="n">
        <f aca="false">O30+N31</f>
        <v>105430849.22</v>
      </c>
    </row>
    <row r="32" customFormat="false" ht="15" hidden="false" customHeight="false" outlineLevel="0" collapsed="false">
      <c r="A32" s="37" t="n">
        <v>202609</v>
      </c>
      <c r="B32" s="38" t="n">
        <f aca="false">SUMIFS(Data_JobCost!$L:$L,Data_JobCost!$C:$C,$A32,Data_JobCost!$D:$D,B$4)</f>
        <v>0.08</v>
      </c>
      <c r="C32" s="38" t="n">
        <f aca="false">SUMIFS(Data_JobCost!$L:$L,Data_JobCost!$C:$C,$A32,Data_JobCost!$D:$D,C$4)</f>
        <v>468436.37</v>
      </c>
      <c r="D32" s="38" t="n">
        <f aca="false">SUMIFS(Data_JobCost!$L:$L,Data_JobCost!$C:$C,$A32,Data_JobCost!$D:$D,D$4)</f>
        <v>930111.3</v>
      </c>
      <c r="E32" s="38" t="n">
        <f aca="false">SUMIFS(Data_JobCost!$L:$L,Data_JobCost!$C:$C,$A32,Data_JobCost!$D:$D,E$4)</f>
        <v>139144.77</v>
      </c>
      <c r="F32" s="38" t="n">
        <f aca="false">SUMIFS(Data_JobCost!$L:$L,Data_JobCost!$C:$C,$A32,Data_JobCost!$D:$D,F$4)</f>
        <v>1671920.15</v>
      </c>
      <c r="G32" s="38" t="n">
        <f aca="false">SUMIFS(Data_JobCost!$L:$L,Data_JobCost!$C:$C,$A32,Data_JobCost!$D:$D,G$4)</f>
        <v>501877.2</v>
      </c>
      <c r="H32" s="38" t="n">
        <f aca="false">SUMIFS(Data_JobCost!$L:$L,Data_JobCost!$C:$C,$A32,Data_JobCost!$D:$D,H$4)</f>
        <v>949845.75</v>
      </c>
      <c r="I32" s="38" t="n">
        <f aca="false">SUMIFS(Data_JobCost!$L:$L,Data_JobCost!$C:$C,$A32,Data_JobCost!$D:$D,I$4)</f>
        <v>1288491.99</v>
      </c>
      <c r="J32" s="38" t="n">
        <f aca="false">SUMIFS(Data_JobCost!$L:$L,Data_JobCost!$C:$C,$A32,Data_JobCost!$D:$D,J$4)</f>
        <v>1036842.93</v>
      </c>
      <c r="K32" s="38" t="n">
        <f aca="false">SUMIFS(Data_JobCost!$L:$L,Data_JobCost!$C:$C,$A32,Data_JobCost!$D:$D,K$4)</f>
        <v>1124955.19</v>
      </c>
      <c r="L32" s="38" t="n">
        <f aca="false">SUMIFS(Data_JobCost!$L:$L,Data_JobCost!$C:$C,$A32,Data_JobCost!$D:$D,L$4)</f>
        <v>736157.86</v>
      </c>
      <c r="M32" s="38" t="n">
        <f aca="false">SUMIFS(Data_JobCost!$L:$L,Data_JobCost!$C:$C,$A32,Data_JobCost!$D:$D,M$4)</f>
        <v>299631.7</v>
      </c>
      <c r="N32" s="39" t="n">
        <f aca="false">SUM(B32:M32)</f>
        <v>9147415.29</v>
      </c>
      <c r="O32" s="38" t="n">
        <f aca="false">O31+N32</f>
        <v>114578264.51</v>
      </c>
    </row>
    <row r="33" customFormat="false" ht="15" hidden="false" customHeight="false" outlineLevel="0" collapsed="false">
      <c r="A33" s="40" t="s">
        <v>119</v>
      </c>
      <c r="B33" s="21" t="n">
        <f aca="false">SUM(B5:B32)</f>
        <v>14275865.39</v>
      </c>
      <c r="C33" s="21" t="n">
        <f aca="false">SUM(C5:C32)</f>
        <v>19031041.47</v>
      </c>
      <c r="D33" s="21" t="n">
        <f aca="false">SUM(D5:D32)</f>
        <v>13766951.4</v>
      </c>
      <c r="E33" s="21" t="n">
        <f aca="false">SUM(E5:E32)</f>
        <v>8639590.49</v>
      </c>
      <c r="F33" s="21" t="n">
        <f aca="false">SUM(F5:F32)</f>
        <v>15913660.17</v>
      </c>
      <c r="G33" s="21" t="n">
        <f aca="false">SUM(G5:G32)</f>
        <v>7797690.62</v>
      </c>
      <c r="H33" s="21" t="n">
        <f aca="false">SUM(H5:H32)</f>
        <v>8582224.51</v>
      </c>
      <c r="I33" s="21" t="n">
        <f aca="false">SUM(I5:I32)</f>
        <v>13092123.99</v>
      </c>
      <c r="J33" s="21" t="n">
        <f aca="false">SUM(J5:J32)</f>
        <v>5364879.52</v>
      </c>
      <c r="K33" s="21" t="n">
        <f aca="false">SUM(K5:K32)</f>
        <v>5372210.84</v>
      </c>
      <c r="L33" s="21" t="n">
        <f aca="false">SUM(L5:L32)</f>
        <v>2201288.53</v>
      </c>
      <c r="M33" s="21" t="n">
        <f aca="false">SUM(M5:M32)</f>
        <v>540737.58</v>
      </c>
      <c r="N33" s="21" t="n">
        <f aca="false">SUM(N5:N32)</f>
        <v>114578264.51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R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9" min="7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5" min="14" style="0" width="15"/>
    <col collapsed="false" customWidth="true" hidden="false" outlineLevel="0" max="18" min="16" style="0" width="11"/>
  </cols>
  <sheetData>
    <row r="1" customFormat="false" ht="15" hidden="false" customHeight="false" outlineLevel="0" collapsed="false">
      <c r="A1" s="27" t="s">
        <v>120</v>
      </c>
    </row>
    <row r="2" customFormat="false" ht="15" hidden="false" customHeight="false" outlineLevel="0" collapsed="false">
      <c r="A2" s="3" t="s">
        <v>121</v>
      </c>
    </row>
    <row r="4" customFormat="false" ht="31.5" hidden="false" customHeight="true" outlineLevel="0" collapsed="false">
      <c r="A4" s="11" t="s">
        <v>39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44</v>
      </c>
      <c r="H4" s="11" t="s">
        <v>91</v>
      </c>
      <c r="I4" s="11" t="s">
        <v>46</v>
      </c>
      <c r="J4" s="11" t="s">
        <v>49</v>
      </c>
      <c r="K4" s="11" t="s">
        <v>92</v>
      </c>
      <c r="L4" s="11" t="s">
        <v>20</v>
      </c>
      <c r="M4" s="11" t="s">
        <v>47</v>
      </c>
      <c r="N4" s="11" t="s">
        <v>93</v>
      </c>
      <c r="O4" s="11" t="s">
        <v>48</v>
      </c>
      <c r="P4" s="11" t="s">
        <v>94</v>
      </c>
      <c r="Q4" s="11" t="s">
        <v>95</v>
      </c>
      <c r="R4" s="11" t="s">
        <v>96</v>
      </c>
    </row>
    <row r="5" customFormat="false" ht="15" hidden="false" customHeight="false" outlineLevel="0" collapsed="false">
      <c r="A5" s="37" t="s">
        <v>58</v>
      </c>
      <c r="B5" s="37" t="s">
        <v>97</v>
      </c>
      <c r="C5" s="37" t="str">
        <f aca="false">INDEX(Data_CostCodes!$B:$B,MATCH($B5,Data_CostCodes!$A:$A,0))</f>
        <v>General Conditions - Supervision</v>
      </c>
      <c r="D5" s="37" t="str">
        <f aca="false">INDEX(Data_CostCodes!$D:$D,MATCH($B5,Data_CostCodes!$A:$A,0))</f>
        <v>Labour</v>
      </c>
      <c r="E5" s="38" t="n">
        <f aca="false">SUMIFS(Data_Budgets!$C:$C,Data_Budgets!$A:$A,$A5,Data_Budgets!$B:$B,$B5)</f>
        <v>1055600</v>
      </c>
      <c r="F5" s="38" t="n">
        <f aca="false">SUMIFS(Data_Budgets!$D:$D,Data_Budgets!$A:$A,$A5,Data_Budgets!$B:$B,$B5)</f>
        <v>0</v>
      </c>
      <c r="G5" s="38" t="n">
        <f aca="false">E5+F5</f>
        <v>1055600</v>
      </c>
      <c r="H5" s="38" t="n">
        <f aca="false">SUMIFS(Data_JobCost!$L:$L,Data_JobCost!$D:$D,$A5,Data_JobCost!$E:$E,$B5)</f>
        <v>1056376.08</v>
      </c>
      <c r="I5" s="38" t="n">
        <f aca="false">SUMIFS(Data_Commitments!$E:$E,Data_Commitments!$B:$B,$A5,Data_Commitments!$C:$C,$B5)</f>
        <v>0</v>
      </c>
      <c r="J5" s="41" t="n">
        <f aca="false">SUMIFS(Data_Progress!$C:$C,Data_Progress!$A:$A,$A5,Data_Progress!$B:$B,$B5)</f>
        <v>0.98</v>
      </c>
      <c r="K5" s="38" t="n">
        <f aca="false">G5*J5</f>
        <v>1034488</v>
      </c>
      <c r="L5" s="42" t="n">
        <f aca="false">IF(H5&gt;0,K5/H5,"")</f>
        <v>0.979280030649691</v>
      </c>
      <c r="M5" s="38" t="n">
        <f aca="false">IF(I5&gt;0,MAX(I5,H5),IF(J5&gt;0,H5+(G5-K5)/L5,G5))</f>
        <v>1077934.7755102</v>
      </c>
      <c r="N5" s="38" t="n">
        <f aca="false">G5-M5</f>
        <v>-22334.7755102043</v>
      </c>
      <c r="O5" s="38" t="n">
        <f aca="false">M5-H5</f>
        <v>21558.6955102042</v>
      </c>
      <c r="P5" s="43" t="n">
        <f aca="false">SUMIFS(Data_Budgets!$F:$F,Data_Budgets!$A:$A,$A5,Data_Budgets!$B:$B,$B5)</f>
        <v>11474</v>
      </c>
      <c r="Q5" s="43" t="n">
        <f aca="false">SUMIFS(Data_JobCost!$K:$K,Data_JobCost!$D:$D,$A5,Data_JobCost!$E:$E,$B5)</f>
        <v>11482.4</v>
      </c>
      <c r="R5" s="43" t="n">
        <f aca="false">P5*J5</f>
        <v>11244.52</v>
      </c>
    </row>
    <row r="6" customFormat="false" ht="15" hidden="false" customHeight="false" outlineLevel="0" collapsed="false">
      <c r="A6" s="37" t="s">
        <v>58</v>
      </c>
      <c r="B6" s="37" t="s">
        <v>98</v>
      </c>
      <c r="C6" s="37" t="str">
        <f aca="false">INDEX(Data_CostCodes!$B:$B,MATCH($B6,Data_CostCodes!$A:$A,0))</f>
        <v>Site Facilities &amp; Temp Services</v>
      </c>
      <c r="D6" s="37" t="str">
        <f aca="false">INDEX(Data_CostCodes!$D:$D,MATCH($B6,Data_CostCodes!$A:$A,0))</f>
        <v>Other</v>
      </c>
      <c r="E6" s="38" t="n">
        <f aca="false">SUMIFS(Data_Budgets!$C:$C,Data_Budgets!$A:$A,$A6,Data_Budgets!$B:$B,$B6)</f>
        <v>405700</v>
      </c>
      <c r="F6" s="38" t="n">
        <f aca="false">SUMIFS(Data_Budgets!$D:$D,Data_Budgets!$A:$A,$A6,Data_Budgets!$B:$B,$B6)</f>
        <v>0</v>
      </c>
      <c r="G6" s="38" t="n">
        <f aca="false">E6+F6</f>
        <v>405700</v>
      </c>
      <c r="H6" s="38" t="n">
        <f aca="false">SUMIFS(Data_JobCost!$L:$L,Data_JobCost!$D:$D,$A6,Data_JobCost!$E:$E,$B6)</f>
        <v>411510.56</v>
      </c>
      <c r="I6" s="38" t="n">
        <f aca="false">SUMIFS(Data_Commitments!$E:$E,Data_Commitments!$B:$B,$A6,Data_Commitments!$C:$C,$B6)</f>
        <v>0</v>
      </c>
      <c r="J6" s="41" t="n">
        <f aca="false">SUMIFS(Data_Progress!$C:$C,Data_Progress!$A:$A,$A6,Data_Progress!$B:$B,$B6)</f>
        <v>1</v>
      </c>
      <c r="K6" s="38" t="n">
        <f aca="false">G6*J6</f>
        <v>405700</v>
      </c>
      <c r="L6" s="42" t="n">
        <f aca="false">IF(H6&gt;0,K6/H6,"")</f>
        <v>0.985879924928294</v>
      </c>
      <c r="M6" s="38" t="n">
        <f aca="false">IF(I6&gt;0,MAX(I6,H6),IF(J6&gt;0,H6+(G6-K6)/L6,G6))</f>
        <v>411510.56</v>
      </c>
      <c r="N6" s="38" t="n">
        <f aca="false">G6-M6</f>
        <v>-5810.56</v>
      </c>
      <c r="O6" s="38" t="n">
        <f aca="false">M6-H6</f>
        <v>0</v>
      </c>
      <c r="P6" s="43" t="n">
        <f aca="false">SUMIFS(Data_Budgets!$F:$F,Data_Budgets!$A:$A,$A6,Data_Budgets!$B:$B,$B6)</f>
        <v>0</v>
      </c>
      <c r="Q6" s="43" t="n">
        <f aca="false">SUMIFS(Data_JobCost!$K:$K,Data_JobCost!$D:$D,$A6,Data_JobCost!$E:$E,$B6)</f>
        <v>0</v>
      </c>
      <c r="R6" s="43" t="n">
        <f aca="false">P6*J6</f>
        <v>0</v>
      </c>
    </row>
    <row r="7" customFormat="false" ht="15" hidden="false" customHeight="false" outlineLevel="0" collapsed="false">
      <c r="A7" s="37" t="s">
        <v>58</v>
      </c>
      <c r="B7" s="37" t="s">
        <v>99</v>
      </c>
      <c r="C7" s="37" t="str">
        <f aca="false">INDEX(Data_CostCodes!$B:$B,MATCH($B7,Data_CostCodes!$A:$A,0))</f>
        <v>Equipment Rental</v>
      </c>
      <c r="D7" s="37" t="str">
        <f aca="false">INDEX(Data_CostCodes!$D:$D,MATCH($B7,Data_CostCodes!$A:$A,0))</f>
        <v>Equipment</v>
      </c>
      <c r="E7" s="38" t="n">
        <f aca="false">SUMIFS(Data_Budgets!$C:$C,Data_Budgets!$A:$A,$A7,Data_Budgets!$B:$B,$B7)</f>
        <v>385500</v>
      </c>
      <c r="F7" s="38" t="n">
        <f aca="false">SUMIFS(Data_Budgets!$D:$D,Data_Budgets!$A:$A,$A7,Data_Budgets!$B:$B,$B7)</f>
        <v>0</v>
      </c>
      <c r="G7" s="38" t="n">
        <f aca="false">E7+F7</f>
        <v>385500</v>
      </c>
      <c r="H7" s="38" t="n">
        <f aca="false">SUMIFS(Data_JobCost!$L:$L,Data_JobCost!$D:$D,$A7,Data_JobCost!$E:$E,$B7)</f>
        <v>398775.35</v>
      </c>
      <c r="I7" s="38" t="n">
        <f aca="false">SUMIFS(Data_Commitments!$E:$E,Data_Commitments!$B:$B,$A7,Data_Commitments!$C:$C,$B7)</f>
        <v>0</v>
      </c>
      <c r="J7" s="41" t="n">
        <f aca="false">SUMIFS(Data_Progress!$C:$C,Data_Progress!$A:$A,$A7,Data_Progress!$B:$B,$B7)</f>
        <v>1</v>
      </c>
      <c r="K7" s="38" t="n">
        <f aca="false">G7*J7</f>
        <v>385500</v>
      </c>
      <c r="L7" s="42" t="n">
        <f aca="false">IF(H7&gt;0,K7/H7,"")</f>
        <v>0.966709702593202</v>
      </c>
      <c r="M7" s="38" t="n">
        <f aca="false">IF(I7&gt;0,MAX(I7,H7),IF(J7&gt;0,H7+(G7-K7)/L7,G7))</f>
        <v>398775.35</v>
      </c>
      <c r="N7" s="38" t="n">
        <f aca="false">G7-M7</f>
        <v>-13275.35</v>
      </c>
      <c r="O7" s="38" t="n">
        <f aca="false">M7-H7</f>
        <v>0</v>
      </c>
      <c r="P7" s="43" t="n">
        <f aca="false">SUMIFS(Data_Budgets!$F:$F,Data_Budgets!$A:$A,$A7,Data_Budgets!$B:$B,$B7)</f>
        <v>0</v>
      </c>
      <c r="Q7" s="43" t="n">
        <f aca="false">SUMIFS(Data_JobCost!$K:$K,Data_JobCost!$D:$D,$A7,Data_JobCost!$E:$E,$B7)</f>
        <v>0</v>
      </c>
      <c r="R7" s="43" t="n">
        <f aca="false">P7*J7</f>
        <v>0</v>
      </c>
    </row>
    <row r="8" customFormat="false" ht="15" hidden="false" customHeight="false" outlineLevel="0" collapsed="false">
      <c r="A8" s="37" t="s">
        <v>58</v>
      </c>
      <c r="B8" s="37" t="s">
        <v>100</v>
      </c>
      <c r="C8" s="37" t="str">
        <f aca="false">INDEX(Data_CostCodes!$B:$B,MATCH($B8,Data_CostCodes!$A:$A,0))</f>
        <v>Earthwork &amp; Excavation</v>
      </c>
      <c r="D8" s="37" t="str">
        <f aca="false">INDEX(Data_CostCodes!$D:$D,MATCH($B8,Data_CostCodes!$A:$A,0))</f>
        <v>Subcontract</v>
      </c>
      <c r="E8" s="38" t="n">
        <f aca="false">SUMIFS(Data_Budgets!$C:$C,Data_Budgets!$A:$A,$A8,Data_Budgets!$B:$B,$B8)</f>
        <v>499000</v>
      </c>
      <c r="F8" s="38" t="n">
        <f aca="false">SUMIFS(Data_Budgets!$D:$D,Data_Budgets!$A:$A,$A8,Data_Budgets!$B:$B,$B8)</f>
        <v>0</v>
      </c>
      <c r="G8" s="38" t="n">
        <f aca="false">E8+F8</f>
        <v>499000</v>
      </c>
      <c r="H8" s="38" t="n">
        <f aca="false">SUMIFS(Data_JobCost!$L:$L,Data_JobCost!$D:$D,$A8,Data_JobCost!$E:$E,$B8)</f>
        <v>498175.49</v>
      </c>
      <c r="I8" s="38" t="n">
        <f aca="false">SUMIFS(Data_Commitments!$E:$E,Data_Commitments!$B:$B,$A8,Data_Commitments!$C:$C,$B8)</f>
        <v>504300</v>
      </c>
      <c r="J8" s="41" t="n">
        <f aca="false">SUMIFS(Data_Progress!$C:$C,Data_Progress!$A:$A,$A8,Data_Progress!$B:$B,$B8)</f>
        <v>1</v>
      </c>
      <c r="K8" s="38" t="n">
        <f aca="false">G8*J8</f>
        <v>499000</v>
      </c>
      <c r="L8" s="42" t="n">
        <f aca="false">IF(H8&gt;0,K8/H8,"")</f>
        <v>1.00165505934465</v>
      </c>
      <c r="M8" s="38" t="n">
        <f aca="false">IF(I8&gt;0,MAX(I8,H8),IF(J8&gt;0,H8+(G8-K8)/L8,G8))</f>
        <v>504300</v>
      </c>
      <c r="N8" s="38" t="n">
        <f aca="false">G8-M8</f>
        <v>-5300</v>
      </c>
      <c r="O8" s="38" t="n">
        <f aca="false">M8-H8</f>
        <v>6124.51000000001</v>
      </c>
      <c r="P8" s="43" t="n">
        <f aca="false">SUMIFS(Data_Budgets!$F:$F,Data_Budgets!$A:$A,$A8,Data_Budgets!$B:$B,$B8)</f>
        <v>0</v>
      </c>
      <c r="Q8" s="43" t="n">
        <f aca="false">SUMIFS(Data_JobCost!$K:$K,Data_JobCost!$D:$D,$A8,Data_JobCost!$E:$E,$B8)</f>
        <v>0</v>
      </c>
      <c r="R8" s="43" t="n">
        <f aca="false">P8*J8</f>
        <v>0</v>
      </c>
    </row>
    <row r="9" customFormat="false" ht="15" hidden="false" customHeight="false" outlineLevel="0" collapsed="false">
      <c r="A9" s="37" t="s">
        <v>58</v>
      </c>
      <c r="B9" s="37" t="s">
        <v>101</v>
      </c>
      <c r="C9" s="37" t="str">
        <f aca="false">INDEX(Data_CostCodes!$B:$B,MATCH($B9,Data_CostCodes!$A:$A,0))</f>
        <v>Concrete Formwork</v>
      </c>
      <c r="D9" s="37" t="str">
        <f aca="false">INDEX(Data_CostCodes!$D:$D,MATCH($B9,Data_CostCodes!$A:$A,0))</f>
        <v>Labour</v>
      </c>
      <c r="E9" s="38" t="n">
        <f aca="false">SUMIFS(Data_Budgets!$C:$C,Data_Budgets!$A:$A,$A9,Data_Budgets!$B:$B,$B9)</f>
        <v>620700</v>
      </c>
      <c r="F9" s="38" t="n">
        <f aca="false">SUMIFS(Data_Budgets!$D:$D,Data_Budgets!$A:$A,$A9,Data_Budgets!$B:$B,$B9)</f>
        <v>0</v>
      </c>
      <c r="G9" s="38" t="n">
        <f aca="false">E9+F9</f>
        <v>620700</v>
      </c>
      <c r="H9" s="38" t="n">
        <f aca="false">SUMIFS(Data_JobCost!$L:$L,Data_JobCost!$D:$D,$A9,Data_JobCost!$E:$E,$B9)</f>
        <v>617156.55</v>
      </c>
      <c r="I9" s="38" t="n">
        <f aca="false">SUMIFS(Data_Commitments!$E:$E,Data_Commitments!$B:$B,$A9,Data_Commitments!$C:$C,$B9)</f>
        <v>0</v>
      </c>
      <c r="J9" s="41" t="n">
        <f aca="false">SUMIFS(Data_Progress!$C:$C,Data_Progress!$A:$A,$A9,Data_Progress!$B:$B,$B9)</f>
        <v>1</v>
      </c>
      <c r="K9" s="38" t="n">
        <f aca="false">G9*J9</f>
        <v>620700</v>
      </c>
      <c r="L9" s="42" t="n">
        <f aca="false">IF(H9&gt;0,K9/H9,"")</f>
        <v>1.00574157399772</v>
      </c>
      <c r="M9" s="38" t="n">
        <f aca="false">IF(I9&gt;0,MAX(I9,H9),IF(J9&gt;0,H9+(G9-K9)/L9,G9))</f>
        <v>617156.55</v>
      </c>
      <c r="N9" s="38" t="n">
        <f aca="false">G9-M9</f>
        <v>3543.44999999995</v>
      </c>
      <c r="O9" s="38" t="n">
        <f aca="false">M9-H9</f>
        <v>0</v>
      </c>
      <c r="P9" s="43" t="n">
        <f aca="false">SUMIFS(Data_Budgets!$F:$F,Data_Budgets!$A:$A,$A9,Data_Budgets!$B:$B,$B9)</f>
        <v>8388</v>
      </c>
      <c r="Q9" s="43" t="n">
        <f aca="false">SUMIFS(Data_JobCost!$K:$K,Data_JobCost!$D:$D,$A9,Data_JobCost!$E:$E,$B9)</f>
        <v>8339.6</v>
      </c>
      <c r="R9" s="43" t="n">
        <f aca="false">P9*J9</f>
        <v>8388</v>
      </c>
    </row>
    <row r="10" customFormat="false" ht="15" hidden="false" customHeight="false" outlineLevel="0" collapsed="false">
      <c r="A10" s="37" t="s">
        <v>58</v>
      </c>
      <c r="B10" s="37" t="s">
        <v>102</v>
      </c>
      <c r="C10" s="37" t="str">
        <f aca="false">INDEX(Data_CostCodes!$B:$B,MATCH($B10,Data_CostCodes!$A:$A,0))</f>
        <v>Reinforcing Steel</v>
      </c>
      <c r="D10" s="37" t="str">
        <f aca="false">INDEX(Data_CostCodes!$D:$D,MATCH($B10,Data_CostCodes!$A:$A,0))</f>
        <v>Material</v>
      </c>
      <c r="E10" s="38" t="n">
        <f aca="false">SUMIFS(Data_Budgets!$C:$C,Data_Budgets!$A:$A,$A10,Data_Budgets!$B:$B,$B10)</f>
        <v>564400</v>
      </c>
      <c r="F10" s="38" t="n">
        <f aca="false">SUMIFS(Data_Budgets!$D:$D,Data_Budgets!$A:$A,$A10,Data_Budgets!$B:$B,$B10)</f>
        <v>0</v>
      </c>
      <c r="G10" s="38" t="n">
        <f aca="false">E10+F10</f>
        <v>564400</v>
      </c>
      <c r="H10" s="38" t="n">
        <f aca="false">SUMIFS(Data_JobCost!$L:$L,Data_JobCost!$D:$D,$A10,Data_JobCost!$E:$E,$B10)</f>
        <v>540645.37</v>
      </c>
      <c r="I10" s="38" t="n">
        <f aca="false">SUMIFS(Data_Commitments!$E:$E,Data_Commitments!$B:$B,$A10,Data_Commitments!$C:$C,$B10)</f>
        <v>557000</v>
      </c>
      <c r="J10" s="41" t="n">
        <f aca="false">SUMIFS(Data_Progress!$C:$C,Data_Progress!$A:$A,$A10,Data_Progress!$B:$B,$B10)</f>
        <v>1</v>
      </c>
      <c r="K10" s="38" t="n">
        <f aca="false">G10*J10</f>
        <v>564400</v>
      </c>
      <c r="L10" s="42" t="n">
        <f aca="false">IF(H10&gt;0,K10/H10,"")</f>
        <v>1.04393754449428</v>
      </c>
      <c r="M10" s="38" t="n">
        <f aca="false">IF(I10&gt;0,MAX(I10,H10),IF(J10&gt;0,H10+(G10-K10)/L10,G10))</f>
        <v>557000</v>
      </c>
      <c r="N10" s="38" t="n">
        <f aca="false">G10-M10</f>
        <v>7400</v>
      </c>
      <c r="O10" s="38" t="n">
        <f aca="false">M10-H10</f>
        <v>16354.63</v>
      </c>
      <c r="P10" s="43" t="n">
        <f aca="false">SUMIFS(Data_Budgets!$F:$F,Data_Budgets!$A:$A,$A10,Data_Budgets!$B:$B,$B10)</f>
        <v>0</v>
      </c>
      <c r="Q10" s="43" t="n">
        <f aca="false">SUMIFS(Data_JobCost!$K:$K,Data_JobCost!$D:$D,$A10,Data_JobCost!$E:$E,$B10)</f>
        <v>0</v>
      </c>
      <c r="R10" s="43" t="n">
        <f aca="false">P10*J10</f>
        <v>0</v>
      </c>
    </row>
    <row r="11" customFormat="false" ht="15" hidden="false" customHeight="false" outlineLevel="0" collapsed="false">
      <c r="A11" s="37" t="s">
        <v>58</v>
      </c>
      <c r="B11" s="37" t="s">
        <v>103</v>
      </c>
      <c r="C11" s="37" t="str">
        <f aca="false">INDEX(Data_CostCodes!$B:$B,MATCH($B11,Data_CostCodes!$A:$A,0))</f>
        <v>Cast-in-Place Concrete</v>
      </c>
      <c r="D11" s="37" t="str">
        <f aca="false">INDEX(Data_CostCodes!$D:$D,MATCH($B11,Data_CostCodes!$A:$A,0))</f>
        <v>Material</v>
      </c>
      <c r="E11" s="38" t="n">
        <f aca="false">SUMIFS(Data_Budgets!$C:$C,Data_Budgets!$A:$A,$A11,Data_Budgets!$B:$B,$B11)</f>
        <v>1018900</v>
      </c>
      <c r="F11" s="38" t="n">
        <f aca="false">SUMIFS(Data_Budgets!$D:$D,Data_Budgets!$A:$A,$A11,Data_Budgets!$B:$B,$B11)</f>
        <v>0</v>
      </c>
      <c r="G11" s="38" t="n">
        <f aca="false">E11+F11</f>
        <v>1018900</v>
      </c>
      <c r="H11" s="38" t="n">
        <f aca="false">SUMIFS(Data_JobCost!$L:$L,Data_JobCost!$D:$D,$A11,Data_JobCost!$E:$E,$B11)</f>
        <v>995639.07</v>
      </c>
      <c r="I11" s="38" t="n">
        <f aca="false">SUMIFS(Data_Commitments!$E:$E,Data_Commitments!$B:$B,$A11,Data_Commitments!$C:$C,$B11)</f>
        <v>1000500</v>
      </c>
      <c r="J11" s="41" t="n">
        <f aca="false">SUMIFS(Data_Progress!$C:$C,Data_Progress!$A:$A,$A11,Data_Progress!$B:$B,$B11)</f>
        <v>1</v>
      </c>
      <c r="K11" s="38" t="n">
        <f aca="false">G11*J11</f>
        <v>1018900</v>
      </c>
      <c r="L11" s="42" t="n">
        <f aca="false">IF(H11&gt;0,K11/H11,"")</f>
        <v>1.02336281359469</v>
      </c>
      <c r="M11" s="38" t="n">
        <f aca="false">IF(I11&gt;0,MAX(I11,H11),IF(J11&gt;0,H11+(G11-K11)/L11,G11))</f>
        <v>1000500</v>
      </c>
      <c r="N11" s="38" t="n">
        <f aca="false">G11-M11</f>
        <v>18400</v>
      </c>
      <c r="O11" s="38" t="n">
        <f aca="false">M11-H11</f>
        <v>4860.93000000005</v>
      </c>
      <c r="P11" s="43" t="n">
        <f aca="false">SUMIFS(Data_Budgets!$F:$F,Data_Budgets!$A:$A,$A11,Data_Budgets!$B:$B,$B11)</f>
        <v>0</v>
      </c>
      <c r="Q11" s="43" t="n">
        <f aca="false">SUMIFS(Data_JobCost!$K:$K,Data_JobCost!$D:$D,$A11,Data_JobCost!$E:$E,$B11)</f>
        <v>0</v>
      </c>
      <c r="R11" s="43" t="n">
        <f aca="false">P11*J11</f>
        <v>0</v>
      </c>
    </row>
    <row r="12" customFormat="false" ht="15" hidden="false" customHeight="false" outlineLevel="0" collapsed="false">
      <c r="A12" s="37" t="s">
        <v>58</v>
      </c>
      <c r="B12" s="37" t="s">
        <v>104</v>
      </c>
      <c r="C12" s="37" t="str">
        <f aca="false">INDEX(Data_CostCodes!$B:$B,MATCH($B12,Data_CostCodes!$A:$A,0))</f>
        <v>Masonry</v>
      </c>
      <c r="D12" s="37" t="str">
        <f aca="false">INDEX(Data_CostCodes!$D:$D,MATCH($B12,Data_CostCodes!$A:$A,0))</f>
        <v>Subcontract</v>
      </c>
      <c r="E12" s="38" t="n">
        <f aca="false">SUMIFS(Data_Budgets!$C:$C,Data_Budgets!$A:$A,$A12,Data_Budgets!$B:$B,$B12)</f>
        <v>820600</v>
      </c>
      <c r="F12" s="38" t="n">
        <f aca="false">SUMIFS(Data_Budgets!$D:$D,Data_Budgets!$A:$A,$A12,Data_Budgets!$B:$B,$B12)</f>
        <v>0</v>
      </c>
      <c r="G12" s="38" t="n">
        <f aca="false">E12+F12</f>
        <v>820600</v>
      </c>
      <c r="H12" s="38" t="n">
        <f aca="false">SUMIFS(Data_JobCost!$L:$L,Data_JobCost!$D:$D,$A12,Data_JobCost!$E:$E,$B12)</f>
        <v>793421.31</v>
      </c>
      <c r="I12" s="38" t="n">
        <f aca="false">SUMIFS(Data_Commitments!$E:$E,Data_Commitments!$B:$B,$A12,Data_Commitments!$C:$C,$B12)</f>
        <v>796800</v>
      </c>
      <c r="J12" s="41" t="n">
        <f aca="false">SUMIFS(Data_Progress!$C:$C,Data_Progress!$A:$A,$A12,Data_Progress!$B:$B,$B12)</f>
        <v>1</v>
      </c>
      <c r="K12" s="38" t="n">
        <f aca="false">G12*J12</f>
        <v>820600</v>
      </c>
      <c r="L12" s="42" t="n">
        <f aca="false">IF(H12&gt;0,K12/H12,"")</f>
        <v>1.03425505422838</v>
      </c>
      <c r="M12" s="38" t="n">
        <f aca="false">IF(I12&gt;0,MAX(I12,H12),IF(J12&gt;0,H12+(G12-K12)/L12,G12))</f>
        <v>796800</v>
      </c>
      <c r="N12" s="38" t="n">
        <f aca="false">G12-M12</f>
        <v>23800</v>
      </c>
      <c r="O12" s="38" t="n">
        <f aca="false">M12-H12</f>
        <v>3378.68999999994</v>
      </c>
      <c r="P12" s="43" t="n">
        <f aca="false">SUMIFS(Data_Budgets!$F:$F,Data_Budgets!$A:$A,$A12,Data_Budgets!$B:$B,$B12)</f>
        <v>0</v>
      </c>
      <c r="Q12" s="43" t="n">
        <f aca="false">SUMIFS(Data_JobCost!$K:$K,Data_JobCost!$D:$D,$A12,Data_JobCost!$E:$E,$B12)</f>
        <v>0</v>
      </c>
      <c r="R12" s="43" t="n">
        <f aca="false">P12*J12</f>
        <v>0</v>
      </c>
    </row>
    <row r="13" customFormat="false" ht="15" hidden="false" customHeight="false" outlineLevel="0" collapsed="false">
      <c r="A13" s="37" t="s">
        <v>58</v>
      </c>
      <c r="B13" s="37" t="s">
        <v>105</v>
      </c>
      <c r="C13" s="37" t="str">
        <f aca="false">INDEX(Data_CostCodes!$B:$B,MATCH($B13,Data_CostCodes!$A:$A,0))</f>
        <v>Structural Steel</v>
      </c>
      <c r="D13" s="37" t="str">
        <f aca="false">INDEX(Data_CostCodes!$D:$D,MATCH($B13,Data_CostCodes!$A:$A,0))</f>
        <v>Subcontract</v>
      </c>
      <c r="E13" s="38" t="n">
        <f aca="false">SUMIFS(Data_Budgets!$C:$C,Data_Budgets!$A:$A,$A13,Data_Budgets!$B:$B,$B13)</f>
        <v>1085900</v>
      </c>
      <c r="F13" s="38" t="n">
        <f aca="false">SUMIFS(Data_Budgets!$D:$D,Data_Budgets!$A:$A,$A13,Data_Budgets!$B:$B,$B13)</f>
        <v>121300</v>
      </c>
      <c r="G13" s="38" t="n">
        <f aca="false">E13+F13</f>
        <v>1207200</v>
      </c>
      <c r="H13" s="38" t="n">
        <f aca="false">SUMIFS(Data_JobCost!$L:$L,Data_JobCost!$D:$D,$A13,Data_JobCost!$E:$E,$B13)</f>
        <v>1212198</v>
      </c>
      <c r="I13" s="38" t="n">
        <f aca="false">SUMIFS(Data_Commitments!$E:$E,Data_Commitments!$B:$B,$A13,Data_Commitments!$C:$C,$B13)</f>
        <v>1239500</v>
      </c>
      <c r="J13" s="41" t="n">
        <f aca="false">SUMIFS(Data_Progress!$C:$C,Data_Progress!$A:$A,$A13,Data_Progress!$B:$B,$B13)</f>
        <v>1</v>
      </c>
      <c r="K13" s="38" t="n">
        <f aca="false">G13*J13</f>
        <v>1207200</v>
      </c>
      <c r="L13" s="42" t="n">
        <f aca="false">IF(H13&gt;0,K13/H13,"")</f>
        <v>0.995876911197676</v>
      </c>
      <c r="M13" s="38" t="n">
        <f aca="false">IF(I13&gt;0,MAX(I13,H13),IF(J13&gt;0,H13+(G13-K13)/L13,G13))</f>
        <v>1239500</v>
      </c>
      <c r="N13" s="38" t="n">
        <f aca="false">G13-M13</f>
        <v>-32300</v>
      </c>
      <c r="O13" s="38" t="n">
        <f aca="false">M13-H13</f>
        <v>27302</v>
      </c>
      <c r="P13" s="43" t="n">
        <f aca="false">SUMIFS(Data_Budgets!$F:$F,Data_Budgets!$A:$A,$A13,Data_Budgets!$B:$B,$B13)</f>
        <v>0</v>
      </c>
      <c r="Q13" s="43" t="n">
        <f aca="false">SUMIFS(Data_JobCost!$K:$K,Data_JobCost!$D:$D,$A13,Data_JobCost!$E:$E,$B13)</f>
        <v>0</v>
      </c>
      <c r="R13" s="43" t="n">
        <f aca="false">P13*J13</f>
        <v>0</v>
      </c>
    </row>
    <row r="14" customFormat="false" ht="15" hidden="false" customHeight="false" outlineLevel="0" collapsed="false">
      <c r="A14" s="37" t="s">
        <v>58</v>
      </c>
      <c r="B14" s="37" t="s">
        <v>106</v>
      </c>
      <c r="C14" s="37" t="str">
        <f aca="false">INDEX(Data_CostCodes!$B:$B,MATCH($B14,Data_CostCodes!$A:$A,0))</f>
        <v>Rough Carpentry</v>
      </c>
      <c r="D14" s="37" t="str">
        <f aca="false">INDEX(Data_CostCodes!$D:$D,MATCH($B14,Data_CostCodes!$A:$A,0))</f>
        <v>Labour</v>
      </c>
      <c r="E14" s="38" t="n">
        <f aca="false">SUMIFS(Data_Budgets!$C:$C,Data_Budgets!$A:$A,$A14,Data_Budgets!$B:$B,$B14)</f>
        <v>487700</v>
      </c>
      <c r="F14" s="38" t="n">
        <f aca="false">SUMIFS(Data_Budgets!$D:$D,Data_Budgets!$A:$A,$A14,Data_Budgets!$B:$B,$B14)</f>
        <v>41900</v>
      </c>
      <c r="G14" s="38" t="n">
        <f aca="false">E14+F14</f>
        <v>529600</v>
      </c>
      <c r="H14" s="38" t="n">
        <f aca="false">SUMIFS(Data_JobCost!$L:$L,Data_JobCost!$D:$D,$A14,Data_JobCost!$E:$E,$B14)</f>
        <v>545332.63</v>
      </c>
      <c r="I14" s="38" t="n">
        <f aca="false">SUMIFS(Data_Commitments!$E:$E,Data_Commitments!$B:$B,$A14,Data_Commitments!$C:$C,$B14)</f>
        <v>0</v>
      </c>
      <c r="J14" s="41" t="n">
        <f aca="false">SUMIFS(Data_Progress!$C:$C,Data_Progress!$A:$A,$A14,Data_Progress!$B:$B,$B14)</f>
        <v>1</v>
      </c>
      <c r="K14" s="38" t="n">
        <f aca="false">G14*J14</f>
        <v>529600</v>
      </c>
      <c r="L14" s="42" t="n">
        <f aca="false">IF(H14&gt;0,K14/H14,"")</f>
        <v>0.971150396777101</v>
      </c>
      <c r="M14" s="38" t="n">
        <f aca="false">IF(I14&gt;0,MAX(I14,H14),IF(J14&gt;0,H14+(G14-K14)/L14,G14))</f>
        <v>545332.63</v>
      </c>
      <c r="N14" s="38" t="n">
        <f aca="false">G14-M14</f>
        <v>-15732.63</v>
      </c>
      <c r="O14" s="38" t="n">
        <f aca="false">M14-H14</f>
        <v>0</v>
      </c>
      <c r="P14" s="43" t="n">
        <f aca="false">SUMIFS(Data_Budgets!$F:$F,Data_Budgets!$A:$A,$A14,Data_Budgets!$B:$B,$B14)</f>
        <v>7459</v>
      </c>
      <c r="Q14" s="43" t="n">
        <f aca="false">SUMIFS(Data_JobCost!$K:$K,Data_JobCost!$D:$D,$A14,Data_JobCost!$E:$E,$B14)</f>
        <v>7680.6</v>
      </c>
      <c r="R14" s="43" t="n">
        <f aca="false">P14*J14</f>
        <v>7459</v>
      </c>
    </row>
    <row r="15" customFormat="false" ht="15" hidden="false" customHeight="false" outlineLevel="0" collapsed="false">
      <c r="A15" s="37" t="s">
        <v>58</v>
      </c>
      <c r="B15" s="37" t="s">
        <v>107</v>
      </c>
      <c r="C15" s="37" t="str">
        <f aca="false">INDEX(Data_CostCodes!$B:$B,MATCH($B15,Data_CostCodes!$A:$A,0))</f>
        <v>Roofing &amp; Insulation</v>
      </c>
      <c r="D15" s="37" t="str">
        <f aca="false">INDEX(Data_CostCodes!$D:$D,MATCH($B15,Data_CostCodes!$A:$A,0))</f>
        <v>Subcontract</v>
      </c>
      <c r="E15" s="38" t="n">
        <f aca="false">SUMIFS(Data_Budgets!$C:$C,Data_Budgets!$A:$A,$A15,Data_Budgets!$B:$B,$B15)</f>
        <v>887800</v>
      </c>
      <c r="F15" s="38" t="n">
        <f aca="false">SUMIFS(Data_Budgets!$D:$D,Data_Budgets!$A:$A,$A15,Data_Budgets!$B:$B,$B15)</f>
        <v>0</v>
      </c>
      <c r="G15" s="38" t="n">
        <f aca="false">E15+F15</f>
        <v>887800</v>
      </c>
      <c r="H15" s="38" t="n">
        <f aca="false">SUMIFS(Data_JobCost!$L:$L,Data_JobCost!$D:$D,$A15,Data_JobCost!$E:$E,$B15)</f>
        <v>874884.75</v>
      </c>
      <c r="I15" s="38" t="n">
        <f aca="false">SUMIFS(Data_Commitments!$E:$E,Data_Commitments!$B:$B,$A15,Data_Commitments!$C:$C,$B15)</f>
        <v>883100</v>
      </c>
      <c r="J15" s="41" t="n">
        <f aca="false">SUMIFS(Data_Progress!$C:$C,Data_Progress!$A:$A,$A15,Data_Progress!$B:$B,$B15)</f>
        <v>1</v>
      </c>
      <c r="K15" s="38" t="n">
        <f aca="false">G15*J15</f>
        <v>887800</v>
      </c>
      <c r="L15" s="42" t="n">
        <f aca="false">IF(H15&gt;0,K15/H15,"")</f>
        <v>1.01476223011088</v>
      </c>
      <c r="M15" s="38" t="n">
        <f aca="false">IF(I15&gt;0,MAX(I15,H15),IF(J15&gt;0,H15+(G15-K15)/L15,G15))</f>
        <v>883100</v>
      </c>
      <c r="N15" s="38" t="n">
        <f aca="false">G15-M15</f>
        <v>4700</v>
      </c>
      <c r="O15" s="38" t="n">
        <f aca="false">M15-H15</f>
        <v>8215.25</v>
      </c>
      <c r="P15" s="43" t="n">
        <f aca="false">SUMIFS(Data_Budgets!$F:$F,Data_Budgets!$A:$A,$A15,Data_Budgets!$B:$B,$B15)</f>
        <v>0</v>
      </c>
      <c r="Q15" s="43" t="n">
        <f aca="false">SUMIFS(Data_JobCost!$K:$K,Data_JobCost!$D:$D,$A15,Data_JobCost!$E:$E,$B15)</f>
        <v>0</v>
      </c>
      <c r="R15" s="43" t="n">
        <f aca="false">P15*J15</f>
        <v>0</v>
      </c>
    </row>
    <row r="16" customFormat="false" ht="15" hidden="false" customHeight="false" outlineLevel="0" collapsed="false">
      <c r="A16" s="37" t="s">
        <v>58</v>
      </c>
      <c r="B16" s="37" t="s">
        <v>108</v>
      </c>
      <c r="C16" s="37" t="str">
        <f aca="false">INDEX(Data_CostCodes!$B:$B,MATCH($B16,Data_CostCodes!$A:$A,0))</f>
        <v>Doors, Frames &amp; Hardware</v>
      </c>
      <c r="D16" s="37" t="str">
        <f aca="false">INDEX(Data_CostCodes!$D:$D,MATCH($B16,Data_CostCodes!$A:$A,0))</f>
        <v>Material</v>
      </c>
      <c r="E16" s="38" t="n">
        <f aca="false">SUMIFS(Data_Budgets!$C:$C,Data_Budgets!$A:$A,$A16,Data_Budgets!$B:$B,$B16)</f>
        <v>584500</v>
      </c>
      <c r="F16" s="38" t="n">
        <f aca="false">SUMIFS(Data_Budgets!$D:$D,Data_Budgets!$A:$A,$A16,Data_Budgets!$B:$B,$B16)</f>
        <v>357000</v>
      </c>
      <c r="G16" s="38" t="n">
        <f aca="false">E16+F16</f>
        <v>941500</v>
      </c>
      <c r="H16" s="38" t="n">
        <f aca="false">SUMIFS(Data_JobCost!$L:$L,Data_JobCost!$D:$D,$A16,Data_JobCost!$E:$E,$B16)</f>
        <v>944298.08</v>
      </c>
      <c r="I16" s="38" t="n">
        <f aca="false">SUMIFS(Data_Commitments!$E:$E,Data_Commitments!$B:$B,$A16,Data_Commitments!$C:$C,$B16)</f>
        <v>952900</v>
      </c>
      <c r="J16" s="41" t="n">
        <f aca="false">SUMIFS(Data_Progress!$C:$C,Data_Progress!$A:$A,$A16,Data_Progress!$B:$B,$B16)</f>
        <v>1</v>
      </c>
      <c r="K16" s="38" t="n">
        <f aca="false">G16*J16</f>
        <v>941500</v>
      </c>
      <c r="L16" s="42" t="n">
        <f aca="false">IF(H16&gt;0,K16/H16,"")</f>
        <v>0.997036867850033</v>
      </c>
      <c r="M16" s="38" t="n">
        <f aca="false">IF(I16&gt;0,MAX(I16,H16),IF(J16&gt;0,H16+(G16-K16)/L16,G16))</f>
        <v>952900</v>
      </c>
      <c r="N16" s="38" t="n">
        <f aca="false">G16-M16</f>
        <v>-11400</v>
      </c>
      <c r="O16" s="38" t="n">
        <f aca="false">M16-H16</f>
        <v>8601.92000000004</v>
      </c>
      <c r="P16" s="43" t="n">
        <f aca="false">SUMIFS(Data_Budgets!$F:$F,Data_Budgets!$A:$A,$A16,Data_Budgets!$B:$B,$B16)</f>
        <v>0</v>
      </c>
      <c r="Q16" s="43" t="n">
        <f aca="false">SUMIFS(Data_JobCost!$K:$K,Data_JobCost!$D:$D,$A16,Data_JobCost!$E:$E,$B16)</f>
        <v>0</v>
      </c>
      <c r="R16" s="43" t="n">
        <f aca="false">P16*J16</f>
        <v>0</v>
      </c>
    </row>
    <row r="17" customFormat="false" ht="15" hidden="false" customHeight="false" outlineLevel="0" collapsed="false">
      <c r="A17" s="37" t="s">
        <v>58</v>
      </c>
      <c r="B17" s="37" t="s">
        <v>109</v>
      </c>
      <c r="C17" s="37" t="str">
        <f aca="false">INDEX(Data_CostCodes!$B:$B,MATCH($B17,Data_CostCodes!$A:$A,0))</f>
        <v>Drywall &amp; Finishes</v>
      </c>
      <c r="D17" s="37" t="str">
        <f aca="false">INDEX(Data_CostCodes!$D:$D,MATCH($B17,Data_CostCodes!$A:$A,0))</f>
        <v>Subcontract</v>
      </c>
      <c r="E17" s="38" t="n">
        <f aca="false">SUMIFS(Data_Budgets!$C:$C,Data_Budgets!$A:$A,$A17,Data_Budgets!$B:$B,$B17)</f>
        <v>1215700</v>
      </c>
      <c r="F17" s="38" t="n">
        <f aca="false">SUMIFS(Data_Budgets!$D:$D,Data_Budgets!$A:$A,$A17,Data_Budgets!$B:$B,$B17)</f>
        <v>0</v>
      </c>
      <c r="G17" s="38" t="n">
        <f aca="false">E17+F17</f>
        <v>1215700</v>
      </c>
      <c r="H17" s="38" t="n">
        <f aca="false">SUMIFS(Data_JobCost!$L:$L,Data_JobCost!$D:$D,$A17,Data_JobCost!$E:$E,$B17)</f>
        <v>1176410.47</v>
      </c>
      <c r="I17" s="38" t="n">
        <f aca="false">SUMIFS(Data_Commitments!$E:$E,Data_Commitments!$B:$B,$A17,Data_Commitments!$C:$C,$B17)</f>
        <v>1208700</v>
      </c>
      <c r="J17" s="41" t="n">
        <f aca="false">SUMIFS(Data_Progress!$C:$C,Data_Progress!$A:$A,$A17,Data_Progress!$B:$B,$B17)</f>
        <v>1</v>
      </c>
      <c r="K17" s="38" t="n">
        <f aca="false">G17*J17</f>
        <v>1215700</v>
      </c>
      <c r="L17" s="42" t="n">
        <f aca="false">IF(H17&gt;0,K17/H17,"")</f>
        <v>1.03339780714464</v>
      </c>
      <c r="M17" s="38" t="n">
        <f aca="false">IF(I17&gt;0,MAX(I17,H17),IF(J17&gt;0,H17+(G17-K17)/L17,G17))</f>
        <v>1208700</v>
      </c>
      <c r="N17" s="38" t="n">
        <f aca="false">G17-M17</f>
        <v>7000</v>
      </c>
      <c r="O17" s="38" t="n">
        <f aca="false">M17-H17</f>
        <v>32289.53</v>
      </c>
      <c r="P17" s="43" t="n">
        <f aca="false">SUMIFS(Data_Budgets!$F:$F,Data_Budgets!$A:$A,$A17,Data_Budgets!$B:$B,$B17)</f>
        <v>0</v>
      </c>
      <c r="Q17" s="43" t="n">
        <f aca="false">SUMIFS(Data_JobCost!$K:$K,Data_JobCost!$D:$D,$A17,Data_JobCost!$E:$E,$B17)</f>
        <v>0</v>
      </c>
      <c r="R17" s="43" t="n">
        <f aca="false">P17*J17</f>
        <v>0</v>
      </c>
    </row>
    <row r="18" customFormat="false" ht="15" hidden="false" customHeight="false" outlineLevel="0" collapsed="false">
      <c r="A18" s="37" t="s">
        <v>58</v>
      </c>
      <c r="B18" s="37" t="s">
        <v>110</v>
      </c>
      <c r="C18" s="37" t="str">
        <f aca="false">INDEX(Data_CostCodes!$B:$B,MATCH($B18,Data_CostCodes!$A:$A,0))</f>
        <v>Mechanical</v>
      </c>
      <c r="D18" s="37" t="str">
        <f aca="false">INDEX(Data_CostCodes!$D:$D,MATCH($B18,Data_CostCodes!$A:$A,0))</f>
        <v>Subcontract</v>
      </c>
      <c r="E18" s="38" t="n">
        <f aca="false">SUMIFS(Data_Budgets!$C:$C,Data_Budgets!$A:$A,$A18,Data_Budgets!$B:$B,$B18)</f>
        <v>2094400</v>
      </c>
      <c r="F18" s="38" t="n">
        <f aca="false">SUMIFS(Data_Budgets!$D:$D,Data_Budgets!$A:$A,$A18,Data_Budgets!$B:$B,$B18)</f>
        <v>0</v>
      </c>
      <c r="G18" s="38" t="n">
        <f aca="false">E18+F18</f>
        <v>2094400</v>
      </c>
      <c r="H18" s="38" t="n">
        <f aca="false">SUMIFS(Data_JobCost!$L:$L,Data_JobCost!$D:$D,$A18,Data_JobCost!$E:$E,$B18)</f>
        <v>2614554.53</v>
      </c>
      <c r="I18" s="38" t="n">
        <f aca="false">SUMIFS(Data_Commitments!$E:$E,Data_Commitments!$B:$B,$A18,Data_Commitments!$C:$C,$B18)</f>
        <v>2618700</v>
      </c>
      <c r="J18" s="41" t="n">
        <f aca="false">SUMIFS(Data_Progress!$C:$C,Data_Progress!$A:$A,$A18,Data_Progress!$B:$B,$B18)</f>
        <v>1</v>
      </c>
      <c r="K18" s="38" t="n">
        <f aca="false">G18*J18</f>
        <v>2094400</v>
      </c>
      <c r="L18" s="42" t="n">
        <f aca="false">IF(H18&gt;0,K18/H18,"")</f>
        <v>0.801054243072146</v>
      </c>
      <c r="M18" s="38" t="n">
        <f aca="false">IF(I18&gt;0,MAX(I18,H18),IF(J18&gt;0,H18+(G18-K18)/L18,G18))</f>
        <v>2618700</v>
      </c>
      <c r="N18" s="38" t="n">
        <f aca="false">G18-M18</f>
        <v>-524300</v>
      </c>
      <c r="O18" s="38" t="n">
        <f aca="false">M18-H18</f>
        <v>4145.47000000021</v>
      </c>
      <c r="P18" s="43" t="n">
        <f aca="false">SUMIFS(Data_Budgets!$F:$F,Data_Budgets!$A:$A,$A18,Data_Budgets!$B:$B,$B18)</f>
        <v>0</v>
      </c>
      <c r="Q18" s="43" t="n">
        <f aca="false">SUMIFS(Data_JobCost!$K:$K,Data_JobCost!$D:$D,$A18,Data_JobCost!$E:$E,$B18)</f>
        <v>0</v>
      </c>
      <c r="R18" s="43" t="n">
        <f aca="false">P18*J18</f>
        <v>0</v>
      </c>
    </row>
    <row r="19" customFormat="false" ht="15" hidden="false" customHeight="false" outlineLevel="0" collapsed="false">
      <c r="A19" s="37" t="s">
        <v>58</v>
      </c>
      <c r="B19" s="37" t="s">
        <v>111</v>
      </c>
      <c r="C19" s="37" t="str">
        <f aca="false">INDEX(Data_CostCodes!$B:$B,MATCH($B19,Data_CostCodes!$A:$A,0))</f>
        <v>Electrical</v>
      </c>
      <c r="D19" s="37" t="str">
        <f aca="false">INDEX(Data_CostCodes!$D:$D,MATCH($B19,Data_CostCodes!$A:$A,0))</f>
        <v>Subcontract</v>
      </c>
      <c r="E19" s="38" t="n">
        <f aca="false">SUMIFS(Data_Budgets!$C:$C,Data_Budgets!$A:$A,$A19,Data_Budgets!$B:$B,$B19)</f>
        <v>1564500</v>
      </c>
      <c r="F19" s="38" t="n">
        <f aca="false">SUMIFS(Data_Budgets!$D:$D,Data_Budgets!$A:$A,$A19,Data_Budgets!$B:$B,$B19)</f>
        <v>0</v>
      </c>
      <c r="G19" s="38" t="n">
        <f aca="false">E19+F19</f>
        <v>1564500</v>
      </c>
      <c r="H19" s="38" t="n">
        <f aca="false">SUMIFS(Data_JobCost!$L:$L,Data_JobCost!$D:$D,$A19,Data_JobCost!$E:$E,$B19)</f>
        <v>1596487.15</v>
      </c>
      <c r="I19" s="38" t="n">
        <f aca="false">SUMIFS(Data_Commitments!$E:$E,Data_Commitments!$B:$B,$A19,Data_Commitments!$C:$C,$B19)</f>
        <v>1596700</v>
      </c>
      <c r="J19" s="41" t="n">
        <f aca="false">SUMIFS(Data_Progress!$C:$C,Data_Progress!$A:$A,$A19,Data_Progress!$B:$B,$B19)</f>
        <v>1</v>
      </c>
      <c r="K19" s="38" t="n">
        <f aca="false">G19*J19</f>
        <v>1564500</v>
      </c>
      <c r="L19" s="42" t="n">
        <f aca="false">IF(H19&gt;0,K19/H19,"")</f>
        <v>0.979964041677379</v>
      </c>
      <c r="M19" s="38" t="n">
        <f aca="false">IF(I19&gt;0,MAX(I19,H19),IF(J19&gt;0,H19+(G19-K19)/L19,G19))</f>
        <v>1596700</v>
      </c>
      <c r="N19" s="38" t="n">
        <f aca="false">G19-M19</f>
        <v>-32200</v>
      </c>
      <c r="O19" s="38" t="n">
        <f aca="false">M19-H19</f>
        <v>212.850000000093</v>
      </c>
      <c r="P19" s="43" t="n">
        <f aca="false">SUMIFS(Data_Budgets!$F:$F,Data_Budgets!$A:$A,$A19,Data_Budgets!$B:$B,$B19)</f>
        <v>0</v>
      </c>
      <c r="Q19" s="43" t="n">
        <f aca="false">SUMIFS(Data_JobCost!$K:$K,Data_JobCost!$D:$D,$A19,Data_JobCost!$E:$E,$B19)</f>
        <v>0</v>
      </c>
      <c r="R19" s="43" t="n">
        <f aca="false">P19*J19</f>
        <v>0</v>
      </c>
    </row>
    <row r="20" customFormat="false" ht="15" hidden="false" customHeight="false" outlineLevel="0" collapsed="false">
      <c r="A20" s="37" t="s">
        <v>59</v>
      </c>
      <c r="B20" s="37" t="s">
        <v>97</v>
      </c>
      <c r="C20" s="37" t="str">
        <f aca="false">INDEX(Data_CostCodes!$B:$B,MATCH($B20,Data_CostCodes!$A:$A,0))</f>
        <v>General Conditions - Supervision</v>
      </c>
      <c r="D20" s="37" t="str">
        <f aca="false">INDEX(Data_CostCodes!$D:$D,MATCH($B20,Data_CostCodes!$A:$A,0))</f>
        <v>Labour</v>
      </c>
      <c r="E20" s="38" t="n">
        <f aca="false">SUMIFS(Data_Budgets!$C:$C,Data_Budgets!$A:$A,$A20,Data_Budgets!$B:$B,$B20)</f>
        <v>1406900</v>
      </c>
      <c r="F20" s="38" t="n">
        <f aca="false">SUMIFS(Data_Budgets!$D:$D,Data_Budgets!$A:$A,$A20,Data_Budgets!$B:$B,$B20)</f>
        <v>0</v>
      </c>
      <c r="G20" s="38" t="n">
        <f aca="false">E20+F20</f>
        <v>1406900</v>
      </c>
      <c r="H20" s="38" t="n">
        <f aca="false">SUMIFS(Data_JobCost!$L:$L,Data_JobCost!$D:$D,$A20,Data_JobCost!$E:$E,$B20)</f>
        <v>1315116.16</v>
      </c>
      <c r="I20" s="38" t="n">
        <f aca="false">SUMIFS(Data_Commitments!$E:$E,Data_Commitments!$B:$B,$A20,Data_Commitments!$C:$C,$B20)</f>
        <v>0</v>
      </c>
      <c r="J20" s="41" t="n">
        <f aca="false">SUMIFS(Data_Progress!$C:$C,Data_Progress!$A:$A,$A20,Data_Progress!$B:$B,$B20)</f>
        <v>0.956</v>
      </c>
      <c r="K20" s="38" t="n">
        <f aca="false">G20*J20</f>
        <v>1344996.4</v>
      </c>
      <c r="L20" s="42" t="n">
        <f aca="false">IF(H20&gt;0,K20/H20,"")</f>
        <v>1.02272060895366</v>
      </c>
      <c r="M20" s="38" t="n">
        <f aca="false">IF(I20&gt;0,MAX(I20,H20),IF(J20&gt;0,H20+(G20-K20)/L20,G20))</f>
        <v>1375644.51882845</v>
      </c>
      <c r="N20" s="38" t="n">
        <f aca="false">G20-M20</f>
        <v>31255.4811715481</v>
      </c>
      <c r="O20" s="38" t="n">
        <f aca="false">M20-H20</f>
        <v>60528.358828452</v>
      </c>
      <c r="P20" s="43" t="n">
        <f aca="false">SUMIFS(Data_Budgets!$F:$F,Data_Budgets!$A:$A,$A20,Data_Budgets!$B:$B,$B20)</f>
        <v>15292</v>
      </c>
      <c r="Q20" s="43" t="n">
        <f aca="false">SUMIFS(Data_JobCost!$K:$K,Data_JobCost!$D:$D,$A20,Data_JobCost!$E:$E,$B20)</f>
        <v>14294.6</v>
      </c>
      <c r="R20" s="43" t="n">
        <f aca="false">P20*J20</f>
        <v>14619.152</v>
      </c>
    </row>
    <row r="21" customFormat="false" ht="15" hidden="false" customHeight="false" outlineLevel="0" collapsed="false">
      <c r="A21" s="37" t="s">
        <v>59</v>
      </c>
      <c r="B21" s="37" t="s">
        <v>98</v>
      </c>
      <c r="C21" s="37" t="str">
        <f aca="false">INDEX(Data_CostCodes!$B:$B,MATCH($B21,Data_CostCodes!$A:$A,0))</f>
        <v>Site Facilities &amp; Temp Services</v>
      </c>
      <c r="D21" s="37" t="str">
        <f aca="false">INDEX(Data_CostCodes!$D:$D,MATCH($B21,Data_CostCodes!$A:$A,0))</f>
        <v>Other</v>
      </c>
      <c r="E21" s="38" t="n">
        <f aca="false">SUMIFS(Data_Budgets!$C:$C,Data_Budgets!$A:$A,$A21,Data_Budgets!$B:$B,$B21)</f>
        <v>580100</v>
      </c>
      <c r="F21" s="38" t="n">
        <f aca="false">SUMIFS(Data_Budgets!$D:$D,Data_Budgets!$A:$A,$A21,Data_Budgets!$B:$B,$B21)</f>
        <v>313000</v>
      </c>
      <c r="G21" s="38" t="n">
        <f aca="false">E21+F21</f>
        <v>893100</v>
      </c>
      <c r="H21" s="38" t="n">
        <f aca="false">SUMIFS(Data_JobCost!$L:$L,Data_JobCost!$D:$D,$A21,Data_JobCost!$E:$E,$B21)</f>
        <v>829880.5</v>
      </c>
      <c r="I21" s="38" t="n">
        <f aca="false">SUMIFS(Data_Commitments!$E:$E,Data_Commitments!$B:$B,$A21,Data_Commitments!$C:$C,$B21)</f>
        <v>0</v>
      </c>
      <c r="J21" s="41" t="n">
        <f aca="false">SUMIFS(Data_Progress!$C:$C,Data_Progress!$A:$A,$A21,Data_Progress!$B:$B,$B21)</f>
        <v>0.933</v>
      </c>
      <c r="K21" s="38" t="n">
        <f aca="false">G21*J21</f>
        <v>833262.3</v>
      </c>
      <c r="L21" s="42" t="n">
        <f aca="false">IF(H21&gt;0,K21/H21,"")</f>
        <v>1.00407504453955</v>
      </c>
      <c r="M21" s="38" t="n">
        <f aca="false">IF(I21&gt;0,MAX(I21,H21),IF(J21&gt;0,H21+(G21-K21)/L21,G21))</f>
        <v>889475.348338692</v>
      </c>
      <c r="N21" s="38" t="n">
        <f aca="false">G21-M21</f>
        <v>3624.65166130767</v>
      </c>
      <c r="O21" s="38" t="n">
        <f aca="false">M21-H21</f>
        <v>59594.8483386923</v>
      </c>
      <c r="P21" s="43" t="n">
        <f aca="false">SUMIFS(Data_Budgets!$F:$F,Data_Budgets!$A:$A,$A21,Data_Budgets!$B:$B,$B21)</f>
        <v>0</v>
      </c>
      <c r="Q21" s="43" t="n">
        <f aca="false">SUMIFS(Data_JobCost!$K:$K,Data_JobCost!$D:$D,$A21,Data_JobCost!$E:$E,$B21)</f>
        <v>0</v>
      </c>
      <c r="R21" s="43" t="n">
        <f aca="false">P21*J21</f>
        <v>0</v>
      </c>
    </row>
    <row r="22" customFormat="false" ht="15" hidden="false" customHeight="false" outlineLevel="0" collapsed="false">
      <c r="A22" s="37" t="s">
        <v>59</v>
      </c>
      <c r="B22" s="37" t="s">
        <v>99</v>
      </c>
      <c r="C22" s="37" t="str">
        <f aca="false">INDEX(Data_CostCodes!$B:$B,MATCH($B22,Data_CostCodes!$A:$A,0))</f>
        <v>Equipment Rental</v>
      </c>
      <c r="D22" s="37" t="str">
        <f aca="false">INDEX(Data_CostCodes!$D:$D,MATCH($B22,Data_CostCodes!$A:$A,0))</f>
        <v>Equipment</v>
      </c>
      <c r="E22" s="38" t="n">
        <f aca="false">SUMIFS(Data_Budgets!$C:$C,Data_Budgets!$A:$A,$A22,Data_Budgets!$B:$B,$B22)</f>
        <v>790300</v>
      </c>
      <c r="F22" s="38" t="n">
        <f aca="false">SUMIFS(Data_Budgets!$D:$D,Data_Budgets!$A:$A,$A22,Data_Budgets!$B:$B,$B22)</f>
        <v>0</v>
      </c>
      <c r="G22" s="38" t="n">
        <f aca="false">E22+F22</f>
        <v>790300</v>
      </c>
      <c r="H22" s="38" t="n">
        <f aca="false">SUMIFS(Data_JobCost!$L:$L,Data_JobCost!$D:$D,$A22,Data_JobCost!$E:$E,$B22)</f>
        <v>794792.13</v>
      </c>
      <c r="I22" s="38" t="n">
        <f aca="false">SUMIFS(Data_Commitments!$E:$E,Data_Commitments!$B:$B,$A22,Data_Commitments!$C:$C,$B22)</f>
        <v>0</v>
      </c>
      <c r="J22" s="41" t="n">
        <f aca="false">SUMIFS(Data_Progress!$C:$C,Data_Progress!$A:$A,$A22,Data_Progress!$B:$B,$B22)</f>
        <v>1</v>
      </c>
      <c r="K22" s="38" t="n">
        <f aca="false">G22*J22</f>
        <v>790300</v>
      </c>
      <c r="L22" s="42" t="n">
        <f aca="false">IF(H22&gt;0,K22/H22,"")</f>
        <v>0.994348044186094</v>
      </c>
      <c r="M22" s="38" t="n">
        <f aca="false">IF(I22&gt;0,MAX(I22,H22),IF(J22&gt;0,H22+(G22-K22)/L22,G22))</f>
        <v>794792.13</v>
      </c>
      <c r="N22" s="38" t="n">
        <f aca="false">G22-M22</f>
        <v>-4492.13000000001</v>
      </c>
      <c r="O22" s="38" t="n">
        <f aca="false">M22-H22</f>
        <v>0</v>
      </c>
      <c r="P22" s="43" t="n">
        <f aca="false">SUMIFS(Data_Budgets!$F:$F,Data_Budgets!$A:$A,$A22,Data_Budgets!$B:$B,$B22)</f>
        <v>0</v>
      </c>
      <c r="Q22" s="43" t="n">
        <f aca="false">SUMIFS(Data_JobCost!$K:$K,Data_JobCost!$D:$D,$A22,Data_JobCost!$E:$E,$B22)</f>
        <v>0</v>
      </c>
      <c r="R22" s="43" t="n">
        <f aca="false">P22*J22</f>
        <v>0</v>
      </c>
    </row>
    <row r="23" customFormat="false" ht="15" hidden="false" customHeight="false" outlineLevel="0" collapsed="false">
      <c r="A23" s="37" t="s">
        <v>59</v>
      </c>
      <c r="B23" s="37" t="s">
        <v>100</v>
      </c>
      <c r="C23" s="37" t="str">
        <f aca="false">INDEX(Data_CostCodes!$B:$B,MATCH($B23,Data_CostCodes!$A:$A,0))</f>
        <v>Earthwork &amp; Excavation</v>
      </c>
      <c r="D23" s="37" t="str">
        <f aca="false">INDEX(Data_CostCodes!$D:$D,MATCH($B23,Data_CostCodes!$A:$A,0))</f>
        <v>Subcontract</v>
      </c>
      <c r="E23" s="38" t="n">
        <f aca="false">SUMIFS(Data_Budgets!$C:$C,Data_Budgets!$A:$A,$A23,Data_Budgets!$B:$B,$B23)</f>
        <v>1483000</v>
      </c>
      <c r="F23" s="38" t="n">
        <f aca="false">SUMIFS(Data_Budgets!$D:$D,Data_Budgets!$A:$A,$A23,Data_Budgets!$B:$B,$B23)</f>
        <v>145300</v>
      </c>
      <c r="G23" s="38" t="n">
        <f aca="false">E23+F23</f>
        <v>1628300</v>
      </c>
      <c r="H23" s="38" t="n">
        <f aca="false">SUMIFS(Data_JobCost!$L:$L,Data_JobCost!$D:$D,$A23,Data_JobCost!$E:$E,$B23)</f>
        <v>1604276.29</v>
      </c>
      <c r="I23" s="38" t="n">
        <f aca="false">SUMIFS(Data_Commitments!$E:$E,Data_Commitments!$B:$B,$A23,Data_Commitments!$C:$C,$B23)</f>
        <v>1628400</v>
      </c>
      <c r="J23" s="41" t="n">
        <f aca="false">SUMIFS(Data_Progress!$C:$C,Data_Progress!$A:$A,$A23,Data_Progress!$B:$B,$B23)</f>
        <v>1</v>
      </c>
      <c r="K23" s="38" t="n">
        <f aca="false">G23*J23</f>
        <v>1628300</v>
      </c>
      <c r="L23" s="42" t="n">
        <f aca="false">IF(H23&gt;0,K23/H23,"")</f>
        <v>1.01497479589379</v>
      </c>
      <c r="M23" s="38" t="n">
        <f aca="false">IF(I23&gt;0,MAX(I23,H23),IF(J23&gt;0,H23+(G23-K23)/L23,G23))</f>
        <v>1628400</v>
      </c>
      <c r="N23" s="38" t="n">
        <f aca="false">G23-M23</f>
        <v>-100</v>
      </c>
      <c r="O23" s="38" t="n">
        <f aca="false">M23-H23</f>
        <v>24123.71</v>
      </c>
      <c r="P23" s="43" t="n">
        <f aca="false">SUMIFS(Data_Budgets!$F:$F,Data_Budgets!$A:$A,$A23,Data_Budgets!$B:$B,$B23)</f>
        <v>0</v>
      </c>
      <c r="Q23" s="43" t="n">
        <f aca="false">SUMIFS(Data_JobCost!$K:$K,Data_JobCost!$D:$D,$A23,Data_JobCost!$E:$E,$B23)</f>
        <v>0</v>
      </c>
      <c r="R23" s="43" t="n">
        <f aca="false">P23*J23</f>
        <v>0</v>
      </c>
    </row>
    <row r="24" customFormat="false" ht="15" hidden="false" customHeight="false" outlineLevel="0" collapsed="false">
      <c r="A24" s="37" t="s">
        <v>59</v>
      </c>
      <c r="B24" s="37" t="s">
        <v>101</v>
      </c>
      <c r="C24" s="37" t="str">
        <f aca="false">INDEX(Data_CostCodes!$B:$B,MATCH($B24,Data_CostCodes!$A:$A,0))</f>
        <v>Concrete Formwork</v>
      </c>
      <c r="D24" s="37" t="str">
        <f aca="false">INDEX(Data_CostCodes!$D:$D,MATCH($B24,Data_CostCodes!$A:$A,0))</f>
        <v>Labour</v>
      </c>
      <c r="E24" s="38" t="n">
        <f aca="false">SUMIFS(Data_Budgets!$C:$C,Data_Budgets!$A:$A,$A24,Data_Budgets!$B:$B,$B24)</f>
        <v>1211100</v>
      </c>
      <c r="F24" s="38" t="n">
        <f aca="false">SUMIFS(Data_Budgets!$D:$D,Data_Budgets!$A:$A,$A24,Data_Budgets!$B:$B,$B24)</f>
        <v>0</v>
      </c>
      <c r="G24" s="38" t="n">
        <f aca="false">E24+F24</f>
        <v>1211100</v>
      </c>
      <c r="H24" s="38" t="n">
        <f aca="false">SUMIFS(Data_JobCost!$L:$L,Data_JobCost!$D:$D,$A24,Data_JobCost!$E:$E,$B24)</f>
        <v>1193886.12</v>
      </c>
      <c r="I24" s="38" t="n">
        <f aca="false">SUMIFS(Data_Commitments!$E:$E,Data_Commitments!$B:$B,$A24,Data_Commitments!$C:$C,$B24)</f>
        <v>0</v>
      </c>
      <c r="J24" s="41" t="n">
        <f aca="false">SUMIFS(Data_Progress!$C:$C,Data_Progress!$A:$A,$A24,Data_Progress!$B:$B,$B24)</f>
        <v>1</v>
      </c>
      <c r="K24" s="38" t="n">
        <f aca="false">G24*J24</f>
        <v>1211100</v>
      </c>
      <c r="L24" s="42" t="n">
        <f aca="false">IF(H24&gt;0,K24/H24,"")</f>
        <v>1.01441836010289</v>
      </c>
      <c r="M24" s="38" t="n">
        <f aca="false">IF(I24&gt;0,MAX(I24,H24),IF(J24&gt;0,H24+(G24-K24)/L24,G24))</f>
        <v>1193886.12</v>
      </c>
      <c r="N24" s="38" t="n">
        <f aca="false">G24-M24</f>
        <v>17213.8799999999</v>
      </c>
      <c r="O24" s="38" t="n">
        <f aca="false">M24-H24</f>
        <v>0</v>
      </c>
      <c r="P24" s="43" t="n">
        <f aca="false">SUMIFS(Data_Budgets!$F:$F,Data_Budgets!$A:$A,$A24,Data_Budgets!$B:$B,$B24)</f>
        <v>16366</v>
      </c>
      <c r="Q24" s="43" t="n">
        <f aca="false">SUMIFS(Data_JobCost!$K:$K,Data_JobCost!$D:$D,$A24,Data_JobCost!$E:$E,$B24)</f>
        <v>16133.5</v>
      </c>
      <c r="R24" s="43" t="n">
        <f aca="false">P24*J24</f>
        <v>16366</v>
      </c>
    </row>
    <row r="25" customFormat="false" ht="15" hidden="false" customHeight="false" outlineLevel="0" collapsed="false">
      <c r="A25" s="37" t="s">
        <v>59</v>
      </c>
      <c r="B25" s="37" t="s">
        <v>102</v>
      </c>
      <c r="C25" s="37" t="str">
        <f aca="false">INDEX(Data_CostCodes!$B:$B,MATCH($B25,Data_CostCodes!$A:$A,0))</f>
        <v>Reinforcing Steel</v>
      </c>
      <c r="D25" s="37" t="str">
        <f aca="false">INDEX(Data_CostCodes!$D:$D,MATCH($B25,Data_CostCodes!$A:$A,0))</f>
        <v>Material</v>
      </c>
      <c r="E25" s="38" t="n">
        <f aca="false">SUMIFS(Data_Budgets!$C:$C,Data_Budgets!$A:$A,$A25,Data_Budgets!$B:$B,$B25)</f>
        <v>989400</v>
      </c>
      <c r="F25" s="38" t="n">
        <f aca="false">SUMIFS(Data_Budgets!$D:$D,Data_Budgets!$A:$A,$A25,Data_Budgets!$B:$B,$B25)</f>
        <v>260000</v>
      </c>
      <c r="G25" s="38" t="n">
        <f aca="false">E25+F25</f>
        <v>1249400</v>
      </c>
      <c r="H25" s="38" t="n">
        <f aca="false">SUMIFS(Data_JobCost!$L:$L,Data_JobCost!$D:$D,$A25,Data_JobCost!$E:$E,$B25)</f>
        <v>1226368.23</v>
      </c>
      <c r="I25" s="38" t="n">
        <f aca="false">SUMIFS(Data_Commitments!$E:$E,Data_Commitments!$B:$B,$A25,Data_Commitments!$C:$C,$B25)</f>
        <v>1249400</v>
      </c>
      <c r="J25" s="41" t="n">
        <f aca="false">SUMIFS(Data_Progress!$C:$C,Data_Progress!$A:$A,$A25,Data_Progress!$B:$B,$B25)</f>
        <v>1</v>
      </c>
      <c r="K25" s="38" t="n">
        <f aca="false">G25*J25</f>
        <v>1249400</v>
      </c>
      <c r="L25" s="42" t="n">
        <f aca="false">IF(H25&gt;0,K25/H25,"")</f>
        <v>1.01878046857101</v>
      </c>
      <c r="M25" s="38" t="n">
        <f aca="false">IF(I25&gt;0,MAX(I25,H25),IF(J25&gt;0,H25+(G25-K25)/L25,G25))</f>
        <v>1249400</v>
      </c>
      <c r="N25" s="38" t="n">
        <f aca="false">G25-M25</f>
        <v>0</v>
      </c>
      <c r="O25" s="38" t="n">
        <f aca="false">M25-H25</f>
        <v>23031.77</v>
      </c>
      <c r="P25" s="43" t="n">
        <f aca="false">SUMIFS(Data_Budgets!$F:$F,Data_Budgets!$A:$A,$A25,Data_Budgets!$B:$B,$B25)</f>
        <v>0</v>
      </c>
      <c r="Q25" s="43" t="n">
        <f aca="false">SUMIFS(Data_JobCost!$K:$K,Data_JobCost!$D:$D,$A25,Data_JobCost!$E:$E,$B25)</f>
        <v>0</v>
      </c>
      <c r="R25" s="43" t="n">
        <f aca="false">P25*J25</f>
        <v>0</v>
      </c>
    </row>
    <row r="26" customFormat="false" ht="15" hidden="false" customHeight="false" outlineLevel="0" collapsed="false">
      <c r="A26" s="37" t="s">
        <v>59</v>
      </c>
      <c r="B26" s="37" t="s">
        <v>103</v>
      </c>
      <c r="C26" s="37" t="str">
        <f aca="false">INDEX(Data_CostCodes!$B:$B,MATCH($B26,Data_CostCodes!$A:$A,0))</f>
        <v>Cast-in-Place Concrete</v>
      </c>
      <c r="D26" s="37" t="str">
        <f aca="false">INDEX(Data_CostCodes!$D:$D,MATCH($B26,Data_CostCodes!$A:$A,0))</f>
        <v>Material</v>
      </c>
      <c r="E26" s="38" t="n">
        <f aca="false">SUMIFS(Data_Budgets!$C:$C,Data_Budgets!$A:$A,$A26,Data_Budgets!$B:$B,$B26)</f>
        <v>1614300</v>
      </c>
      <c r="F26" s="38" t="n">
        <f aca="false">SUMIFS(Data_Budgets!$D:$D,Data_Budgets!$A:$A,$A26,Data_Budgets!$B:$B,$B26)</f>
        <v>0</v>
      </c>
      <c r="G26" s="38" t="n">
        <f aca="false">E26+F26</f>
        <v>1614300</v>
      </c>
      <c r="H26" s="38" t="n">
        <f aca="false">SUMIFS(Data_JobCost!$L:$L,Data_JobCost!$D:$D,$A26,Data_JobCost!$E:$E,$B26)</f>
        <v>1526053.11</v>
      </c>
      <c r="I26" s="38" t="n">
        <f aca="false">SUMIFS(Data_Commitments!$E:$E,Data_Commitments!$B:$B,$A26,Data_Commitments!$C:$C,$B26)</f>
        <v>1566400</v>
      </c>
      <c r="J26" s="41" t="n">
        <f aca="false">SUMIFS(Data_Progress!$C:$C,Data_Progress!$A:$A,$A26,Data_Progress!$B:$B,$B26)</f>
        <v>1</v>
      </c>
      <c r="K26" s="38" t="n">
        <f aca="false">G26*J26</f>
        <v>1614300</v>
      </c>
      <c r="L26" s="42" t="n">
        <f aca="false">IF(H26&gt;0,K26/H26,"")</f>
        <v>1.05782687995702</v>
      </c>
      <c r="M26" s="38" t="n">
        <f aca="false">IF(I26&gt;0,MAX(I26,H26),IF(J26&gt;0,H26+(G26-K26)/L26,G26))</f>
        <v>1566400</v>
      </c>
      <c r="N26" s="38" t="n">
        <f aca="false">G26-M26</f>
        <v>47900</v>
      </c>
      <c r="O26" s="38" t="n">
        <f aca="false">M26-H26</f>
        <v>40346.8899999999</v>
      </c>
      <c r="P26" s="43" t="n">
        <f aca="false">SUMIFS(Data_Budgets!$F:$F,Data_Budgets!$A:$A,$A26,Data_Budgets!$B:$B,$B26)</f>
        <v>0</v>
      </c>
      <c r="Q26" s="43" t="n">
        <f aca="false">SUMIFS(Data_JobCost!$K:$K,Data_JobCost!$D:$D,$A26,Data_JobCost!$E:$E,$B26)</f>
        <v>0</v>
      </c>
      <c r="R26" s="43" t="n">
        <f aca="false">P26*J26</f>
        <v>0</v>
      </c>
    </row>
    <row r="27" customFormat="false" ht="15" hidden="false" customHeight="false" outlineLevel="0" collapsed="false">
      <c r="A27" s="37" t="s">
        <v>59</v>
      </c>
      <c r="B27" s="37" t="s">
        <v>105</v>
      </c>
      <c r="C27" s="37" t="str">
        <f aca="false">INDEX(Data_CostCodes!$B:$B,MATCH($B27,Data_CostCodes!$A:$A,0))</f>
        <v>Structural Steel</v>
      </c>
      <c r="D27" s="37" t="str">
        <f aca="false">INDEX(Data_CostCodes!$D:$D,MATCH($B27,Data_CostCodes!$A:$A,0))</f>
        <v>Subcontract</v>
      </c>
      <c r="E27" s="38" t="n">
        <f aca="false">SUMIFS(Data_Budgets!$C:$C,Data_Budgets!$A:$A,$A27,Data_Budgets!$B:$B,$B27)</f>
        <v>3037500</v>
      </c>
      <c r="F27" s="38" t="n">
        <f aca="false">SUMIFS(Data_Budgets!$D:$D,Data_Budgets!$A:$A,$A27,Data_Budgets!$B:$B,$B27)</f>
        <v>0</v>
      </c>
      <c r="G27" s="38" t="n">
        <f aca="false">E27+F27</f>
        <v>3037500</v>
      </c>
      <c r="H27" s="38" t="n">
        <f aca="false">SUMIFS(Data_JobCost!$L:$L,Data_JobCost!$D:$D,$A27,Data_JobCost!$E:$E,$B27)</f>
        <v>3005417.51</v>
      </c>
      <c r="I27" s="38" t="n">
        <f aca="false">SUMIFS(Data_Commitments!$E:$E,Data_Commitments!$B:$B,$A27,Data_Commitments!$C:$C,$B27)</f>
        <v>3076400</v>
      </c>
      <c r="J27" s="41" t="n">
        <f aca="false">SUMIFS(Data_Progress!$C:$C,Data_Progress!$A:$A,$A27,Data_Progress!$B:$B,$B27)</f>
        <v>1</v>
      </c>
      <c r="K27" s="38" t="n">
        <f aca="false">G27*J27</f>
        <v>3037500</v>
      </c>
      <c r="L27" s="42" t="n">
        <f aca="false">IF(H27&gt;0,K27/H27,"")</f>
        <v>1.01067488623236</v>
      </c>
      <c r="M27" s="38" t="n">
        <f aca="false">IF(I27&gt;0,MAX(I27,H27),IF(J27&gt;0,H27+(G27-K27)/L27,G27))</f>
        <v>3076400</v>
      </c>
      <c r="N27" s="38" t="n">
        <f aca="false">G27-M27</f>
        <v>-38900</v>
      </c>
      <c r="O27" s="38" t="n">
        <f aca="false">M27-H27</f>
        <v>70982.4900000002</v>
      </c>
      <c r="P27" s="43" t="n">
        <f aca="false">SUMIFS(Data_Budgets!$F:$F,Data_Budgets!$A:$A,$A27,Data_Budgets!$B:$B,$B27)</f>
        <v>0</v>
      </c>
      <c r="Q27" s="43" t="n">
        <f aca="false">SUMIFS(Data_JobCost!$K:$K,Data_JobCost!$D:$D,$A27,Data_JobCost!$E:$E,$B27)</f>
        <v>0</v>
      </c>
      <c r="R27" s="43" t="n">
        <f aca="false">P27*J27</f>
        <v>0</v>
      </c>
    </row>
    <row r="28" customFormat="false" ht="15" hidden="false" customHeight="false" outlineLevel="0" collapsed="false">
      <c r="A28" s="37" t="s">
        <v>59</v>
      </c>
      <c r="B28" s="37" t="s">
        <v>106</v>
      </c>
      <c r="C28" s="37" t="str">
        <f aca="false">INDEX(Data_CostCodes!$B:$B,MATCH($B28,Data_CostCodes!$A:$A,0))</f>
        <v>Rough Carpentry</v>
      </c>
      <c r="D28" s="37" t="str">
        <f aca="false">INDEX(Data_CostCodes!$D:$D,MATCH($B28,Data_CostCodes!$A:$A,0))</f>
        <v>Labour</v>
      </c>
      <c r="E28" s="38" t="n">
        <f aca="false">SUMIFS(Data_Budgets!$C:$C,Data_Budgets!$A:$A,$A28,Data_Budgets!$B:$B,$B28)</f>
        <v>359000</v>
      </c>
      <c r="F28" s="38" t="n">
        <f aca="false">SUMIFS(Data_Budgets!$D:$D,Data_Budgets!$A:$A,$A28,Data_Budgets!$B:$B,$B28)</f>
        <v>0</v>
      </c>
      <c r="G28" s="38" t="n">
        <f aca="false">E28+F28</f>
        <v>359000</v>
      </c>
      <c r="H28" s="38" t="n">
        <f aca="false">SUMIFS(Data_JobCost!$L:$L,Data_JobCost!$D:$D,$A28,Data_JobCost!$E:$E,$B28)</f>
        <v>359972.28</v>
      </c>
      <c r="I28" s="38" t="n">
        <f aca="false">SUMIFS(Data_Commitments!$E:$E,Data_Commitments!$B:$B,$A28,Data_Commitments!$C:$C,$B28)</f>
        <v>0</v>
      </c>
      <c r="J28" s="41" t="n">
        <f aca="false">SUMIFS(Data_Progress!$C:$C,Data_Progress!$A:$A,$A28,Data_Progress!$B:$B,$B28)</f>
        <v>1</v>
      </c>
      <c r="K28" s="38" t="n">
        <f aca="false">G28*J28</f>
        <v>359000</v>
      </c>
      <c r="L28" s="42" t="n">
        <f aca="false">IF(H28&gt;0,K28/H28,"")</f>
        <v>0.997299014246319</v>
      </c>
      <c r="M28" s="38" t="n">
        <f aca="false">IF(I28&gt;0,MAX(I28,H28),IF(J28&gt;0,H28+(G28-K28)/L28,G28))</f>
        <v>359972.28</v>
      </c>
      <c r="N28" s="38" t="n">
        <f aca="false">G28-M28</f>
        <v>-972.280000000028</v>
      </c>
      <c r="O28" s="38" t="n">
        <f aca="false">M28-H28</f>
        <v>0</v>
      </c>
      <c r="P28" s="43" t="n">
        <f aca="false">SUMIFS(Data_Budgets!$F:$F,Data_Budgets!$A:$A,$A28,Data_Budgets!$B:$B,$B28)</f>
        <v>5056</v>
      </c>
      <c r="Q28" s="43" t="n">
        <f aca="false">SUMIFS(Data_JobCost!$K:$K,Data_JobCost!$D:$D,$A28,Data_JobCost!$E:$E,$B28)</f>
        <v>5069.8</v>
      </c>
      <c r="R28" s="43" t="n">
        <f aca="false">P28*J28</f>
        <v>5056</v>
      </c>
    </row>
    <row r="29" customFormat="false" ht="15" hidden="false" customHeight="false" outlineLevel="0" collapsed="false">
      <c r="A29" s="37" t="s">
        <v>59</v>
      </c>
      <c r="B29" s="37" t="s">
        <v>107</v>
      </c>
      <c r="C29" s="37" t="str">
        <f aca="false">INDEX(Data_CostCodes!$B:$B,MATCH($B29,Data_CostCodes!$A:$A,0))</f>
        <v>Roofing &amp; Insulation</v>
      </c>
      <c r="D29" s="37" t="str">
        <f aca="false">INDEX(Data_CostCodes!$D:$D,MATCH($B29,Data_CostCodes!$A:$A,0))</f>
        <v>Subcontract</v>
      </c>
      <c r="E29" s="38" t="n">
        <f aca="false">SUMIFS(Data_Budgets!$C:$C,Data_Budgets!$A:$A,$A29,Data_Budgets!$B:$B,$B29)</f>
        <v>1116300</v>
      </c>
      <c r="F29" s="38" t="n">
        <f aca="false">SUMIFS(Data_Budgets!$D:$D,Data_Budgets!$A:$A,$A29,Data_Budgets!$B:$B,$B29)</f>
        <v>0</v>
      </c>
      <c r="G29" s="38" t="n">
        <f aca="false">E29+F29</f>
        <v>1116300</v>
      </c>
      <c r="H29" s="38" t="n">
        <f aca="false">SUMIFS(Data_JobCost!$L:$L,Data_JobCost!$D:$D,$A29,Data_JobCost!$E:$E,$B29)</f>
        <v>1059948.55</v>
      </c>
      <c r="I29" s="38" t="n">
        <f aca="false">SUMIFS(Data_Commitments!$E:$E,Data_Commitments!$B:$B,$A29,Data_Commitments!$C:$C,$B29)</f>
        <v>1083200</v>
      </c>
      <c r="J29" s="41" t="n">
        <f aca="false">SUMIFS(Data_Progress!$C:$C,Data_Progress!$A:$A,$A29,Data_Progress!$B:$B,$B29)</f>
        <v>1</v>
      </c>
      <c r="K29" s="38" t="n">
        <f aca="false">G29*J29</f>
        <v>1116300</v>
      </c>
      <c r="L29" s="42" t="n">
        <f aca="false">IF(H29&gt;0,K29/H29,"")</f>
        <v>1.05316432575902</v>
      </c>
      <c r="M29" s="38" t="n">
        <f aca="false">IF(I29&gt;0,MAX(I29,H29),IF(J29&gt;0,H29+(G29-K29)/L29,G29))</f>
        <v>1083200</v>
      </c>
      <c r="N29" s="38" t="n">
        <f aca="false">G29-M29</f>
        <v>33100</v>
      </c>
      <c r="O29" s="38" t="n">
        <f aca="false">M29-H29</f>
        <v>23251.45</v>
      </c>
      <c r="P29" s="43" t="n">
        <f aca="false">SUMIFS(Data_Budgets!$F:$F,Data_Budgets!$A:$A,$A29,Data_Budgets!$B:$B,$B29)</f>
        <v>0</v>
      </c>
      <c r="Q29" s="43" t="n">
        <f aca="false">SUMIFS(Data_JobCost!$K:$K,Data_JobCost!$D:$D,$A29,Data_JobCost!$E:$E,$B29)</f>
        <v>0</v>
      </c>
      <c r="R29" s="43" t="n">
        <f aca="false">P29*J29</f>
        <v>0</v>
      </c>
    </row>
    <row r="30" customFormat="false" ht="15" hidden="false" customHeight="false" outlineLevel="0" collapsed="false">
      <c r="A30" s="37" t="s">
        <v>59</v>
      </c>
      <c r="B30" s="37" t="s">
        <v>108</v>
      </c>
      <c r="C30" s="37" t="str">
        <f aca="false">INDEX(Data_CostCodes!$B:$B,MATCH($B30,Data_CostCodes!$A:$A,0))</f>
        <v>Doors, Frames &amp; Hardware</v>
      </c>
      <c r="D30" s="37" t="str">
        <f aca="false">INDEX(Data_CostCodes!$D:$D,MATCH($B30,Data_CostCodes!$A:$A,0))</f>
        <v>Material</v>
      </c>
      <c r="E30" s="38" t="n">
        <f aca="false">SUMIFS(Data_Budgets!$C:$C,Data_Budgets!$A:$A,$A30,Data_Budgets!$B:$B,$B30)</f>
        <v>389800</v>
      </c>
      <c r="F30" s="38" t="n">
        <f aca="false">SUMIFS(Data_Budgets!$D:$D,Data_Budgets!$A:$A,$A30,Data_Budgets!$B:$B,$B30)</f>
        <v>0</v>
      </c>
      <c r="G30" s="38" t="n">
        <f aca="false">E30+F30</f>
        <v>389800</v>
      </c>
      <c r="H30" s="38" t="n">
        <f aca="false">SUMIFS(Data_JobCost!$L:$L,Data_JobCost!$D:$D,$A30,Data_JobCost!$E:$E,$B30)</f>
        <v>354305.81</v>
      </c>
      <c r="I30" s="38" t="n">
        <f aca="false">SUMIFS(Data_Commitments!$E:$E,Data_Commitments!$B:$B,$A30,Data_Commitments!$C:$C,$B30)</f>
        <v>384200</v>
      </c>
      <c r="J30" s="41" t="n">
        <f aca="false">SUMIFS(Data_Progress!$C:$C,Data_Progress!$A:$A,$A30,Data_Progress!$B:$B,$B30)</f>
        <v>0.942</v>
      </c>
      <c r="K30" s="38" t="n">
        <f aca="false">G30*J30</f>
        <v>367191.6</v>
      </c>
      <c r="L30" s="42" t="n">
        <f aca="false">IF(H30&gt;0,K30/H30,"")</f>
        <v>1.03636911853068</v>
      </c>
      <c r="M30" s="38" t="n">
        <f aca="false">IF(I30&gt;0,MAX(I30,H30),IF(J30&gt;0,H30+(G30-K30)/L30,G30))</f>
        <v>384200</v>
      </c>
      <c r="N30" s="38" t="n">
        <f aca="false">G30-M30</f>
        <v>5600</v>
      </c>
      <c r="O30" s="38" t="n">
        <f aca="false">M30-H30</f>
        <v>29894.19</v>
      </c>
      <c r="P30" s="43" t="n">
        <f aca="false">SUMIFS(Data_Budgets!$F:$F,Data_Budgets!$A:$A,$A30,Data_Budgets!$B:$B,$B30)</f>
        <v>0</v>
      </c>
      <c r="Q30" s="43" t="n">
        <f aca="false">SUMIFS(Data_JobCost!$K:$K,Data_JobCost!$D:$D,$A30,Data_JobCost!$E:$E,$B30)</f>
        <v>0</v>
      </c>
      <c r="R30" s="43" t="n">
        <f aca="false">P30*J30</f>
        <v>0</v>
      </c>
    </row>
    <row r="31" customFormat="false" ht="15" hidden="false" customHeight="false" outlineLevel="0" collapsed="false">
      <c r="A31" s="37" t="s">
        <v>59</v>
      </c>
      <c r="B31" s="37" t="s">
        <v>109</v>
      </c>
      <c r="C31" s="37" t="str">
        <f aca="false">INDEX(Data_CostCodes!$B:$B,MATCH($B31,Data_CostCodes!$A:$A,0))</f>
        <v>Drywall &amp; Finishes</v>
      </c>
      <c r="D31" s="37" t="str">
        <f aca="false">INDEX(Data_CostCodes!$D:$D,MATCH($B31,Data_CostCodes!$A:$A,0))</f>
        <v>Subcontract</v>
      </c>
      <c r="E31" s="38" t="n">
        <f aca="false">SUMIFS(Data_Budgets!$C:$C,Data_Budgets!$A:$A,$A31,Data_Budgets!$B:$B,$B31)</f>
        <v>737800</v>
      </c>
      <c r="F31" s="38" t="n">
        <f aca="false">SUMIFS(Data_Budgets!$D:$D,Data_Budgets!$A:$A,$A31,Data_Budgets!$B:$B,$B31)</f>
        <v>0</v>
      </c>
      <c r="G31" s="38" t="n">
        <f aca="false">E31+F31</f>
        <v>737800</v>
      </c>
      <c r="H31" s="38" t="n">
        <f aca="false">SUMIFS(Data_JobCost!$L:$L,Data_JobCost!$D:$D,$A31,Data_JobCost!$E:$E,$B31)</f>
        <v>676117.96</v>
      </c>
      <c r="I31" s="38" t="n">
        <f aca="false">SUMIFS(Data_Commitments!$E:$E,Data_Commitments!$B:$B,$A31,Data_Commitments!$C:$C,$B31)</f>
        <v>727500</v>
      </c>
      <c r="J31" s="41" t="n">
        <f aca="false">SUMIFS(Data_Progress!$C:$C,Data_Progress!$A:$A,$A31,Data_Progress!$B:$B,$B31)</f>
        <v>0.931</v>
      </c>
      <c r="K31" s="38" t="n">
        <f aca="false">G31*J31</f>
        <v>686891.8</v>
      </c>
      <c r="L31" s="42" t="n">
        <f aca="false">IF(H31&gt;0,K31/H31,"")</f>
        <v>1.01593485255147</v>
      </c>
      <c r="M31" s="38" t="n">
        <f aca="false">IF(I31&gt;0,MAX(I31,H31),IF(J31&gt;0,H31+(G31-K31)/L31,G31))</f>
        <v>727500</v>
      </c>
      <c r="N31" s="38" t="n">
        <f aca="false">G31-M31</f>
        <v>10300</v>
      </c>
      <c r="O31" s="38" t="n">
        <f aca="false">M31-H31</f>
        <v>51382.04</v>
      </c>
      <c r="P31" s="43" t="n">
        <f aca="false">SUMIFS(Data_Budgets!$F:$F,Data_Budgets!$A:$A,$A31,Data_Budgets!$B:$B,$B31)</f>
        <v>0</v>
      </c>
      <c r="Q31" s="43" t="n">
        <f aca="false">SUMIFS(Data_JobCost!$K:$K,Data_JobCost!$D:$D,$A31,Data_JobCost!$E:$E,$B31)</f>
        <v>0</v>
      </c>
      <c r="R31" s="43" t="n">
        <f aca="false">P31*J31</f>
        <v>0</v>
      </c>
    </row>
    <row r="32" customFormat="false" ht="15" hidden="false" customHeight="false" outlineLevel="0" collapsed="false">
      <c r="A32" s="37" t="s">
        <v>59</v>
      </c>
      <c r="B32" s="37" t="s">
        <v>110</v>
      </c>
      <c r="C32" s="37" t="str">
        <f aca="false">INDEX(Data_CostCodes!$B:$B,MATCH($B32,Data_CostCodes!$A:$A,0))</f>
        <v>Mechanical</v>
      </c>
      <c r="D32" s="37" t="str">
        <f aca="false">INDEX(Data_CostCodes!$D:$D,MATCH($B32,Data_CostCodes!$A:$A,0))</f>
        <v>Subcontract</v>
      </c>
      <c r="E32" s="38" t="n">
        <f aca="false">SUMIFS(Data_Budgets!$C:$C,Data_Budgets!$A:$A,$A32,Data_Budgets!$B:$B,$B32)</f>
        <v>2603000</v>
      </c>
      <c r="F32" s="38" t="n">
        <f aca="false">SUMIFS(Data_Budgets!$D:$D,Data_Budgets!$A:$A,$A32,Data_Budgets!$B:$B,$B32)</f>
        <v>0</v>
      </c>
      <c r="G32" s="38" t="n">
        <f aca="false">E32+F32</f>
        <v>2603000</v>
      </c>
      <c r="H32" s="38" t="n">
        <f aca="false">SUMIFS(Data_JobCost!$L:$L,Data_JobCost!$D:$D,$A32,Data_JobCost!$E:$E,$B32)</f>
        <v>2442068.79</v>
      </c>
      <c r="I32" s="38" t="n">
        <f aca="false">SUMIFS(Data_Commitments!$E:$E,Data_Commitments!$B:$B,$A32,Data_Commitments!$C:$C,$B32)</f>
        <v>2532000</v>
      </c>
      <c r="J32" s="41" t="n">
        <f aca="false">SUMIFS(Data_Progress!$C:$C,Data_Progress!$A:$A,$A32,Data_Progress!$B:$B,$B32)</f>
        <v>0.967</v>
      </c>
      <c r="K32" s="38" t="n">
        <f aca="false">G32*J32</f>
        <v>2517101</v>
      </c>
      <c r="L32" s="42" t="n">
        <f aca="false">IF(H32&gt;0,K32/H32,"")</f>
        <v>1.03072485521589</v>
      </c>
      <c r="M32" s="38" t="n">
        <f aca="false">IF(I32&gt;0,MAX(I32,H32),IF(J32&gt;0,H32+(G32-K32)/L32,G32))</f>
        <v>2532000</v>
      </c>
      <c r="N32" s="38" t="n">
        <f aca="false">G32-M32</f>
        <v>71000</v>
      </c>
      <c r="O32" s="38" t="n">
        <f aca="false">M32-H32</f>
        <v>89931.21</v>
      </c>
      <c r="P32" s="43" t="n">
        <f aca="false">SUMIFS(Data_Budgets!$F:$F,Data_Budgets!$A:$A,$A32,Data_Budgets!$B:$B,$B32)</f>
        <v>0</v>
      </c>
      <c r="Q32" s="43" t="n">
        <f aca="false">SUMIFS(Data_JobCost!$K:$K,Data_JobCost!$D:$D,$A32,Data_JobCost!$E:$E,$B32)</f>
        <v>0</v>
      </c>
      <c r="R32" s="43" t="n">
        <f aca="false">P32*J32</f>
        <v>0</v>
      </c>
    </row>
    <row r="33" customFormat="false" ht="15" hidden="false" customHeight="false" outlineLevel="0" collapsed="false">
      <c r="A33" s="37" t="s">
        <v>59</v>
      </c>
      <c r="B33" s="37" t="s">
        <v>111</v>
      </c>
      <c r="C33" s="37" t="str">
        <f aca="false">INDEX(Data_CostCodes!$B:$B,MATCH($B33,Data_CostCodes!$A:$A,0))</f>
        <v>Electrical</v>
      </c>
      <c r="D33" s="37" t="str">
        <f aca="false">INDEX(Data_CostCodes!$D:$D,MATCH($B33,Data_CostCodes!$A:$A,0))</f>
        <v>Subcontract</v>
      </c>
      <c r="E33" s="38" t="n">
        <f aca="false">SUMIFS(Data_Budgets!$C:$C,Data_Budgets!$A:$A,$A33,Data_Budgets!$B:$B,$B33)</f>
        <v>3048400</v>
      </c>
      <c r="F33" s="38" t="n">
        <f aca="false">SUMIFS(Data_Budgets!$D:$D,Data_Budgets!$A:$A,$A33,Data_Budgets!$B:$B,$B33)</f>
        <v>0</v>
      </c>
      <c r="G33" s="38" t="n">
        <f aca="false">E33+F33</f>
        <v>3048400</v>
      </c>
      <c r="H33" s="38" t="n">
        <f aca="false">SUMIFS(Data_JobCost!$L:$L,Data_JobCost!$D:$D,$A33,Data_JobCost!$E:$E,$B33)</f>
        <v>2642838.03</v>
      </c>
      <c r="I33" s="38" t="n">
        <f aca="false">SUMIFS(Data_Commitments!$E:$E,Data_Commitments!$B:$B,$A33,Data_Commitments!$C:$C,$B33)</f>
        <v>2938600</v>
      </c>
      <c r="J33" s="41" t="n">
        <f aca="false">SUMIFS(Data_Progress!$C:$C,Data_Progress!$A:$A,$A33,Data_Progress!$B:$B,$B33)</f>
        <v>0.915</v>
      </c>
      <c r="K33" s="38" t="n">
        <f aca="false">G33*J33</f>
        <v>2789286</v>
      </c>
      <c r="L33" s="42" t="n">
        <f aca="false">IF(H33&gt;0,K33/H33,"")</f>
        <v>1.05541314614729</v>
      </c>
      <c r="M33" s="38" t="n">
        <f aca="false">IF(I33&gt;0,MAX(I33,H33),IF(J33&gt;0,H33+(G33-K33)/L33,G33))</f>
        <v>2938600</v>
      </c>
      <c r="N33" s="38" t="n">
        <f aca="false">G33-M33</f>
        <v>109800</v>
      </c>
      <c r="O33" s="38" t="n">
        <f aca="false">M33-H33</f>
        <v>295761.97</v>
      </c>
      <c r="P33" s="43" t="n">
        <f aca="false">SUMIFS(Data_Budgets!$F:$F,Data_Budgets!$A:$A,$A33,Data_Budgets!$B:$B,$B33)</f>
        <v>0</v>
      </c>
      <c r="Q33" s="43" t="n">
        <f aca="false">SUMIFS(Data_JobCost!$K:$K,Data_JobCost!$D:$D,$A33,Data_JobCost!$E:$E,$B33)</f>
        <v>0</v>
      </c>
      <c r="R33" s="43" t="n">
        <f aca="false">P33*J33</f>
        <v>0</v>
      </c>
    </row>
    <row r="34" customFormat="false" ht="15" hidden="false" customHeight="false" outlineLevel="0" collapsed="false">
      <c r="A34" s="37" t="s">
        <v>60</v>
      </c>
      <c r="B34" s="37" t="s">
        <v>97</v>
      </c>
      <c r="C34" s="37" t="str">
        <f aca="false">INDEX(Data_CostCodes!$B:$B,MATCH($B34,Data_CostCodes!$A:$A,0))</f>
        <v>General Conditions - Supervision</v>
      </c>
      <c r="D34" s="37" t="str">
        <f aca="false">INDEX(Data_CostCodes!$D:$D,MATCH($B34,Data_CostCodes!$A:$A,0))</f>
        <v>Labour</v>
      </c>
      <c r="E34" s="38" t="n">
        <f aca="false">SUMIFS(Data_Budgets!$C:$C,Data_Budgets!$A:$A,$A34,Data_Budgets!$B:$B,$B34)</f>
        <v>1243700</v>
      </c>
      <c r="F34" s="38" t="n">
        <f aca="false">SUMIFS(Data_Budgets!$D:$D,Data_Budgets!$A:$A,$A34,Data_Budgets!$B:$B,$B34)</f>
        <v>25100</v>
      </c>
      <c r="G34" s="38" t="n">
        <f aca="false">E34+F34</f>
        <v>1268800</v>
      </c>
      <c r="H34" s="38" t="n">
        <f aca="false">SUMIFS(Data_JobCost!$L:$L,Data_JobCost!$D:$D,$A34,Data_JobCost!$E:$E,$B34)</f>
        <v>1263165.96</v>
      </c>
      <c r="I34" s="38" t="n">
        <f aca="false">SUMIFS(Data_Commitments!$E:$E,Data_Commitments!$B:$B,$A34,Data_Commitments!$C:$C,$B34)</f>
        <v>0</v>
      </c>
      <c r="J34" s="41" t="n">
        <f aca="false">SUMIFS(Data_Progress!$C:$C,Data_Progress!$A:$A,$A34,Data_Progress!$B:$B,$B34)</f>
        <v>0.936</v>
      </c>
      <c r="K34" s="38" t="n">
        <f aca="false">G34*J34</f>
        <v>1187596.8</v>
      </c>
      <c r="L34" s="42" t="n">
        <f aca="false">IF(H34&gt;0,K34/H34,"")</f>
        <v>0.940174796983921</v>
      </c>
      <c r="M34" s="38" t="n">
        <f aca="false">IF(I34&gt;0,MAX(I34,H34),IF(J34&gt;0,H34+(G34-K34)/L34,G34))</f>
        <v>1349536.28205128</v>
      </c>
      <c r="N34" s="38" t="n">
        <f aca="false">G34-M34</f>
        <v>-80736.282051282</v>
      </c>
      <c r="O34" s="38" t="n">
        <f aca="false">M34-H34</f>
        <v>86370.322051282</v>
      </c>
      <c r="P34" s="43" t="n">
        <f aca="false">SUMIFS(Data_Budgets!$F:$F,Data_Budgets!$A:$A,$A34,Data_Budgets!$B:$B,$B34)</f>
        <v>13791</v>
      </c>
      <c r="Q34" s="43" t="n">
        <f aca="false">SUMIFS(Data_JobCost!$K:$K,Data_JobCost!$D:$D,$A34,Data_JobCost!$E:$E,$B34)</f>
        <v>13730.3</v>
      </c>
      <c r="R34" s="43" t="n">
        <f aca="false">P34*J34</f>
        <v>12908.376</v>
      </c>
    </row>
    <row r="35" customFormat="false" ht="15" hidden="false" customHeight="false" outlineLevel="0" collapsed="false">
      <c r="A35" s="37" t="s">
        <v>60</v>
      </c>
      <c r="B35" s="37" t="s">
        <v>98</v>
      </c>
      <c r="C35" s="37" t="str">
        <f aca="false">INDEX(Data_CostCodes!$B:$B,MATCH($B35,Data_CostCodes!$A:$A,0))</f>
        <v>Site Facilities &amp; Temp Services</v>
      </c>
      <c r="D35" s="37" t="str">
        <f aca="false">INDEX(Data_CostCodes!$D:$D,MATCH($B35,Data_CostCodes!$A:$A,0))</f>
        <v>Other</v>
      </c>
      <c r="E35" s="38" t="n">
        <f aca="false">SUMIFS(Data_Budgets!$C:$C,Data_Budgets!$A:$A,$A35,Data_Budgets!$B:$B,$B35)</f>
        <v>445000</v>
      </c>
      <c r="F35" s="38" t="n">
        <f aca="false">SUMIFS(Data_Budgets!$D:$D,Data_Budgets!$A:$A,$A35,Data_Budgets!$B:$B,$B35)</f>
        <v>0</v>
      </c>
      <c r="G35" s="38" t="n">
        <f aca="false">E35+F35</f>
        <v>445000</v>
      </c>
      <c r="H35" s="38" t="n">
        <f aca="false">SUMIFS(Data_JobCost!$L:$L,Data_JobCost!$D:$D,$A35,Data_JobCost!$E:$E,$B35)</f>
        <v>450824.52</v>
      </c>
      <c r="I35" s="38" t="n">
        <f aca="false">SUMIFS(Data_Commitments!$E:$E,Data_Commitments!$B:$B,$A35,Data_Commitments!$C:$C,$B35)</f>
        <v>0</v>
      </c>
      <c r="J35" s="41" t="n">
        <f aca="false">SUMIFS(Data_Progress!$C:$C,Data_Progress!$A:$A,$A35,Data_Progress!$B:$B,$B35)</f>
        <v>0.917</v>
      </c>
      <c r="K35" s="38" t="n">
        <f aca="false">G35*J35</f>
        <v>408065</v>
      </c>
      <c r="L35" s="42" t="n">
        <f aca="false">IF(H35&gt;0,K35/H35,"")</f>
        <v>0.905152630118699</v>
      </c>
      <c r="M35" s="38" t="n">
        <f aca="false">IF(I35&gt;0,MAX(I35,H35),IF(J35&gt;0,H35+(G35-K35)/L35,G35))</f>
        <v>491629.792802617</v>
      </c>
      <c r="N35" s="38" t="n">
        <f aca="false">G35-M35</f>
        <v>-46629.7928026172</v>
      </c>
      <c r="O35" s="38" t="n">
        <f aca="false">M35-H35</f>
        <v>40805.2728026172</v>
      </c>
      <c r="P35" s="43" t="n">
        <f aca="false">SUMIFS(Data_Budgets!$F:$F,Data_Budgets!$A:$A,$A35,Data_Budgets!$B:$B,$B35)</f>
        <v>0</v>
      </c>
      <c r="Q35" s="43" t="n">
        <f aca="false">SUMIFS(Data_JobCost!$K:$K,Data_JobCost!$D:$D,$A35,Data_JobCost!$E:$E,$B35)</f>
        <v>0</v>
      </c>
      <c r="R35" s="43" t="n">
        <f aca="false">P35*J35</f>
        <v>0</v>
      </c>
    </row>
    <row r="36" customFormat="false" ht="15" hidden="false" customHeight="false" outlineLevel="0" collapsed="false">
      <c r="A36" s="37" t="s">
        <v>60</v>
      </c>
      <c r="B36" s="37" t="s">
        <v>99</v>
      </c>
      <c r="C36" s="37" t="str">
        <f aca="false">INDEX(Data_CostCodes!$B:$B,MATCH($B36,Data_CostCodes!$A:$A,0))</f>
        <v>Equipment Rental</v>
      </c>
      <c r="D36" s="37" t="str">
        <f aca="false">INDEX(Data_CostCodes!$D:$D,MATCH($B36,Data_CostCodes!$A:$A,0))</f>
        <v>Equipment</v>
      </c>
      <c r="E36" s="38" t="n">
        <f aca="false">SUMIFS(Data_Budgets!$C:$C,Data_Budgets!$A:$A,$A36,Data_Budgets!$B:$B,$B36)</f>
        <v>362600</v>
      </c>
      <c r="F36" s="38" t="n">
        <f aca="false">SUMIFS(Data_Budgets!$D:$D,Data_Budgets!$A:$A,$A36,Data_Budgets!$B:$B,$B36)</f>
        <v>0</v>
      </c>
      <c r="G36" s="38" t="n">
        <f aca="false">E36+F36</f>
        <v>362600</v>
      </c>
      <c r="H36" s="38" t="n">
        <f aca="false">SUMIFS(Data_JobCost!$L:$L,Data_JobCost!$D:$D,$A36,Data_JobCost!$E:$E,$B36)</f>
        <v>381921.06</v>
      </c>
      <c r="I36" s="38" t="n">
        <f aca="false">SUMIFS(Data_Commitments!$E:$E,Data_Commitments!$B:$B,$A36,Data_Commitments!$C:$C,$B36)</f>
        <v>0</v>
      </c>
      <c r="J36" s="41" t="n">
        <f aca="false">SUMIFS(Data_Progress!$C:$C,Data_Progress!$A:$A,$A36,Data_Progress!$B:$B,$B36)</f>
        <v>0.967</v>
      </c>
      <c r="K36" s="38" t="n">
        <f aca="false">G36*J36</f>
        <v>350634.2</v>
      </c>
      <c r="L36" s="42" t="n">
        <f aca="false">IF(H36&gt;0,K36/H36,"")</f>
        <v>0.918080296488494</v>
      </c>
      <c r="M36" s="38" t="n">
        <f aca="false">IF(I36&gt;0,MAX(I36,H36),IF(J36&gt;0,H36+(G36-K36)/L36,G36))</f>
        <v>394954.560496381</v>
      </c>
      <c r="N36" s="38" t="n">
        <f aca="false">G36-M36</f>
        <v>-32354.5604963806</v>
      </c>
      <c r="O36" s="38" t="n">
        <f aca="false">M36-H36</f>
        <v>13033.5004963806</v>
      </c>
      <c r="P36" s="43" t="n">
        <f aca="false">SUMIFS(Data_Budgets!$F:$F,Data_Budgets!$A:$A,$A36,Data_Budgets!$B:$B,$B36)</f>
        <v>0</v>
      </c>
      <c r="Q36" s="43" t="n">
        <f aca="false">SUMIFS(Data_JobCost!$K:$K,Data_JobCost!$D:$D,$A36,Data_JobCost!$E:$E,$B36)</f>
        <v>0</v>
      </c>
      <c r="R36" s="43" t="n">
        <f aca="false">P36*J36</f>
        <v>0</v>
      </c>
    </row>
    <row r="37" customFormat="false" ht="15" hidden="false" customHeight="false" outlineLevel="0" collapsed="false">
      <c r="A37" s="37" t="s">
        <v>60</v>
      </c>
      <c r="B37" s="37" t="s">
        <v>100</v>
      </c>
      <c r="C37" s="37" t="str">
        <f aca="false">INDEX(Data_CostCodes!$B:$B,MATCH($B37,Data_CostCodes!$A:$A,0))</f>
        <v>Earthwork &amp; Excavation</v>
      </c>
      <c r="D37" s="37" t="str">
        <f aca="false">INDEX(Data_CostCodes!$D:$D,MATCH($B37,Data_CostCodes!$A:$A,0))</f>
        <v>Subcontract</v>
      </c>
      <c r="E37" s="38" t="n">
        <f aca="false">SUMIFS(Data_Budgets!$C:$C,Data_Budgets!$A:$A,$A37,Data_Budgets!$B:$B,$B37)</f>
        <v>542400</v>
      </c>
      <c r="F37" s="38" t="n">
        <f aca="false">SUMIFS(Data_Budgets!$D:$D,Data_Budgets!$A:$A,$A37,Data_Budgets!$B:$B,$B37)</f>
        <v>0</v>
      </c>
      <c r="G37" s="38" t="n">
        <f aca="false">E37+F37</f>
        <v>542400</v>
      </c>
      <c r="H37" s="38" t="n">
        <f aca="false">SUMIFS(Data_JobCost!$L:$L,Data_JobCost!$D:$D,$A37,Data_JobCost!$E:$E,$B37)</f>
        <v>549274.01</v>
      </c>
      <c r="I37" s="38" t="n">
        <f aca="false">SUMIFS(Data_Commitments!$E:$E,Data_Commitments!$B:$B,$A37,Data_Commitments!$C:$C,$B37)</f>
        <v>549400</v>
      </c>
      <c r="J37" s="41" t="n">
        <f aca="false">SUMIFS(Data_Progress!$C:$C,Data_Progress!$A:$A,$A37,Data_Progress!$B:$B,$B37)</f>
        <v>1</v>
      </c>
      <c r="K37" s="38" t="n">
        <f aca="false">G37*J37</f>
        <v>542400</v>
      </c>
      <c r="L37" s="42" t="n">
        <f aca="false">IF(H37&gt;0,K37/H37,"")</f>
        <v>0.987485280798194</v>
      </c>
      <c r="M37" s="38" t="n">
        <f aca="false">IF(I37&gt;0,MAX(I37,H37),IF(J37&gt;0,H37+(G37-K37)/L37,G37))</f>
        <v>549400</v>
      </c>
      <c r="N37" s="38" t="n">
        <f aca="false">G37-M37</f>
        <v>-7000</v>
      </c>
      <c r="O37" s="38" t="n">
        <f aca="false">M37-H37</f>
        <v>125.989999999991</v>
      </c>
      <c r="P37" s="43" t="n">
        <f aca="false">SUMIFS(Data_Budgets!$F:$F,Data_Budgets!$A:$A,$A37,Data_Budgets!$B:$B,$B37)</f>
        <v>0</v>
      </c>
      <c r="Q37" s="43" t="n">
        <f aca="false">SUMIFS(Data_JobCost!$K:$K,Data_JobCost!$D:$D,$A37,Data_JobCost!$E:$E,$B37)</f>
        <v>0</v>
      </c>
      <c r="R37" s="43" t="n">
        <f aca="false">P37*J37</f>
        <v>0</v>
      </c>
    </row>
    <row r="38" customFormat="false" ht="15" hidden="false" customHeight="false" outlineLevel="0" collapsed="false">
      <c r="A38" s="37" t="s">
        <v>60</v>
      </c>
      <c r="B38" s="37" t="s">
        <v>101</v>
      </c>
      <c r="C38" s="37" t="str">
        <f aca="false">INDEX(Data_CostCodes!$B:$B,MATCH($B38,Data_CostCodes!$A:$A,0))</f>
        <v>Concrete Formwork</v>
      </c>
      <c r="D38" s="37" t="str">
        <f aca="false">INDEX(Data_CostCodes!$D:$D,MATCH($B38,Data_CostCodes!$A:$A,0))</f>
        <v>Labour</v>
      </c>
      <c r="E38" s="38" t="n">
        <f aca="false">SUMIFS(Data_Budgets!$C:$C,Data_Budgets!$A:$A,$A38,Data_Budgets!$B:$B,$B38)</f>
        <v>625800</v>
      </c>
      <c r="F38" s="38" t="n">
        <f aca="false">SUMIFS(Data_Budgets!$D:$D,Data_Budgets!$A:$A,$A38,Data_Budgets!$B:$B,$B38)</f>
        <v>0</v>
      </c>
      <c r="G38" s="38" t="n">
        <f aca="false">E38+F38</f>
        <v>625800</v>
      </c>
      <c r="H38" s="38" t="n">
        <f aca="false">SUMIFS(Data_JobCost!$L:$L,Data_JobCost!$D:$D,$A38,Data_JobCost!$E:$E,$B38)</f>
        <v>840920.34</v>
      </c>
      <c r="I38" s="38" t="n">
        <f aca="false">SUMIFS(Data_Commitments!$E:$E,Data_Commitments!$B:$B,$A38,Data_Commitments!$C:$C,$B38)</f>
        <v>0</v>
      </c>
      <c r="J38" s="41" t="n">
        <f aca="false">SUMIFS(Data_Progress!$C:$C,Data_Progress!$A:$A,$A38,Data_Progress!$B:$B,$B38)</f>
        <v>1</v>
      </c>
      <c r="K38" s="38" t="n">
        <f aca="false">G38*J38</f>
        <v>625800</v>
      </c>
      <c r="L38" s="42" t="n">
        <f aca="false">IF(H38&gt;0,K38/H38,"")</f>
        <v>0.744184639415429</v>
      </c>
      <c r="M38" s="38" t="n">
        <f aca="false">IF(I38&gt;0,MAX(I38,H38),IF(J38&gt;0,H38+(G38-K38)/L38,G38))</f>
        <v>840920.34</v>
      </c>
      <c r="N38" s="38" t="n">
        <f aca="false">G38-M38</f>
        <v>-215120.34</v>
      </c>
      <c r="O38" s="38" t="n">
        <f aca="false">M38-H38</f>
        <v>0</v>
      </c>
      <c r="P38" s="43" t="n">
        <f aca="false">SUMIFS(Data_Budgets!$F:$F,Data_Budgets!$A:$A,$A38,Data_Budgets!$B:$B,$B38)</f>
        <v>8457</v>
      </c>
      <c r="Q38" s="43" t="n">
        <f aca="false">SUMIFS(Data_JobCost!$K:$K,Data_JobCost!$D:$D,$A38,Data_JobCost!$E:$E,$B38)</f>
        <v>11363.8</v>
      </c>
      <c r="R38" s="43" t="n">
        <f aca="false">P38*J38</f>
        <v>8457</v>
      </c>
    </row>
    <row r="39" customFormat="false" ht="15" hidden="false" customHeight="false" outlineLevel="0" collapsed="false">
      <c r="A39" s="37" t="s">
        <v>60</v>
      </c>
      <c r="B39" s="37" t="s">
        <v>102</v>
      </c>
      <c r="C39" s="37" t="str">
        <f aca="false">INDEX(Data_CostCodes!$B:$B,MATCH($B39,Data_CostCodes!$A:$A,0))</f>
        <v>Reinforcing Steel</v>
      </c>
      <c r="D39" s="37" t="str">
        <f aca="false">INDEX(Data_CostCodes!$D:$D,MATCH($B39,Data_CostCodes!$A:$A,0))</f>
        <v>Material</v>
      </c>
      <c r="E39" s="38" t="n">
        <f aca="false">SUMIFS(Data_Budgets!$C:$C,Data_Budgets!$A:$A,$A39,Data_Budgets!$B:$B,$B39)</f>
        <v>525100</v>
      </c>
      <c r="F39" s="38" t="n">
        <f aca="false">SUMIFS(Data_Budgets!$D:$D,Data_Budgets!$A:$A,$A39,Data_Budgets!$B:$B,$B39)</f>
        <v>0</v>
      </c>
      <c r="G39" s="38" t="n">
        <f aca="false">E39+F39</f>
        <v>525100</v>
      </c>
      <c r="H39" s="38" t="n">
        <f aca="false">SUMIFS(Data_JobCost!$L:$L,Data_JobCost!$D:$D,$A39,Data_JobCost!$E:$E,$B39)</f>
        <v>493406.24</v>
      </c>
      <c r="I39" s="38" t="n">
        <f aca="false">SUMIFS(Data_Commitments!$E:$E,Data_Commitments!$B:$B,$A39,Data_Commitments!$C:$C,$B39)</f>
        <v>505200</v>
      </c>
      <c r="J39" s="41" t="n">
        <f aca="false">SUMIFS(Data_Progress!$C:$C,Data_Progress!$A:$A,$A39,Data_Progress!$B:$B,$B39)</f>
        <v>1</v>
      </c>
      <c r="K39" s="38" t="n">
        <f aca="false">G39*J39</f>
        <v>525100</v>
      </c>
      <c r="L39" s="42" t="n">
        <f aca="false">IF(H39&gt;0,K39/H39,"")</f>
        <v>1.06423461527361</v>
      </c>
      <c r="M39" s="38" t="n">
        <f aca="false">IF(I39&gt;0,MAX(I39,H39),IF(J39&gt;0,H39+(G39-K39)/L39,G39))</f>
        <v>505200</v>
      </c>
      <c r="N39" s="38" t="n">
        <f aca="false">G39-M39</f>
        <v>19900</v>
      </c>
      <c r="O39" s="38" t="n">
        <f aca="false">M39-H39</f>
        <v>11793.76</v>
      </c>
      <c r="P39" s="43" t="n">
        <f aca="false">SUMIFS(Data_Budgets!$F:$F,Data_Budgets!$A:$A,$A39,Data_Budgets!$B:$B,$B39)</f>
        <v>0</v>
      </c>
      <c r="Q39" s="43" t="n">
        <f aca="false">SUMIFS(Data_JobCost!$K:$K,Data_JobCost!$D:$D,$A39,Data_JobCost!$E:$E,$B39)</f>
        <v>0</v>
      </c>
      <c r="R39" s="43" t="n">
        <f aca="false">P39*J39</f>
        <v>0</v>
      </c>
    </row>
    <row r="40" customFormat="false" ht="15" hidden="false" customHeight="false" outlineLevel="0" collapsed="false">
      <c r="A40" s="37" t="s">
        <v>60</v>
      </c>
      <c r="B40" s="37" t="s">
        <v>103</v>
      </c>
      <c r="C40" s="37" t="str">
        <f aca="false">INDEX(Data_CostCodes!$B:$B,MATCH($B40,Data_CostCodes!$A:$A,0))</f>
        <v>Cast-in-Place Concrete</v>
      </c>
      <c r="D40" s="37" t="str">
        <f aca="false">INDEX(Data_CostCodes!$D:$D,MATCH($B40,Data_CostCodes!$A:$A,0))</f>
        <v>Material</v>
      </c>
      <c r="E40" s="38" t="n">
        <f aca="false">SUMIFS(Data_Budgets!$C:$C,Data_Budgets!$A:$A,$A40,Data_Budgets!$B:$B,$B40)</f>
        <v>850700</v>
      </c>
      <c r="F40" s="38" t="n">
        <f aca="false">SUMIFS(Data_Budgets!$D:$D,Data_Budgets!$A:$A,$A40,Data_Budgets!$B:$B,$B40)</f>
        <v>0</v>
      </c>
      <c r="G40" s="38" t="n">
        <f aca="false">E40+F40</f>
        <v>850700</v>
      </c>
      <c r="H40" s="38" t="n">
        <f aca="false">SUMIFS(Data_JobCost!$L:$L,Data_JobCost!$D:$D,$A40,Data_JobCost!$E:$E,$B40)</f>
        <v>828817.94</v>
      </c>
      <c r="I40" s="38" t="n">
        <f aca="false">SUMIFS(Data_Commitments!$E:$E,Data_Commitments!$B:$B,$A40,Data_Commitments!$C:$C,$B40)</f>
        <v>833200</v>
      </c>
      <c r="J40" s="41" t="n">
        <f aca="false">SUMIFS(Data_Progress!$C:$C,Data_Progress!$A:$A,$A40,Data_Progress!$B:$B,$B40)</f>
        <v>1</v>
      </c>
      <c r="K40" s="38" t="n">
        <f aca="false">G40*J40</f>
        <v>850700</v>
      </c>
      <c r="L40" s="42" t="n">
        <f aca="false">IF(H40&gt;0,K40/H40,"")</f>
        <v>1.0264015279399</v>
      </c>
      <c r="M40" s="38" t="n">
        <f aca="false">IF(I40&gt;0,MAX(I40,H40),IF(J40&gt;0,H40+(G40-K40)/L40,G40))</f>
        <v>833200</v>
      </c>
      <c r="N40" s="38" t="n">
        <f aca="false">G40-M40</f>
        <v>17500</v>
      </c>
      <c r="O40" s="38" t="n">
        <f aca="false">M40-H40</f>
        <v>4382.06000000006</v>
      </c>
      <c r="P40" s="43" t="n">
        <f aca="false">SUMIFS(Data_Budgets!$F:$F,Data_Budgets!$A:$A,$A40,Data_Budgets!$B:$B,$B40)</f>
        <v>0</v>
      </c>
      <c r="Q40" s="43" t="n">
        <f aca="false">SUMIFS(Data_JobCost!$K:$K,Data_JobCost!$D:$D,$A40,Data_JobCost!$E:$E,$B40)</f>
        <v>0</v>
      </c>
      <c r="R40" s="43" t="n">
        <f aca="false">P40*J40</f>
        <v>0</v>
      </c>
    </row>
    <row r="41" customFormat="false" ht="15" hidden="false" customHeight="false" outlineLevel="0" collapsed="false">
      <c r="A41" s="37" t="s">
        <v>60</v>
      </c>
      <c r="B41" s="37" t="s">
        <v>104</v>
      </c>
      <c r="C41" s="37" t="str">
        <f aca="false">INDEX(Data_CostCodes!$B:$B,MATCH($B41,Data_CostCodes!$A:$A,0))</f>
        <v>Masonry</v>
      </c>
      <c r="D41" s="37" t="str">
        <f aca="false">INDEX(Data_CostCodes!$D:$D,MATCH($B41,Data_CostCodes!$A:$A,0))</f>
        <v>Subcontract</v>
      </c>
      <c r="E41" s="38" t="n">
        <f aca="false">SUMIFS(Data_Budgets!$C:$C,Data_Budgets!$A:$A,$A41,Data_Budgets!$B:$B,$B41)</f>
        <v>989600</v>
      </c>
      <c r="F41" s="38" t="n">
        <f aca="false">SUMIFS(Data_Budgets!$D:$D,Data_Budgets!$A:$A,$A41,Data_Budgets!$B:$B,$B41)</f>
        <v>0</v>
      </c>
      <c r="G41" s="38" t="n">
        <f aca="false">E41+F41</f>
        <v>989600</v>
      </c>
      <c r="H41" s="38" t="n">
        <f aca="false">SUMIFS(Data_JobCost!$L:$L,Data_JobCost!$D:$D,$A41,Data_JobCost!$E:$E,$B41)</f>
        <v>957529.88</v>
      </c>
      <c r="I41" s="38" t="n">
        <f aca="false">SUMIFS(Data_Commitments!$E:$E,Data_Commitments!$B:$B,$A41,Data_Commitments!$C:$C,$B41)</f>
        <v>978100</v>
      </c>
      <c r="J41" s="41" t="n">
        <f aca="false">SUMIFS(Data_Progress!$C:$C,Data_Progress!$A:$A,$A41,Data_Progress!$B:$B,$B41)</f>
        <v>1</v>
      </c>
      <c r="K41" s="38" t="n">
        <f aca="false">G41*J41</f>
        <v>989600</v>
      </c>
      <c r="L41" s="42" t="n">
        <f aca="false">IF(H41&gt;0,K41/H41,"")</f>
        <v>1.03349255273371</v>
      </c>
      <c r="M41" s="38" t="n">
        <f aca="false">IF(I41&gt;0,MAX(I41,H41),IF(J41&gt;0,H41+(G41-K41)/L41,G41))</f>
        <v>978100</v>
      </c>
      <c r="N41" s="38" t="n">
        <f aca="false">G41-M41</f>
        <v>11500</v>
      </c>
      <c r="O41" s="38" t="n">
        <f aca="false">M41-H41</f>
        <v>20570.12</v>
      </c>
      <c r="P41" s="43" t="n">
        <f aca="false">SUMIFS(Data_Budgets!$F:$F,Data_Budgets!$A:$A,$A41,Data_Budgets!$B:$B,$B41)</f>
        <v>0</v>
      </c>
      <c r="Q41" s="43" t="n">
        <f aca="false">SUMIFS(Data_JobCost!$K:$K,Data_JobCost!$D:$D,$A41,Data_JobCost!$E:$E,$B41)</f>
        <v>0</v>
      </c>
      <c r="R41" s="43" t="n">
        <f aca="false">P41*J41</f>
        <v>0</v>
      </c>
    </row>
    <row r="42" customFormat="false" ht="15" hidden="false" customHeight="false" outlineLevel="0" collapsed="false">
      <c r="A42" s="37" t="s">
        <v>60</v>
      </c>
      <c r="B42" s="37" t="s">
        <v>105</v>
      </c>
      <c r="C42" s="37" t="str">
        <f aca="false">INDEX(Data_CostCodes!$B:$B,MATCH($B42,Data_CostCodes!$A:$A,0))</f>
        <v>Structural Steel</v>
      </c>
      <c r="D42" s="37" t="str">
        <f aca="false">INDEX(Data_CostCodes!$D:$D,MATCH($B42,Data_CostCodes!$A:$A,0))</f>
        <v>Subcontract</v>
      </c>
      <c r="E42" s="38" t="n">
        <f aca="false">SUMIFS(Data_Budgets!$C:$C,Data_Budgets!$A:$A,$A42,Data_Budgets!$B:$B,$B42)</f>
        <v>1228200</v>
      </c>
      <c r="F42" s="38" t="n">
        <f aca="false">SUMIFS(Data_Budgets!$D:$D,Data_Budgets!$A:$A,$A42,Data_Budgets!$B:$B,$B42)</f>
        <v>0</v>
      </c>
      <c r="G42" s="38" t="n">
        <f aca="false">E42+F42</f>
        <v>1228200</v>
      </c>
      <c r="H42" s="38" t="n">
        <f aca="false">SUMIFS(Data_JobCost!$L:$L,Data_JobCost!$D:$D,$A42,Data_JobCost!$E:$E,$B42)</f>
        <v>1231722.55</v>
      </c>
      <c r="I42" s="38" t="n">
        <f aca="false">SUMIFS(Data_Commitments!$E:$E,Data_Commitments!$B:$B,$A42,Data_Commitments!$C:$C,$B42)</f>
        <v>1257200</v>
      </c>
      <c r="J42" s="41" t="n">
        <f aca="false">SUMIFS(Data_Progress!$C:$C,Data_Progress!$A:$A,$A42,Data_Progress!$B:$B,$B42)</f>
        <v>1</v>
      </c>
      <c r="K42" s="38" t="n">
        <f aca="false">G42*J42</f>
        <v>1228200</v>
      </c>
      <c r="L42" s="42" t="n">
        <f aca="false">IF(H42&gt;0,K42/H42,"")</f>
        <v>0.997140143289574</v>
      </c>
      <c r="M42" s="38" t="n">
        <f aca="false">IF(I42&gt;0,MAX(I42,H42),IF(J42&gt;0,H42+(G42-K42)/L42,G42))</f>
        <v>1257200</v>
      </c>
      <c r="N42" s="38" t="n">
        <f aca="false">G42-M42</f>
        <v>-29000</v>
      </c>
      <c r="O42" s="38" t="n">
        <f aca="false">M42-H42</f>
        <v>25477.45</v>
      </c>
      <c r="P42" s="43" t="n">
        <f aca="false">SUMIFS(Data_Budgets!$F:$F,Data_Budgets!$A:$A,$A42,Data_Budgets!$B:$B,$B42)</f>
        <v>0</v>
      </c>
      <c r="Q42" s="43" t="n">
        <f aca="false">SUMIFS(Data_JobCost!$K:$K,Data_JobCost!$D:$D,$A42,Data_JobCost!$E:$E,$B42)</f>
        <v>0</v>
      </c>
      <c r="R42" s="43" t="n">
        <f aca="false">P42*J42</f>
        <v>0</v>
      </c>
    </row>
    <row r="43" customFormat="false" ht="15" hidden="false" customHeight="false" outlineLevel="0" collapsed="false">
      <c r="A43" s="37" t="s">
        <v>60</v>
      </c>
      <c r="B43" s="37" t="s">
        <v>106</v>
      </c>
      <c r="C43" s="37" t="str">
        <f aca="false">INDEX(Data_CostCodes!$B:$B,MATCH($B43,Data_CostCodes!$A:$A,0))</f>
        <v>Rough Carpentry</v>
      </c>
      <c r="D43" s="37" t="str">
        <f aca="false">INDEX(Data_CostCodes!$D:$D,MATCH($B43,Data_CostCodes!$A:$A,0))</f>
        <v>Labour</v>
      </c>
      <c r="E43" s="38" t="n">
        <f aca="false">SUMIFS(Data_Budgets!$C:$C,Data_Budgets!$A:$A,$A43,Data_Budgets!$B:$B,$B43)</f>
        <v>606300</v>
      </c>
      <c r="F43" s="38" t="n">
        <f aca="false">SUMIFS(Data_Budgets!$D:$D,Data_Budgets!$A:$A,$A43,Data_Budgets!$B:$B,$B43)</f>
        <v>0</v>
      </c>
      <c r="G43" s="38" t="n">
        <f aca="false">E43+F43</f>
        <v>606300</v>
      </c>
      <c r="H43" s="38" t="n">
        <f aca="false">SUMIFS(Data_JobCost!$L:$L,Data_JobCost!$D:$D,$A43,Data_JobCost!$E:$E,$B43)</f>
        <v>624042.35</v>
      </c>
      <c r="I43" s="38" t="n">
        <f aca="false">SUMIFS(Data_Commitments!$E:$E,Data_Commitments!$B:$B,$A43,Data_Commitments!$C:$C,$B43)</f>
        <v>0</v>
      </c>
      <c r="J43" s="41" t="n">
        <f aca="false">SUMIFS(Data_Progress!$C:$C,Data_Progress!$A:$A,$A43,Data_Progress!$B:$B,$B43)</f>
        <v>1</v>
      </c>
      <c r="K43" s="38" t="n">
        <f aca="false">G43*J43</f>
        <v>606300</v>
      </c>
      <c r="L43" s="42" t="n">
        <f aca="false">IF(H43&gt;0,K43/H43,"")</f>
        <v>0.97156867638871</v>
      </c>
      <c r="M43" s="38" t="n">
        <f aca="false">IF(I43&gt;0,MAX(I43,H43),IF(J43&gt;0,H43+(G43-K43)/L43,G43))</f>
        <v>624042.35</v>
      </c>
      <c r="N43" s="38" t="n">
        <f aca="false">G43-M43</f>
        <v>-17742.35</v>
      </c>
      <c r="O43" s="38" t="n">
        <f aca="false">M43-H43</f>
        <v>0</v>
      </c>
      <c r="P43" s="43" t="n">
        <f aca="false">SUMIFS(Data_Budgets!$F:$F,Data_Budgets!$A:$A,$A43,Data_Budgets!$B:$B,$B43)</f>
        <v>8539</v>
      </c>
      <c r="Q43" s="43" t="n">
        <f aca="false">SUMIFS(Data_JobCost!$K:$K,Data_JobCost!$D:$D,$A43,Data_JobCost!$E:$E,$B43)</f>
        <v>8789.6</v>
      </c>
      <c r="R43" s="43" t="n">
        <f aca="false">P43*J43</f>
        <v>8539</v>
      </c>
    </row>
    <row r="44" customFormat="false" ht="15" hidden="false" customHeight="false" outlineLevel="0" collapsed="false">
      <c r="A44" s="37" t="s">
        <v>60</v>
      </c>
      <c r="B44" s="37" t="s">
        <v>107</v>
      </c>
      <c r="C44" s="37" t="str">
        <f aca="false">INDEX(Data_CostCodes!$B:$B,MATCH($B44,Data_CostCodes!$A:$A,0))</f>
        <v>Roofing &amp; Insulation</v>
      </c>
      <c r="D44" s="37" t="str">
        <f aca="false">INDEX(Data_CostCodes!$D:$D,MATCH($B44,Data_CostCodes!$A:$A,0))</f>
        <v>Subcontract</v>
      </c>
      <c r="E44" s="38" t="n">
        <f aca="false">SUMIFS(Data_Budgets!$C:$C,Data_Budgets!$A:$A,$A44,Data_Budgets!$B:$B,$B44)</f>
        <v>973800</v>
      </c>
      <c r="F44" s="38" t="n">
        <f aca="false">SUMIFS(Data_Budgets!$D:$D,Data_Budgets!$A:$A,$A44,Data_Budgets!$B:$B,$B44)</f>
        <v>177600</v>
      </c>
      <c r="G44" s="38" t="n">
        <f aca="false">E44+F44</f>
        <v>1151400</v>
      </c>
      <c r="H44" s="38" t="n">
        <f aca="false">SUMIFS(Data_JobCost!$L:$L,Data_JobCost!$D:$D,$A44,Data_JobCost!$E:$E,$B44)</f>
        <v>1107922.62</v>
      </c>
      <c r="I44" s="38" t="n">
        <f aca="false">SUMIFS(Data_Commitments!$E:$E,Data_Commitments!$B:$B,$A44,Data_Commitments!$C:$C,$B44)</f>
        <v>1108500</v>
      </c>
      <c r="J44" s="41" t="n">
        <f aca="false">SUMIFS(Data_Progress!$C:$C,Data_Progress!$A:$A,$A44,Data_Progress!$B:$B,$B44)</f>
        <v>1</v>
      </c>
      <c r="K44" s="38" t="n">
        <f aca="false">G44*J44</f>
        <v>1151400</v>
      </c>
      <c r="L44" s="42" t="n">
        <f aca="false">IF(H44&gt;0,K44/H44,"")</f>
        <v>1.03924225321801</v>
      </c>
      <c r="M44" s="38" t="n">
        <f aca="false">IF(I44&gt;0,MAX(I44,H44),IF(J44&gt;0,H44+(G44-K44)/L44,G44))</f>
        <v>1108500</v>
      </c>
      <c r="N44" s="38" t="n">
        <f aca="false">G44-M44</f>
        <v>42900</v>
      </c>
      <c r="O44" s="38" t="n">
        <f aca="false">M44-H44</f>
        <v>577.379999999888</v>
      </c>
      <c r="P44" s="43" t="n">
        <f aca="false">SUMIFS(Data_Budgets!$F:$F,Data_Budgets!$A:$A,$A44,Data_Budgets!$B:$B,$B44)</f>
        <v>0</v>
      </c>
      <c r="Q44" s="43" t="n">
        <f aca="false">SUMIFS(Data_JobCost!$K:$K,Data_JobCost!$D:$D,$A44,Data_JobCost!$E:$E,$B44)</f>
        <v>0</v>
      </c>
      <c r="R44" s="43" t="n">
        <f aca="false">P44*J44</f>
        <v>0</v>
      </c>
    </row>
    <row r="45" customFormat="false" ht="15" hidden="false" customHeight="false" outlineLevel="0" collapsed="false">
      <c r="A45" s="37" t="s">
        <v>60</v>
      </c>
      <c r="B45" s="37" t="s">
        <v>108</v>
      </c>
      <c r="C45" s="37" t="str">
        <f aca="false">INDEX(Data_CostCodes!$B:$B,MATCH($B45,Data_CostCodes!$A:$A,0))</f>
        <v>Doors, Frames &amp; Hardware</v>
      </c>
      <c r="D45" s="37" t="str">
        <f aca="false">INDEX(Data_CostCodes!$D:$D,MATCH($B45,Data_CostCodes!$A:$A,0))</f>
        <v>Material</v>
      </c>
      <c r="E45" s="38" t="n">
        <f aca="false">SUMIFS(Data_Budgets!$C:$C,Data_Budgets!$A:$A,$A45,Data_Budgets!$B:$B,$B45)</f>
        <v>635200</v>
      </c>
      <c r="F45" s="38" t="n">
        <f aca="false">SUMIFS(Data_Budgets!$D:$D,Data_Budgets!$A:$A,$A45,Data_Budgets!$B:$B,$B45)</f>
        <v>0</v>
      </c>
      <c r="G45" s="38" t="n">
        <f aca="false">E45+F45</f>
        <v>635200</v>
      </c>
      <c r="H45" s="38" t="n">
        <f aca="false">SUMIFS(Data_JobCost!$L:$L,Data_JobCost!$D:$D,$A45,Data_JobCost!$E:$E,$B45)</f>
        <v>477588.26</v>
      </c>
      <c r="I45" s="38" t="n">
        <f aca="false">SUMIFS(Data_Commitments!$E:$E,Data_Commitments!$B:$B,$A45,Data_Commitments!$C:$C,$B45)</f>
        <v>643900</v>
      </c>
      <c r="J45" s="41" t="n">
        <f aca="false">SUMIFS(Data_Progress!$C:$C,Data_Progress!$A:$A,$A45,Data_Progress!$B:$B,$B45)</f>
        <v>0.751</v>
      </c>
      <c r="K45" s="38" t="n">
        <f aca="false">G45*J45</f>
        <v>477035.2</v>
      </c>
      <c r="L45" s="42" t="n">
        <f aca="false">IF(H45&gt;0,K45/H45,"")</f>
        <v>0.998841973209308</v>
      </c>
      <c r="M45" s="38" t="n">
        <f aca="false">IF(I45&gt;0,MAX(I45,H45),IF(J45&gt;0,H45+(G45-K45)/L45,G45))</f>
        <v>643900</v>
      </c>
      <c r="N45" s="38" t="n">
        <f aca="false">G45-M45</f>
        <v>-8700</v>
      </c>
      <c r="O45" s="38" t="n">
        <f aca="false">M45-H45</f>
        <v>166311.74</v>
      </c>
      <c r="P45" s="43" t="n">
        <f aca="false">SUMIFS(Data_Budgets!$F:$F,Data_Budgets!$A:$A,$A45,Data_Budgets!$B:$B,$B45)</f>
        <v>0</v>
      </c>
      <c r="Q45" s="43" t="n">
        <f aca="false">SUMIFS(Data_JobCost!$K:$K,Data_JobCost!$D:$D,$A45,Data_JobCost!$E:$E,$B45)</f>
        <v>0</v>
      </c>
      <c r="R45" s="43" t="n">
        <f aca="false">P45*J45</f>
        <v>0</v>
      </c>
    </row>
    <row r="46" customFormat="false" ht="15" hidden="false" customHeight="false" outlineLevel="0" collapsed="false">
      <c r="A46" s="37" t="s">
        <v>60</v>
      </c>
      <c r="B46" s="37" t="s">
        <v>109</v>
      </c>
      <c r="C46" s="37" t="str">
        <f aca="false">INDEX(Data_CostCodes!$B:$B,MATCH($B46,Data_CostCodes!$A:$A,0))</f>
        <v>Drywall &amp; Finishes</v>
      </c>
      <c r="D46" s="37" t="str">
        <f aca="false">INDEX(Data_CostCodes!$D:$D,MATCH($B46,Data_CostCodes!$A:$A,0))</f>
        <v>Subcontract</v>
      </c>
      <c r="E46" s="38" t="n">
        <f aca="false">SUMIFS(Data_Budgets!$C:$C,Data_Budgets!$A:$A,$A46,Data_Budgets!$B:$B,$B46)</f>
        <v>1354700</v>
      </c>
      <c r="F46" s="38" t="n">
        <f aca="false">SUMIFS(Data_Budgets!$D:$D,Data_Budgets!$A:$A,$A46,Data_Budgets!$B:$B,$B46)</f>
        <v>84600</v>
      </c>
      <c r="G46" s="38" t="n">
        <f aca="false">E46+F46</f>
        <v>1439300</v>
      </c>
      <c r="H46" s="38" t="n">
        <f aca="false">SUMIFS(Data_JobCost!$L:$L,Data_JobCost!$D:$D,$A46,Data_JobCost!$E:$E,$B46)</f>
        <v>1175644.3</v>
      </c>
      <c r="I46" s="38" t="n">
        <f aca="false">SUMIFS(Data_Commitments!$E:$E,Data_Commitments!$B:$B,$A46,Data_Commitments!$C:$C,$B46)</f>
        <v>1857800</v>
      </c>
      <c r="J46" s="41" t="n">
        <f aca="false">SUMIFS(Data_Progress!$C:$C,Data_Progress!$A:$A,$A46,Data_Progress!$B:$B,$B46)</f>
        <v>0.645</v>
      </c>
      <c r="K46" s="38" t="n">
        <f aca="false">G46*J46</f>
        <v>928348.5</v>
      </c>
      <c r="L46" s="42" t="n">
        <f aca="false">IF(H46&gt;0,K46/H46,"")</f>
        <v>0.789650832313821</v>
      </c>
      <c r="M46" s="38" t="n">
        <f aca="false">IF(I46&gt;0,MAX(I46,H46),IF(J46&gt;0,H46+(G46-K46)/L46,G46))</f>
        <v>1857800</v>
      </c>
      <c r="N46" s="38" t="n">
        <f aca="false">G46-M46</f>
        <v>-418500</v>
      </c>
      <c r="O46" s="38" t="n">
        <f aca="false">M46-H46</f>
        <v>682155.7</v>
      </c>
      <c r="P46" s="43" t="n">
        <f aca="false">SUMIFS(Data_Budgets!$F:$F,Data_Budgets!$A:$A,$A46,Data_Budgets!$B:$B,$B46)</f>
        <v>0</v>
      </c>
      <c r="Q46" s="43" t="n">
        <f aca="false">SUMIFS(Data_JobCost!$K:$K,Data_JobCost!$D:$D,$A46,Data_JobCost!$E:$E,$B46)</f>
        <v>0</v>
      </c>
      <c r="R46" s="43" t="n">
        <f aca="false">P46*J46</f>
        <v>0</v>
      </c>
    </row>
    <row r="47" customFormat="false" ht="15" hidden="false" customHeight="false" outlineLevel="0" collapsed="false">
      <c r="A47" s="37" t="s">
        <v>60</v>
      </c>
      <c r="B47" s="37" t="s">
        <v>110</v>
      </c>
      <c r="C47" s="37" t="str">
        <f aca="false">INDEX(Data_CostCodes!$B:$B,MATCH($B47,Data_CostCodes!$A:$A,0))</f>
        <v>Mechanical</v>
      </c>
      <c r="D47" s="37" t="str">
        <f aca="false">INDEX(Data_CostCodes!$D:$D,MATCH($B47,Data_CostCodes!$A:$A,0))</f>
        <v>Subcontract</v>
      </c>
      <c r="E47" s="38" t="n">
        <f aca="false">SUMIFS(Data_Budgets!$C:$C,Data_Budgets!$A:$A,$A47,Data_Budgets!$B:$B,$B47)</f>
        <v>2291900</v>
      </c>
      <c r="F47" s="38" t="n">
        <f aca="false">SUMIFS(Data_Budgets!$D:$D,Data_Budgets!$A:$A,$A47,Data_Budgets!$B:$B,$B47)</f>
        <v>0</v>
      </c>
      <c r="G47" s="38" t="n">
        <f aca="false">E47+F47</f>
        <v>2291900</v>
      </c>
      <c r="H47" s="38" t="n">
        <f aca="false">SUMIFS(Data_JobCost!$L:$L,Data_JobCost!$D:$D,$A47,Data_JobCost!$E:$E,$B47)</f>
        <v>1885754.2</v>
      </c>
      <c r="I47" s="38" t="n">
        <f aca="false">SUMIFS(Data_Commitments!$E:$E,Data_Commitments!$B:$B,$A47,Data_Commitments!$C:$C,$B47)</f>
        <v>2206000</v>
      </c>
      <c r="J47" s="41" t="n">
        <f aca="false">SUMIFS(Data_Progress!$C:$C,Data_Progress!$A:$A,$A47,Data_Progress!$B:$B,$B47)</f>
        <v>0.873</v>
      </c>
      <c r="K47" s="38" t="n">
        <f aca="false">G47*J47</f>
        <v>2000828.7</v>
      </c>
      <c r="L47" s="42" t="n">
        <f aca="false">IF(H47&gt;0,K47/H47,"")</f>
        <v>1.06102306440574</v>
      </c>
      <c r="M47" s="38" t="n">
        <f aca="false">IF(I47&gt;0,MAX(I47,H47),IF(J47&gt;0,H47+(G47-K47)/L47,G47))</f>
        <v>2206000</v>
      </c>
      <c r="N47" s="38" t="n">
        <f aca="false">G47-M47</f>
        <v>85900</v>
      </c>
      <c r="O47" s="38" t="n">
        <f aca="false">M47-H47</f>
        <v>320245.8</v>
      </c>
      <c r="P47" s="43" t="n">
        <f aca="false">SUMIFS(Data_Budgets!$F:$F,Data_Budgets!$A:$A,$A47,Data_Budgets!$B:$B,$B47)</f>
        <v>0</v>
      </c>
      <c r="Q47" s="43" t="n">
        <f aca="false">SUMIFS(Data_JobCost!$K:$K,Data_JobCost!$D:$D,$A47,Data_JobCost!$E:$E,$B47)</f>
        <v>0</v>
      </c>
      <c r="R47" s="43" t="n">
        <f aca="false">P47*J47</f>
        <v>0</v>
      </c>
    </row>
    <row r="48" customFormat="false" ht="15" hidden="false" customHeight="false" outlineLevel="0" collapsed="false">
      <c r="A48" s="37" t="s">
        <v>60</v>
      </c>
      <c r="B48" s="37" t="s">
        <v>111</v>
      </c>
      <c r="C48" s="37" t="str">
        <f aca="false">INDEX(Data_CostCodes!$B:$B,MATCH($B48,Data_CostCodes!$A:$A,0))</f>
        <v>Electrical</v>
      </c>
      <c r="D48" s="37" t="str">
        <f aca="false">INDEX(Data_CostCodes!$D:$D,MATCH($B48,Data_CostCodes!$A:$A,0))</f>
        <v>Subcontract</v>
      </c>
      <c r="E48" s="38" t="n">
        <f aca="false">SUMIFS(Data_Budgets!$C:$C,Data_Budgets!$A:$A,$A48,Data_Budgets!$B:$B,$B48)</f>
        <v>1742900</v>
      </c>
      <c r="F48" s="38" t="n">
        <f aca="false">SUMIFS(Data_Budgets!$D:$D,Data_Budgets!$A:$A,$A48,Data_Budgets!$B:$B,$B48)</f>
        <v>0</v>
      </c>
      <c r="G48" s="38" t="n">
        <f aca="false">E48+F48</f>
        <v>1742900</v>
      </c>
      <c r="H48" s="38" t="n">
        <f aca="false">SUMIFS(Data_JobCost!$L:$L,Data_JobCost!$D:$D,$A48,Data_JobCost!$E:$E,$B48)</f>
        <v>1498417.17</v>
      </c>
      <c r="I48" s="38" t="n">
        <f aca="false">SUMIFS(Data_Commitments!$E:$E,Data_Commitments!$B:$B,$A48,Data_Commitments!$C:$C,$B48)</f>
        <v>1754100</v>
      </c>
      <c r="J48" s="41" t="n">
        <f aca="false">SUMIFS(Data_Progress!$C:$C,Data_Progress!$A:$A,$A48,Data_Progress!$B:$B,$B48)</f>
        <v>0.864</v>
      </c>
      <c r="K48" s="38" t="n">
        <f aca="false">G48*J48</f>
        <v>1505865.6</v>
      </c>
      <c r="L48" s="42" t="n">
        <f aca="false">IF(H48&gt;0,K48/H48,"")</f>
        <v>1.00497086535654</v>
      </c>
      <c r="M48" s="38" t="n">
        <f aca="false">IF(I48&gt;0,MAX(I48,H48),IF(J48&gt;0,H48+(G48-K48)/L48,G48))</f>
        <v>1754100</v>
      </c>
      <c r="N48" s="38" t="n">
        <f aca="false">G48-M48</f>
        <v>-11200</v>
      </c>
      <c r="O48" s="38" t="n">
        <f aca="false">M48-H48</f>
        <v>255682.83</v>
      </c>
      <c r="P48" s="43" t="n">
        <f aca="false">SUMIFS(Data_Budgets!$F:$F,Data_Budgets!$A:$A,$A48,Data_Budgets!$B:$B,$B48)</f>
        <v>0</v>
      </c>
      <c r="Q48" s="43" t="n">
        <f aca="false">SUMIFS(Data_JobCost!$K:$K,Data_JobCost!$D:$D,$A48,Data_JobCost!$E:$E,$B48)</f>
        <v>0</v>
      </c>
      <c r="R48" s="43" t="n">
        <f aca="false">P48*J48</f>
        <v>0</v>
      </c>
    </row>
    <row r="49" customFormat="false" ht="15" hidden="false" customHeight="false" outlineLevel="0" collapsed="false">
      <c r="A49" s="37" t="s">
        <v>61</v>
      </c>
      <c r="B49" s="37" t="s">
        <v>97</v>
      </c>
      <c r="C49" s="37" t="str">
        <f aca="false">INDEX(Data_CostCodes!$B:$B,MATCH($B49,Data_CostCodes!$A:$A,0))</f>
        <v>General Conditions - Supervision</v>
      </c>
      <c r="D49" s="37" t="str">
        <f aca="false">INDEX(Data_CostCodes!$D:$D,MATCH($B49,Data_CostCodes!$A:$A,0))</f>
        <v>Labour</v>
      </c>
      <c r="E49" s="38" t="n">
        <f aca="false">SUMIFS(Data_Budgets!$C:$C,Data_Budgets!$A:$A,$A49,Data_Budgets!$B:$B,$B49)</f>
        <v>768500</v>
      </c>
      <c r="F49" s="38" t="n">
        <f aca="false">SUMIFS(Data_Budgets!$D:$D,Data_Budgets!$A:$A,$A49,Data_Budgets!$B:$B,$B49)</f>
        <v>203100</v>
      </c>
      <c r="G49" s="38" t="n">
        <f aca="false">E49+F49</f>
        <v>971600</v>
      </c>
      <c r="H49" s="38" t="n">
        <f aca="false">SUMIFS(Data_JobCost!$L:$L,Data_JobCost!$D:$D,$A49,Data_JobCost!$E:$E,$B49)</f>
        <v>957191.78</v>
      </c>
      <c r="I49" s="38" t="n">
        <f aca="false">SUMIFS(Data_Commitments!$E:$E,Data_Commitments!$B:$B,$A49,Data_Commitments!$C:$C,$B49)</f>
        <v>0</v>
      </c>
      <c r="J49" s="41" t="n">
        <f aca="false">SUMIFS(Data_Progress!$C:$C,Data_Progress!$A:$A,$A49,Data_Progress!$B:$B,$B49)</f>
        <v>0.994</v>
      </c>
      <c r="K49" s="38" t="n">
        <f aca="false">G49*J49</f>
        <v>965770.4</v>
      </c>
      <c r="L49" s="42" t="n">
        <f aca="false">IF(H49&gt;0,K49/H49,"")</f>
        <v>1.00896227922058</v>
      </c>
      <c r="M49" s="38" t="n">
        <f aca="false">IF(I49&gt;0,MAX(I49,H49),IF(J49&gt;0,H49+(G49-K49)/L49,G49))</f>
        <v>962969.597585513</v>
      </c>
      <c r="N49" s="38" t="n">
        <f aca="false">G49-M49</f>
        <v>8630.40241448686</v>
      </c>
      <c r="O49" s="38" t="n">
        <f aca="false">M49-H49</f>
        <v>5777.81758551311</v>
      </c>
      <c r="P49" s="43" t="n">
        <f aca="false">SUMIFS(Data_Budgets!$F:$F,Data_Budgets!$A:$A,$A49,Data_Budgets!$B:$B,$B49)</f>
        <v>10561</v>
      </c>
      <c r="Q49" s="43" t="n">
        <f aca="false">SUMIFS(Data_JobCost!$K:$K,Data_JobCost!$D:$D,$A49,Data_JobCost!$E:$E,$B49)</f>
        <v>10404.2</v>
      </c>
      <c r="R49" s="43" t="n">
        <f aca="false">P49*J49</f>
        <v>10497.634</v>
      </c>
    </row>
    <row r="50" customFormat="false" ht="15" hidden="false" customHeight="false" outlineLevel="0" collapsed="false">
      <c r="A50" s="37" t="s">
        <v>61</v>
      </c>
      <c r="B50" s="37" t="s">
        <v>98</v>
      </c>
      <c r="C50" s="37" t="str">
        <f aca="false">INDEX(Data_CostCodes!$B:$B,MATCH($B50,Data_CostCodes!$A:$A,0))</f>
        <v>Site Facilities &amp; Temp Services</v>
      </c>
      <c r="D50" s="37" t="str">
        <f aca="false">INDEX(Data_CostCodes!$D:$D,MATCH($B50,Data_CostCodes!$A:$A,0))</f>
        <v>Other</v>
      </c>
      <c r="E50" s="38" t="n">
        <f aca="false">SUMIFS(Data_Budgets!$C:$C,Data_Budgets!$A:$A,$A50,Data_Budgets!$B:$B,$B50)</f>
        <v>246700</v>
      </c>
      <c r="F50" s="38" t="n">
        <f aca="false">SUMIFS(Data_Budgets!$D:$D,Data_Budgets!$A:$A,$A50,Data_Budgets!$B:$B,$B50)</f>
        <v>0</v>
      </c>
      <c r="G50" s="38" t="n">
        <f aca="false">E50+F50</f>
        <v>246700</v>
      </c>
      <c r="H50" s="38" t="n">
        <f aca="false">SUMIFS(Data_JobCost!$L:$L,Data_JobCost!$D:$D,$A50,Data_JobCost!$E:$E,$B50)</f>
        <v>227884.93</v>
      </c>
      <c r="I50" s="38" t="n">
        <f aca="false">SUMIFS(Data_Commitments!$E:$E,Data_Commitments!$B:$B,$A50,Data_Commitments!$C:$C,$B50)</f>
        <v>0</v>
      </c>
      <c r="J50" s="41" t="n">
        <f aca="false">SUMIFS(Data_Progress!$C:$C,Data_Progress!$A:$A,$A50,Data_Progress!$B:$B,$B50)</f>
        <v>0.946</v>
      </c>
      <c r="K50" s="38" t="n">
        <f aca="false">G50*J50</f>
        <v>233378.2</v>
      </c>
      <c r="L50" s="42" t="n">
        <f aca="false">IF(H50&gt;0,K50/H50,"")</f>
        <v>1.02410545532783</v>
      </c>
      <c r="M50" s="38" t="n">
        <f aca="false">IF(I50&gt;0,MAX(I50,H50),IF(J50&gt;0,H50+(G50-K50)/L50,G50))</f>
        <v>240893.160676533</v>
      </c>
      <c r="N50" s="38" t="n">
        <f aca="false">G50-M50</f>
        <v>5806.83932346723</v>
      </c>
      <c r="O50" s="38" t="n">
        <f aca="false">M50-H50</f>
        <v>13008.2306765328</v>
      </c>
      <c r="P50" s="43" t="n">
        <f aca="false">SUMIFS(Data_Budgets!$F:$F,Data_Budgets!$A:$A,$A50,Data_Budgets!$B:$B,$B50)</f>
        <v>0</v>
      </c>
      <c r="Q50" s="43" t="n">
        <f aca="false">SUMIFS(Data_JobCost!$K:$K,Data_JobCost!$D:$D,$A50,Data_JobCost!$E:$E,$B50)</f>
        <v>0</v>
      </c>
      <c r="R50" s="43" t="n">
        <f aca="false">P50*J50</f>
        <v>0</v>
      </c>
    </row>
    <row r="51" customFormat="false" ht="15" hidden="false" customHeight="false" outlineLevel="0" collapsed="false">
      <c r="A51" s="37" t="s">
        <v>61</v>
      </c>
      <c r="B51" s="37" t="s">
        <v>99</v>
      </c>
      <c r="C51" s="37" t="str">
        <f aca="false">INDEX(Data_CostCodes!$B:$B,MATCH($B51,Data_CostCodes!$A:$A,0))</f>
        <v>Equipment Rental</v>
      </c>
      <c r="D51" s="37" t="str">
        <f aca="false">INDEX(Data_CostCodes!$D:$D,MATCH($B51,Data_CostCodes!$A:$A,0))</f>
        <v>Equipment</v>
      </c>
      <c r="E51" s="38" t="n">
        <f aca="false">SUMIFS(Data_Budgets!$C:$C,Data_Budgets!$A:$A,$A51,Data_Budgets!$B:$B,$B51)</f>
        <v>340900</v>
      </c>
      <c r="F51" s="38" t="n">
        <f aca="false">SUMIFS(Data_Budgets!$D:$D,Data_Budgets!$A:$A,$A51,Data_Budgets!$B:$B,$B51)</f>
        <v>35700</v>
      </c>
      <c r="G51" s="38" t="n">
        <f aca="false">E51+F51</f>
        <v>376600</v>
      </c>
      <c r="H51" s="38" t="n">
        <f aca="false">SUMIFS(Data_JobCost!$L:$L,Data_JobCost!$D:$D,$A51,Data_JobCost!$E:$E,$B51)</f>
        <v>370354.31</v>
      </c>
      <c r="I51" s="38" t="n">
        <f aca="false">SUMIFS(Data_Commitments!$E:$E,Data_Commitments!$B:$B,$A51,Data_Commitments!$C:$C,$B51)</f>
        <v>0</v>
      </c>
      <c r="J51" s="41" t="n">
        <f aca="false">SUMIFS(Data_Progress!$C:$C,Data_Progress!$A:$A,$A51,Data_Progress!$B:$B,$B51)</f>
        <v>1</v>
      </c>
      <c r="K51" s="38" t="n">
        <f aca="false">G51*J51</f>
        <v>376600</v>
      </c>
      <c r="L51" s="42" t="n">
        <f aca="false">IF(H51&gt;0,K51/H51,"")</f>
        <v>1.01686409427772</v>
      </c>
      <c r="M51" s="38" t="n">
        <f aca="false">IF(I51&gt;0,MAX(I51,H51),IF(J51&gt;0,H51+(G51-K51)/L51,G51))</f>
        <v>370354.31</v>
      </c>
      <c r="N51" s="38" t="n">
        <f aca="false">G51-M51</f>
        <v>6245.69</v>
      </c>
      <c r="O51" s="38" t="n">
        <f aca="false">M51-H51</f>
        <v>0</v>
      </c>
      <c r="P51" s="43" t="n">
        <f aca="false">SUMIFS(Data_Budgets!$F:$F,Data_Budgets!$A:$A,$A51,Data_Budgets!$B:$B,$B51)</f>
        <v>0</v>
      </c>
      <c r="Q51" s="43" t="n">
        <f aca="false">SUMIFS(Data_JobCost!$K:$K,Data_JobCost!$D:$D,$A51,Data_JobCost!$E:$E,$B51)</f>
        <v>0</v>
      </c>
      <c r="R51" s="43" t="n">
        <f aca="false">P51*J51</f>
        <v>0</v>
      </c>
    </row>
    <row r="52" customFormat="false" ht="15" hidden="false" customHeight="false" outlineLevel="0" collapsed="false">
      <c r="A52" s="37" t="s">
        <v>61</v>
      </c>
      <c r="B52" s="37" t="s">
        <v>100</v>
      </c>
      <c r="C52" s="37" t="str">
        <f aca="false">INDEX(Data_CostCodes!$B:$B,MATCH($B52,Data_CostCodes!$A:$A,0))</f>
        <v>Earthwork &amp; Excavation</v>
      </c>
      <c r="D52" s="37" t="str">
        <f aca="false">INDEX(Data_CostCodes!$D:$D,MATCH($B52,Data_CostCodes!$A:$A,0))</f>
        <v>Subcontract</v>
      </c>
      <c r="E52" s="38" t="n">
        <f aca="false">SUMIFS(Data_Budgets!$C:$C,Data_Budgets!$A:$A,$A52,Data_Budgets!$B:$B,$B52)</f>
        <v>642100</v>
      </c>
      <c r="F52" s="38" t="n">
        <f aca="false">SUMIFS(Data_Budgets!$D:$D,Data_Budgets!$A:$A,$A52,Data_Budgets!$B:$B,$B52)</f>
        <v>0</v>
      </c>
      <c r="G52" s="38" t="n">
        <f aca="false">E52+F52</f>
        <v>642100</v>
      </c>
      <c r="H52" s="38" t="n">
        <f aca="false">SUMIFS(Data_JobCost!$L:$L,Data_JobCost!$D:$D,$A52,Data_JobCost!$E:$E,$B52)</f>
        <v>634942.59</v>
      </c>
      <c r="I52" s="38" t="n">
        <f aca="false">SUMIFS(Data_Commitments!$E:$E,Data_Commitments!$B:$B,$A52,Data_Commitments!$C:$C,$B52)</f>
        <v>645600</v>
      </c>
      <c r="J52" s="41" t="n">
        <f aca="false">SUMIFS(Data_Progress!$C:$C,Data_Progress!$A:$A,$A52,Data_Progress!$B:$B,$B52)</f>
        <v>1</v>
      </c>
      <c r="K52" s="38" t="n">
        <f aca="false">G52*J52</f>
        <v>642100</v>
      </c>
      <c r="L52" s="42" t="n">
        <f aca="false">IF(H52&gt;0,K52/H52,"")</f>
        <v>1.01127253095433</v>
      </c>
      <c r="M52" s="38" t="n">
        <f aca="false">IF(I52&gt;0,MAX(I52,H52),IF(J52&gt;0,H52+(G52-K52)/L52,G52))</f>
        <v>645600</v>
      </c>
      <c r="N52" s="38" t="n">
        <f aca="false">G52-M52</f>
        <v>-3500</v>
      </c>
      <c r="O52" s="38" t="n">
        <f aca="false">M52-H52</f>
        <v>10657.41</v>
      </c>
      <c r="P52" s="43" t="n">
        <f aca="false">SUMIFS(Data_Budgets!$F:$F,Data_Budgets!$A:$A,$A52,Data_Budgets!$B:$B,$B52)</f>
        <v>0</v>
      </c>
      <c r="Q52" s="43" t="n">
        <f aca="false">SUMIFS(Data_JobCost!$K:$K,Data_JobCost!$D:$D,$A52,Data_JobCost!$E:$E,$B52)</f>
        <v>0</v>
      </c>
      <c r="R52" s="43" t="n">
        <f aca="false">P52*J52</f>
        <v>0</v>
      </c>
    </row>
    <row r="53" customFormat="false" ht="15" hidden="false" customHeight="false" outlineLevel="0" collapsed="false">
      <c r="A53" s="37" t="s">
        <v>61</v>
      </c>
      <c r="B53" s="37" t="s">
        <v>101</v>
      </c>
      <c r="C53" s="37" t="str">
        <f aca="false">INDEX(Data_CostCodes!$B:$B,MATCH($B53,Data_CostCodes!$A:$A,0))</f>
        <v>Concrete Formwork</v>
      </c>
      <c r="D53" s="37" t="str">
        <f aca="false">INDEX(Data_CostCodes!$D:$D,MATCH($B53,Data_CostCodes!$A:$A,0))</f>
        <v>Labour</v>
      </c>
      <c r="E53" s="38" t="n">
        <f aca="false">SUMIFS(Data_Budgets!$C:$C,Data_Budgets!$A:$A,$A53,Data_Budgets!$B:$B,$B53)</f>
        <v>523800</v>
      </c>
      <c r="F53" s="38" t="n">
        <f aca="false">SUMIFS(Data_Budgets!$D:$D,Data_Budgets!$A:$A,$A53,Data_Budgets!$B:$B,$B53)</f>
        <v>0</v>
      </c>
      <c r="G53" s="38" t="n">
        <f aca="false">E53+F53</f>
        <v>523800</v>
      </c>
      <c r="H53" s="38" t="n">
        <f aca="false">SUMIFS(Data_JobCost!$L:$L,Data_JobCost!$D:$D,$A53,Data_JobCost!$E:$E,$B53)</f>
        <v>518524.82</v>
      </c>
      <c r="I53" s="38" t="n">
        <f aca="false">SUMIFS(Data_Commitments!$E:$E,Data_Commitments!$B:$B,$A53,Data_Commitments!$C:$C,$B53)</f>
        <v>0</v>
      </c>
      <c r="J53" s="41" t="n">
        <f aca="false">SUMIFS(Data_Progress!$C:$C,Data_Progress!$A:$A,$A53,Data_Progress!$B:$B,$B53)</f>
        <v>1</v>
      </c>
      <c r="K53" s="38" t="n">
        <f aca="false">G53*J53</f>
        <v>523800</v>
      </c>
      <c r="L53" s="42" t="n">
        <f aca="false">IF(H53&gt;0,K53/H53,"")</f>
        <v>1.01017343779224</v>
      </c>
      <c r="M53" s="38" t="n">
        <f aca="false">IF(I53&gt;0,MAX(I53,H53),IF(J53&gt;0,H53+(G53-K53)/L53,G53))</f>
        <v>518524.82</v>
      </c>
      <c r="N53" s="38" t="n">
        <f aca="false">G53-M53</f>
        <v>5275.17999999999</v>
      </c>
      <c r="O53" s="38" t="n">
        <f aca="false">M53-H53</f>
        <v>0</v>
      </c>
      <c r="P53" s="43" t="n">
        <f aca="false">SUMIFS(Data_Budgets!$F:$F,Data_Budgets!$A:$A,$A53,Data_Budgets!$B:$B,$B53)</f>
        <v>7078</v>
      </c>
      <c r="Q53" s="43" t="n">
        <f aca="false">SUMIFS(Data_JobCost!$K:$K,Data_JobCost!$D:$D,$A53,Data_JobCost!$E:$E,$B53)</f>
        <v>7007.3</v>
      </c>
      <c r="R53" s="43" t="n">
        <f aca="false">P53*J53</f>
        <v>7078</v>
      </c>
    </row>
    <row r="54" customFormat="false" ht="15" hidden="false" customHeight="false" outlineLevel="0" collapsed="false">
      <c r="A54" s="37" t="s">
        <v>61</v>
      </c>
      <c r="B54" s="37" t="s">
        <v>102</v>
      </c>
      <c r="C54" s="37" t="str">
        <f aca="false">INDEX(Data_CostCodes!$B:$B,MATCH($B54,Data_CostCodes!$A:$A,0))</f>
        <v>Reinforcing Steel</v>
      </c>
      <c r="D54" s="37" t="str">
        <f aca="false">INDEX(Data_CostCodes!$D:$D,MATCH($B54,Data_CostCodes!$A:$A,0))</f>
        <v>Material</v>
      </c>
      <c r="E54" s="38" t="n">
        <f aca="false">SUMIFS(Data_Budgets!$C:$C,Data_Budgets!$A:$A,$A54,Data_Budgets!$B:$B,$B54)</f>
        <v>471200</v>
      </c>
      <c r="F54" s="38" t="n">
        <f aca="false">SUMIFS(Data_Budgets!$D:$D,Data_Budgets!$A:$A,$A54,Data_Budgets!$B:$B,$B54)</f>
        <v>109700</v>
      </c>
      <c r="G54" s="38" t="n">
        <f aca="false">E54+F54</f>
        <v>580900</v>
      </c>
      <c r="H54" s="38" t="n">
        <f aca="false">SUMIFS(Data_JobCost!$L:$L,Data_JobCost!$D:$D,$A54,Data_JobCost!$E:$E,$B54)</f>
        <v>569775.66</v>
      </c>
      <c r="I54" s="38" t="n">
        <f aca="false">SUMIFS(Data_Commitments!$E:$E,Data_Commitments!$B:$B,$A54,Data_Commitments!$C:$C,$B54)</f>
        <v>572900</v>
      </c>
      <c r="J54" s="41" t="n">
        <f aca="false">SUMIFS(Data_Progress!$C:$C,Data_Progress!$A:$A,$A54,Data_Progress!$B:$B,$B54)</f>
        <v>1</v>
      </c>
      <c r="K54" s="38" t="n">
        <f aca="false">G54*J54</f>
        <v>580900</v>
      </c>
      <c r="L54" s="42" t="n">
        <f aca="false">IF(H54&gt;0,K54/H54,"")</f>
        <v>1.01952407022792</v>
      </c>
      <c r="M54" s="38" t="n">
        <f aca="false">IF(I54&gt;0,MAX(I54,H54),IF(J54&gt;0,H54+(G54-K54)/L54,G54))</f>
        <v>572900</v>
      </c>
      <c r="N54" s="38" t="n">
        <f aca="false">G54-M54</f>
        <v>8000</v>
      </c>
      <c r="O54" s="38" t="n">
        <f aca="false">M54-H54</f>
        <v>3124.33999999997</v>
      </c>
      <c r="P54" s="43" t="n">
        <f aca="false">SUMIFS(Data_Budgets!$F:$F,Data_Budgets!$A:$A,$A54,Data_Budgets!$B:$B,$B54)</f>
        <v>0</v>
      </c>
      <c r="Q54" s="43" t="n">
        <f aca="false">SUMIFS(Data_JobCost!$K:$K,Data_JobCost!$D:$D,$A54,Data_JobCost!$E:$E,$B54)</f>
        <v>0</v>
      </c>
      <c r="R54" s="43" t="n">
        <f aca="false">P54*J54</f>
        <v>0</v>
      </c>
    </row>
    <row r="55" customFormat="false" ht="15" hidden="false" customHeight="false" outlineLevel="0" collapsed="false">
      <c r="A55" s="37" t="s">
        <v>61</v>
      </c>
      <c r="B55" s="37" t="s">
        <v>103</v>
      </c>
      <c r="C55" s="37" t="str">
        <f aca="false">INDEX(Data_CostCodes!$B:$B,MATCH($B55,Data_CostCodes!$A:$A,0))</f>
        <v>Cast-in-Place Concrete</v>
      </c>
      <c r="D55" s="37" t="str">
        <f aca="false">INDEX(Data_CostCodes!$D:$D,MATCH($B55,Data_CostCodes!$A:$A,0))</f>
        <v>Material</v>
      </c>
      <c r="E55" s="38" t="n">
        <f aca="false">SUMIFS(Data_Budgets!$C:$C,Data_Budgets!$A:$A,$A55,Data_Budgets!$B:$B,$B55)</f>
        <v>665100</v>
      </c>
      <c r="F55" s="38" t="n">
        <f aca="false">SUMIFS(Data_Budgets!$D:$D,Data_Budgets!$A:$A,$A55,Data_Budgets!$B:$B,$B55)</f>
        <v>0</v>
      </c>
      <c r="G55" s="38" t="n">
        <f aca="false">E55+F55</f>
        <v>665100</v>
      </c>
      <c r="H55" s="38" t="n">
        <f aca="false">SUMIFS(Data_JobCost!$L:$L,Data_JobCost!$D:$D,$A55,Data_JobCost!$E:$E,$B55)</f>
        <v>645637.53</v>
      </c>
      <c r="I55" s="38" t="n">
        <f aca="false">SUMIFS(Data_Commitments!$E:$E,Data_Commitments!$B:$B,$A55,Data_Commitments!$C:$C,$B55)</f>
        <v>660000</v>
      </c>
      <c r="J55" s="41" t="n">
        <f aca="false">SUMIFS(Data_Progress!$C:$C,Data_Progress!$A:$A,$A55,Data_Progress!$B:$B,$B55)</f>
        <v>1</v>
      </c>
      <c r="K55" s="38" t="n">
        <f aca="false">G55*J55</f>
        <v>665100</v>
      </c>
      <c r="L55" s="42" t="n">
        <f aca="false">IF(H55&gt;0,K55/H55,"")</f>
        <v>1.03014457663265</v>
      </c>
      <c r="M55" s="38" t="n">
        <f aca="false">IF(I55&gt;0,MAX(I55,H55),IF(J55&gt;0,H55+(G55-K55)/L55,G55))</f>
        <v>660000</v>
      </c>
      <c r="N55" s="38" t="n">
        <f aca="false">G55-M55</f>
        <v>5100</v>
      </c>
      <c r="O55" s="38" t="n">
        <f aca="false">M55-H55</f>
        <v>14362.47</v>
      </c>
      <c r="P55" s="43" t="n">
        <f aca="false">SUMIFS(Data_Budgets!$F:$F,Data_Budgets!$A:$A,$A55,Data_Budgets!$B:$B,$B55)</f>
        <v>0</v>
      </c>
      <c r="Q55" s="43" t="n">
        <f aca="false">SUMIFS(Data_JobCost!$K:$K,Data_JobCost!$D:$D,$A55,Data_JobCost!$E:$E,$B55)</f>
        <v>0</v>
      </c>
      <c r="R55" s="43" t="n">
        <f aca="false">P55*J55</f>
        <v>0</v>
      </c>
    </row>
    <row r="56" customFormat="false" ht="15" hidden="false" customHeight="false" outlineLevel="0" collapsed="false">
      <c r="A56" s="37" t="s">
        <v>61</v>
      </c>
      <c r="B56" s="37" t="s">
        <v>105</v>
      </c>
      <c r="C56" s="37" t="str">
        <f aca="false">INDEX(Data_CostCodes!$B:$B,MATCH($B56,Data_CostCodes!$A:$A,0))</f>
        <v>Structural Steel</v>
      </c>
      <c r="D56" s="37" t="str">
        <f aca="false">INDEX(Data_CostCodes!$D:$D,MATCH($B56,Data_CostCodes!$A:$A,0))</f>
        <v>Subcontract</v>
      </c>
      <c r="E56" s="38" t="n">
        <f aca="false">SUMIFS(Data_Budgets!$C:$C,Data_Budgets!$A:$A,$A56,Data_Budgets!$B:$B,$B56)</f>
        <v>1231200</v>
      </c>
      <c r="F56" s="38" t="n">
        <f aca="false">SUMIFS(Data_Budgets!$D:$D,Data_Budgets!$A:$A,$A56,Data_Budgets!$B:$B,$B56)</f>
        <v>0</v>
      </c>
      <c r="G56" s="38" t="n">
        <f aca="false">E56+F56</f>
        <v>1231200</v>
      </c>
      <c r="H56" s="38" t="n">
        <f aca="false">SUMIFS(Data_JobCost!$L:$L,Data_JobCost!$D:$D,$A56,Data_JobCost!$E:$E,$B56)</f>
        <v>1193968.92</v>
      </c>
      <c r="I56" s="38" t="n">
        <f aca="false">SUMIFS(Data_Commitments!$E:$E,Data_Commitments!$B:$B,$A56,Data_Commitments!$C:$C,$B56)</f>
        <v>1229000</v>
      </c>
      <c r="J56" s="41" t="n">
        <f aca="false">SUMIFS(Data_Progress!$C:$C,Data_Progress!$A:$A,$A56,Data_Progress!$B:$B,$B56)</f>
        <v>1</v>
      </c>
      <c r="K56" s="38" t="n">
        <f aca="false">G56*J56</f>
        <v>1231200</v>
      </c>
      <c r="L56" s="42" t="n">
        <f aca="false">IF(H56&gt;0,K56/H56,"")</f>
        <v>1.03118262073354</v>
      </c>
      <c r="M56" s="38" t="n">
        <f aca="false">IF(I56&gt;0,MAX(I56,H56),IF(J56&gt;0,H56+(G56-K56)/L56,G56))</f>
        <v>1229000</v>
      </c>
      <c r="N56" s="38" t="n">
        <f aca="false">G56-M56</f>
        <v>2200</v>
      </c>
      <c r="O56" s="38" t="n">
        <f aca="false">M56-H56</f>
        <v>35031.0800000001</v>
      </c>
      <c r="P56" s="43" t="n">
        <f aca="false">SUMIFS(Data_Budgets!$F:$F,Data_Budgets!$A:$A,$A56,Data_Budgets!$B:$B,$B56)</f>
        <v>0</v>
      </c>
      <c r="Q56" s="43" t="n">
        <f aca="false">SUMIFS(Data_JobCost!$K:$K,Data_JobCost!$D:$D,$A56,Data_JobCost!$E:$E,$B56)</f>
        <v>0</v>
      </c>
      <c r="R56" s="43" t="n">
        <f aca="false">P56*J56</f>
        <v>0</v>
      </c>
    </row>
    <row r="57" customFormat="false" ht="15" hidden="false" customHeight="false" outlineLevel="0" collapsed="false">
      <c r="A57" s="37" t="s">
        <v>61</v>
      </c>
      <c r="B57" s="37" t="s">
        <v>106</v>
      </c>
      <c r="C57" s="37" t="str">
        <f aca="false">INDEX(Data_CostCodes!$B:$B,MATCH($B57,Data_CostCodes!$A:$A,0))</f>
        <v>Rough Carpentry</v>
      </c>
      <c r="D57" s="37" t="str">
        <f aca="false">INDEX(Data_CostCodes!$D:$D,MATCH($B57,Data_CostCodes!$A:$A,0))</f>
        <v>Labour</v>
      </c>
      <c r="E57" s="38" t="n">
        <f aca="false">SUMIFS(Data_Budgets!$C:$C,Data_Budgets!$A:$A,$A57,Data_Budgets!$B:$B,$B57)</f>
        <v>176500</v>
      </c>
      <c r="F57" s="38" t="n">
        <f aca="false">SUMIFS(Data_Budgets!$D:$D,Data_Budgets!$A:$A,$A57,Data_Budgets!$B:$B,$B57)</f>
        <v>0</v>
      </c>
      <c r="G57" s="38" t="n">
        <f aca="false">E57+F57</f>
        <v>176500</v>
      </c>
      <c r="H57" s="38" t="n">
        <f aca="false">SUMIFS(Data_JobCost!$L:$L,Data_JobCost!$D:$D,$A57,Data_JobCost!$E:$E,$B57)</f>
        <v>170853.2</v>
      </c>
      <c r="I57" s="38" t="n">
        <f aca="false">SUMIFS(Data_Commitments!$E:$E,Data_Commitments!$B:$B,$A57,Data_Commitments!$C:$C,$B57)</f>
        <v>0</v>
      </c>
      <c r="J57" s="41" t="n">
        <f aca="false">SUMIFS(Data_Progress!$C:$C,Data_Progress!$A:$A,$A57,Data_Progress!$B:$B,$B57)</f>
        <v>1</v>
      </c>
      <c r="K57" s="38" t="n">
        <f aca="false">G57*J57</f>
        <v>176500</v>
      </c>
      <c r="L57" s="42" t="n">
        <f aca="false">IF(H57&gt;0,K57/H57,"")</f>
        <v>1.03305059548197</v>
      </c>
      <c r="M57" s="38" t="n">
        <f aca="false">IF(I57&gt;0,MAX(I57,H57),IF(J57&gt;0,H57+(G57-K57)/L57,G57))</f>
        <v>170853.2</v>
      </c>
      <c r="N57" s="38" t="n">
        <f aca="false">G57-M57</f>
        <v>5646.79999999999</v>
      </c>
      <c r="O57" s="38" t="n">
        <f aca="false">M57-H57</f>
        <v>0</v>
      </c>
      <c r="P57" s="43" t="n">
        <f aca="false">SUMIFS(Data_Budgets!$F:$F,Data_Budgets!$A:$A,$A57,Data_Budgets!$B:$B,$B57)</f>
        <v>2486</v>
      </c>
      <c r="Q57" s="43" t="n">
        <f aca="false">SUMIFS(Data_JobCost!$K:$K,Data_JobCost!$D:$D,$A57,Data_JobCost!$E:$E,$B57)</f>
        <v>2406.4</v>
      </c>
      <c r="R57" s="43" t="n">
        <f aca="false">P57*J57</f>
        <v>2486</v>
      </c>
    </row>
    <row r="58" customFormat="false" ht="15" hidden="false" customHeight="false" outlineLevel="0" collapsed="false">
      <c r="A58" s="37" t="s">
        <v>61</v>
      </c>
      <c r="B58" s="37" t="s">
        <v>107</v>
      </c>
      <c r="C58" s="37" t="str">
        <f aca="false">INDEX(Data_CostCodes!$B:$B,MATCH($B58,Data_CostCodes!$A:$A,0))</f>
        <v>Roofing &amp; Insulation</v>
      </c>
      <c r="D58" s="37" t="str">
        <f aca="false">INDEX(Data_CostCodes!$D:$D,MATCH($B58,Data_CostCodes!$A:$A,0))</f>
        <v>Subcontract</v>
      </c>
      <c r="E58" s="38" t="n">
        <f aca="false">SUMIFS(Data_Budgets!$C:$C,Data_Budgets!$A:$A,$A58,Data_Budgets!$B:$B,$B58)</f>
        <v>528300</v>
      </c>
      <c r="F58" s="38" t="n">
        <f aca="false">SUMIFS(Data_Budgets!$D:$D,Data_Budgets!$A:$A,$A58,Data_Budgets!$B:$B,$B58)</f>
        <v>0</v>
      </c>
      <c r="G58" s="38" t="n">
        <f aca="false">E58+F58</f>
        <v>528300</v>
      </c>
      <c r="H58" s="38" t="n">
        <f aca="false">SUMIFS(Data_JobCost!$L:$L,Data_JobCost!$D:$D,$A58,Data_JobCost!$E:$E,$B58)</f>
        <v>509900.4</v>
      </c>
      <c r="I58" s="38" t="n">
        <f aca="false">SUMIFS(Data_Commitments!$E:$E,Data_Commitments!$B:$B,$A58,Data_Commitments!$C:$C,$B58)</f>
        <v>522300</v>
      </c>
      <c r="J58" s="41" t="n">
        <f aca="false">SUMIFS(Data_Progress!$C:$C,Data_Progress!$A:$A,$A58,Data_Progress!$B:$B,$B58)</f>
        <v>1</v>
      </c>
      <c r="K58" s="38" t="n">
        <f aca="false">G58*J58</f>
        <v>528300</v>
      </c>
      <c r="L58" s="42" t="n">
        <f aca="false">IF(H58&gt;0,K58/H58,"")</f>
        <v>1.03608469418734</v>
      </c>
      <c r="M58" s="38" t="n">
        <f aca="false">IF(I58&gt;0,MAX(I58,H58),IF(J58&gt;0,H58+(G58-K58)/L58,G58))</f>
        <v>522300</v>
      </c>
      <c r="N58" s="38" t="n">
        <f aca="false">G58-M58</f>
        <v>6000</v>
      </c>
      <c r="O58" s="38" t="n">
        <f aca="false">M58-H58</f>
        <v>12399.6</v>
      </c>
      <c r="P58" s="43" t="n">
        <f aca="false">SUMIFS(Data_Budgets!$F:$F,Data_Budgets!$A:$A,$A58,Data_Budgets!$B:$B,$B58)</f>
        <v>0</v>
      </c>
      <c r="Q58" s="43" t="n">
        <f aca="false">SUMIFS(Data_JobCost!$K:$K,Data_JobCost!$D:$D,$A58,Data_JobCost!$E:$E,$B58)</f>
        <v>0</v>
      </c>
      <c r="R58" s="43" t="n">
        <f aca="false">P58*J58</f>
        <v>0</v>
      </c>
    </row>
    <row r="59" customFormat="false" ht="15" hidden="false" customHeight="false" outlineLevel="0" collapsed="false">
      <c r="A59" s="37" t="s">
        <v>61</v>
      </c>
      <c r="B59" s="37" t="s">
        <v>108</v>
      </c>
      <c r="C59" s="37" t="str">
        <f aca="false">INDEX(Data_CostCodes!$B:$B,MATCH($B59,Data_CostCodes!$A:$A,0))</f>
        <v>Doors, Frames &amp; Hardware</v>
      </c>
      <c r="D59" s="37" t="str">
        <f aca="false">INDEX(Data_CostCodes!$D:$D,MATCH($B59,Data_CostCodes!$A:$A,0))</f>
        <v>Material</v>
      </c>
      <c r="E59" s="38" t="n">
        <f aca="false">SUMIFS(Data_Budgets!$C:$C,Data_Budgets!$A:$A,$A59,Data_Budgets!$B:$B,$B59)</f>
        <v>153800</v>
      </c>
      <c r="F59" s="38" t="n">
        <f aca="false">SUMIFS(Data_Budgets!$D:$D,Data_Budgets!$A:$A,$A59,Data_Budgets!$B:$B,$B59)</f>
        <v>0</v>
      </c>
      <c r="G59" s="38" t="n">
        <f aca="false">E59+F59</f>
        <v>153800</v>
      </c>
      <c r="H59" s="38" t="n">
        <f aca="false">SUMIFS(Data_JobCost!$L:$L,Data_JobCost!$D:$D,$A59,Data_JobCost!$E:$E,$B59)</f>
        <v>150071.95</v>
      </c>
      <c r="I59" s="38" t="n">
        <f aca="false">SUMIFS(Data_Commitments!$E:$E,Data_Commitments!$B:$B,$A59,Data_Commitments!$C:$C,$B59)</f>
        <v>151000</v>
      </c>
      <c r="J59" s="41" t="n">
        <f aca="false">SUMIFS(Data_Progress!$C:$C,Data_Progress!$A:$A,$A59,Data_Progress!$B:$B,$B59)</f>
        <v>1</v>
      </c>
      <c r="K59" s="38" t="n">
        <f aca="false">G59*J59</f>
        <v>153800</v>
      </c>
      <c r="L59" s="42" t="n">
        <f aca="false">IF(H59&gt;0,K59/H59,"")</f>
        <v>1.02484175090681</v>
      </c>
      <c r="M59" s="38" t="n">
        <f aca="false">IF(I59&gt;0,MAX(I59,H59),IF(J59&gt;0,H59+(G59-K59)/L59,G59))</f>
        <v>151000</v>
      </c>
      <c r="N59" s="38" t="n">
        <f aca="false">G59-M59</f>
        <v>2800</v>
      </c>
      <c r="O59" s="38" t="n">
        <f aca="false">M59-H59</f>
        <v>928.049999999988</v>
      </c>
      <c r="P59" s="43" t="n">
        <f aca="false">SUMIFS(Data_Budgets!$F:$F,Data_Budgets!$A:$A,$A59,Data_Budgets!$B:$B,$B59)</f>
        <v>0</v>
      </c>
      <c r="Q59" s="43" t="n">
        <f aca="false">SUMIFS(Data_JobCost!$K:$K,Data_JobCost!$D:$D,$A59,Data_JobCost!$E:$E,$B59)</f>
        <v>0</v>
      </c>
      <c r="R59" s="43" t="n">
        <f aca="false">P59*J59</f>
        <v>0</v>
      </c>
    </row>
    <row r="60" customFormat="false" ht="15" hidden="false" customHeight="false" outlineLevel="0" collapsed="false">
      <c r="A60" s="37" t="s">
        <v>61</v>
      </c>
      <c r="B60" s="37" t="s">
        <v>109</v>
      </c>
      <c r="C60" s="37" t="str">
        <f aca="false">INDEX(Data_CostCodes!$B:$B,MATCH($B60,Data_CostCodes!$A:$A,0))</f>
        <v>Drywall &amp; Finishes</v>
      </c>
      <c r="D60" s="37" t="str">
        <f aca="false">INDEX(Data_CostCodes!$D:$D,MATCH($B60,Data_CostCodes!$A:$A,0))</f>
        <v>Subcontract</v>
      </c>
      <c r="E60" s="38" t="n">
        <f aca="false">SUMIFS(Data_Budgets!$C:$C,Data_Budgets!$A:$A,$A60,Data_Budgets!$B:$B,$B60)</f>
        <v>294700</v>
      </c>
      <c r="F60" s="38" t="n">
        <f aca="false">SUMIFS(Data_Budgets!$D:$D,Data_Budgets!$A:$A,$A60,Data_Budgets!$B:$B,$B60)</f>
        <v>0</v>
      </c>
      <c r="G60" s="38" t="n">
        <f aca="false">E60+F60</f>
        <v>294700</v>
      </c>
      <c r="H60" s="38" t="n">
        <f aca="false">SUMIFS(Data_JobCost!$L:$L,Data_JobCost!$D:$D,$A60,Data_JobCost!$E:$E,$B60)</f>
        <v>278137.73</v>
      </c>
      <c r="I60" s="38" t="n">
        <f aca="false">SUMIFS(Data_Commitments!$E:$E,Data_Commitments!$B:$B,$A60,Data_Commitments!$C:$C,$B60)</f>
        <v>285800</v>
      </c>
      <c r="J60" s="41" t="n">
        <f aca="false">SUMIFS(Data_Progress!$C:$C,Data_Progress!$A:$A,$A60,Data_Progress!$B:$B,$B60)</f>
        <v>1</v>
      </c>
      <c r="K60" s="38" t="n">
        <f aca="false">G60*J60</f>
        <v>294700</v>
      </c>
      <c r="L60" s="42" t="n">
        <f aca="false">IF(H60&gt;0,K60/H60,"")</f>
        <v>1.05954700931801</v>
      </c>
      <c r="M60" s="38" t="n">
        <f aca="false">IF(I60&gt;0,MAX(I60,H60),IF(J60&gt;0,H60+(G60-K60)/L60,G60))</f>
        <v>285800</v>
      </c>
      <c r="N60" s="38" t="n">
        <f aca="false">G60-M60</f>
        <v>8900</v>
      </c>
      <c r="O60" s="38" t="n">
        <f aca="false">M60-H60</f>
        <v>7662.27000000002</v>
      </c>
      <c r="P60" s="43" t="n">
        <f aca="false">SUMIFS(Data_Budgets!$F:$F,Data_Budgets!$A:$A,$A60,Data_Budgets!$B:$B,$B60)</f>
        <v>0</v>
      </c>
      <c r="Q60" s="43" t="n">
        <f aca="false">SUMIFS(Data_JobCost!$K:$K,Data_JobCost!$D:$D,$A60,Data_JobCost!$E:$E,$B60)</f>
        <v>0</v>
      </c>
      <c r="R60" s="43" t="n">
        <f aca="false">P60*J60</f>
        <v>0</v>
      </c>
    </row>
    <row r="61" customFormat="false" ht="15" hidden="false" customHeight="false" outlineLevel="0" collapsed="false">
      <c r="A61" s="37" t="s">
        <v>61</v>
      </c>
      <c r="B61" s="37" t="s">
        <v>110</v>
      </c>
      <c r="C61" s="37" t="str">
        <f aca="false">INDEX(Data_CostCodes!$B:$B,MATCH($B61,Data_CostCodes!$A:$A,0))</f>
        <v>Mechanical</v>
      </c>
      <c r="D61" s="37" t="str">
        <f aca="false">INDEX(Data_CostCodes!$D:$D,MATCH($B61,Data_CostCodes!$A:$A,0))</f>
        <v>Subcontract</v>
      </c>
      <c r="E61" s="38" t="n">
        <f aca="false">SUMIFS(Data_Budgets!$C:$C,Data_Budgets!$A:$A,$A61,Data_Budgets!$B:$B,$B61)</f>
        <v>1203300</v>
      </c>
      <c r="F61" s="38" t="n">
        <f aca="false">SUMIFS(Data_Budgets!$D:$D,Data_Budgets!$A:$A,$A61,Data_Budgets!$B:$B,$B61)</f>
        <v>0</v>
      </c>
      <c r="G61" s="38" t="n">
        <f aca="false">E61+F61</f>
        <v>1203300</v>
      </c>
      <c r="H61" s="38" t="n">
        <f aca="false">SUMIFS(Data_JobCost!$L:$L,Data_JobCost!$D:$D,$A61,Data_JobCost!$E:$E,$B61)</f>
        <v>1131000.08</v>
      </c>
      <c r="I61" s="38" t="n">
        <f aca="false">SUMIFS(Data_Commitments!$E:$E,Data_Commitments!$B:$B,$A61,Data_Commitments!$C:$C,$B61)</f>
        <v>1172500</v>
      </c>
      <c r="J61" s="41" t="n">
        <f aca="false">SUMIFS(Data_Progress!$C:$C,Data_Progress!$A:$A,$A61,Data_Progress!$B:$B,$B61)</f>
        <v>0.992</v>
      </c>
      <c r="K61" s="38" t="n">
        <f aca="false">G61*J61</f>
        <v>1193673.6</v>
      </c>
      <c r="L61" s="42" t="n">
        <f aca="false">IF(H61&gt;0,K61/H61,"")</f>
        <v>1.0554142489539</v>
      </c>
      <c r="M61" s="38" t="n">
        <f aca="false">IF(I61&gt;0,MAX(I61,H61),IF(J61&gt;0,H61+(G61-K61)/L61,G61))</f>
        <v>1172500</v>
      </c>
      <c r="N61" s="38" t="n">
        <f aca="false">G61-M61</f>
        <v>30800</v>
      </c>
      <c r="O61" s="38" t="n">
        <f aca="false">M61-H61</f>
        <v>41499.9199999999</v>
      </c>
      <c r="P61" s="43" t="n">
        <f aca="false">SUMIFS(Data_Budgets!$F:$F,Data_Budgets!$A:$A,$A61,Data_Budgets!$B:$B,$B61)</f>
        <v>0</v>
      </c>
      <c r="Q61" s="43" t="n">
        <f aca="false">SUMIFS(Data_JobCost!$K:$K,Data_JobCost!$D:$D,$A61,Data_JobCost!$E:$E,$B61)</f>
        <v>0</v>
      </c>
      <c r="R61" s="43" t="n">
        <f aca="false">P61*J61</f>
        <v>0</v>
      </c>
    </row>
    <row r="62" customFormat="false" ht="15" hidden="false" customHeight="false" outlineLevel="0" collapsed="false">
      <c r="A62" s="37" t="s">
        <v>61</v>
      </c>
      <c r="B62" s="37" t="s">
        <v>111</v>
      </c>
      <c r="C62" s="37" t="str">
        <f aca="false">INDEX(Data_CostCodes!$B:$B,MATCH($B62,Data_CostCodes!$A:$A,0))</f>
        <v>Electrical</v>
      </c>
      <c r="D62" s="37" t="str">
        <f aca="false">INDEX(Data_CostCodes!$D:$D,MATCH($B62,Data_CostCodes!$A:$A,0))</f>
        <v>Subcontract</v>
      </c>
      <c r="E62" s="38" t="n">
        <f aca="false">SUMIFS(Data_Budgets!$C:$C,Data_Budgets!$A:$A,$A62,Data_Budgets!$B:$B,$B62)</f>
        <v>1333800</v>
      </c>
      <c r="F62" s="38" t="n">
        <f aca="false">SUMIFS(Data_Budgets!$D:$D,Data_Budgets!$A:$A,$A62,Data_Budgets!$B:$B,$B62)</f>
        <v>0</v>
      </c>
      <c r="G62" s="38" t="n">
        <f aca="false">E62+F62</f>
        <v>1333800</v>
      </c>
      <c r="H62" s="38" t="n">
        <f aca="false">SUMIFS(Data_JobCost!$L:$L,Data_JobCost!$D:$D,$A62,Data_JobCost!$E:$E,$B62)</f>
        <v>1281346.59</v>
      </c>
      <c r="I62" s="38" t="n">
        <f aca="false">SUMIFS(Data_Commitments!$E:$E,Data_Commitments!$B:$B,$A62,Data_Commitments!$C:$C,$B62)</f>
        <v>1309500</v>
      </c>
      <c r="J62" s="41" t="n">
        <f aca="false">SUMIFS(Data_Progress!$C:$C,Data_Progress!$A:$A,$A62,Data_Progress!$B:$B,$B62)</f>
        <v>0.995</v>
      </c>
      <c r="K62" s="38" t="n">
        <f aca="false">G62*J62</f>
        <v>1327131</v>
      </c>
      <c r="L62" s="42" t="n">
        <f aca="false">IF(H62&gt;0,K62/H62,"")</f>
        <v>1.03573147995813</v>
      </c>
      <c r="M62" s="38" t="n">
        <f aca="false">IF(I62&gt;0,MAX(I62,H62),IF(J62&gt;0,H62+(G62-K62)/L62,G62))</f>
        <v>1309500</v>
      </c>
      <c r="N62" s="38" t="n">
        <f aca="false">G62-M62</f>
        <v>24300</v>
      </c>
      <c r="O62" s="38" t="n">
        <f aca="false">M62-H62</f>
        <v>28153.4099999999</v>
      </c>
      <c r="P62" s="43" t="n">
        <f aca="false">SUMIFS(Data_Budgets!$F:$F,Data_Budgets!$A:$A,$A62,Data_Budgets!$B:$B,$B62)</f>
        <v>0</v>
      </c>
      <c r="Q62" s="43" t="n">
        <f aca="false">SUMIFS(Data_JobCost!$K:$K,Data_JobCost!$D:$D,$A62,Data_JobCost!$E:$E,$B62)</f>
        <v>0</v>
      </c>
      <c r="R62" s="43" t="n">
        <f aca="false">P62*J62</f>
        <v>0</v>
      </c>
    </row>
    <row r="63" customFormat="false" ht="15" hidden="false" customHeight="false" outlineLevel="0" collapsed="false">
      <c r="A63" s="37" t="s">
        <v>62</v>
      </c>
      <c r="B63" s="37" t="s">
        <v>97</v>
      </c>
      <c r="C63" s="37" t="str">
        <f aca="false">INDEX(Data_CostCodes!$B:$B,MATCH($B63,Data_CostCodes!$A:$A,0))</f>
        <v>General Conditions - Supervision</v>
      </c>
      <c r="D63" s="37" t="str">
        <f aca="false">INDEX(Data_CostCodes!$D:$D,MATCH($B63,Data_CostCodes!$A:$A,0))</f>
        <v>Labour</v>
      </c>
      <c r="E63" s="38" t="n">
        <f aca="false">SUMIFS(Data_Budgets!$C:$C,Data_Budgets!$A:$A,$A63,Data_Budgets!$B:$B,$B63)</f>
        <v>1916200</v>
      </c>
      <c r="F63" s="38" t="n">
        <f aca="false">SUMIFS(Data_Budgets!$D:$D,Data_Budgets!$A:$A,$A63,Data_Budgets!$B:$B,$B63)</f>
        <v>31300</v>
      </c>
      <c r="G63" s="38" t="n">
        <f aca="false">E63+F63</f>
        <v>1947500</v>
      </c>
      <c r="H63" s="38" t="n">
        <f aca="false">SUMIFS(Data_JobCost!$L:$L,Data_JobCost!$D:$D,$A63,Data_JobCost!$E:$E,$B63)</f>
        <v>1365242.44</v>
      </c>
      <c r="I63" s="38" t="n">
        <f aca="false">SUMIFS(Data_Commitments!$E:$E,Data_Commitments!$B:$B,$A63,Data_Commitments!$C:$C,$B63)</f>
        <v>0</v>
      </c>
      <c r="J63" s="41" t="n">
        <f aca="false">SUMIFS(Data_Progress!$C:$C,Data_Progress!$A:$A,$A63,Data_Progress!$B:$B,$B63)</f>
        <v>0.705</v>
      </c>
      <c r="K63" s="38" t="n">
        <f aca="false">G63*J63</f>
        <v>1372987.5</v>
      </c>
      <c r="L63" s="42" t="n">
        <f aca="false">IF(H63&gt;0,K63/H63,"")</f>
        <v>1.00567302903358</v>
      </c>
      <c r="M63" s="38" t="n">
        <f aca="false">IF(I63&gt;0,MAX(I63,H63),IF(J63&gt;0,H63+(G63-K63)/L63,G63))</f>
        <v>1936514.09929078</v>
      </c>
      <c r="N63" s="38" t="n">
        <f aca="false">G63-M63</f>
        <v>10985.90070922</v>
      </c>
      <c r="O63" s="38" t="n">
        <f aca="false">M63-H63</f>
        <v>571271.65929078</v>
      </c>
      <c r="P63" s="43" t="n">
        <f aca="false">SUMIFS(Data_Budgets!$F:$F,Data_Budgets!$A:$A,$A63,Data_Budgets!$B:$B,$B63)</f>
        <v>21168</v>
      </c>
      <c r="Q63" s="43" t="n">
        <f aca="false">SUMIFS(Data_JobCost!$K:$K,Data_JobCost!$D:$D,$A63,Data_JobCost!$E:$E,$B63)</f>
        <v>14839.4</v>
      </c>
      <c r="R63" s="43" t="n">
        <f aca="false">P63*J63</f>
        <v>14923.44</v>
      </c>
    </row>
    <row r="64" customFormat="false" ht="15" hidden="false" customHeight="false" outlineLevel="0" collapsed="false">
      <c r="A64" s="37" t="s">
        <v>62</v>
      </c>
      <c r="B64" s="37" t="s">
        <v>98</v>
      </c>
      <c r="C64" s="37" t="str">
        <f aca="false">INDEX(Data_CostCodes!$B:$B,MATCH($B64,Data_CostCodes!$A:$A,0))</f>
        <v>Site Facilities &amp; Temp Services</v>
      </c>
      <c r="D64" s="37" t="str">
        <f aca="false">INDEX(Data_CostCodes!$D:$D,MATCH($B64,Data_CostCodes!$A:$A,0))</f>
        <v>Other</v>
      </c>
      <c r="E64" s="38" t="n">
        <f aca="false">SUMIFS(Data_Budgets!$C:$C,Data_Budgets!$A:$A,$A64,Data_Budgets!$B:$B,$B64)</f>
        <v>564300</v>
      </c>
      <c r="F64" s="38" t="n">
        <f aca="false">SUMIFS(Data_Budgets!$D:$D,Data_Budgets!$A:$A,$A64,Data_Budgets!$B:$B,$B64)</f>
        <v>309100</v>
      </c>
      <c r="G64" s="38" t="n">
        <f aca="false">E64+F64</f>
        <v>873400</v>
      </c>
      <c r="H64" s="38" t="n">
        <f aca="false">SUMIFS(Data_JobCost!$L:$L,Data_JobCost!$D:$D,$A64,Data_JobCost!$E:$E,$B64)</f>
        <v>654298.6</v>
      </c>
      <c r="I64" s="38" t="n">
        <f aca="false">SUMIFS(Data_Commitments!$E:$E,Data_Commitments!$B:$B,$A64,Data_Commitments!$C:$C,$B64)</f>
        <v>0</v>
      </c>
      <c r="J64" s="41" t="n">
        <f aca="false">SUMIFS(Data_Progress!$C:$C,Data_Progress!$A:$A,$A64,Data_Progress!$B:$B,$B64)</f>
        <v>0.724</v>
      </c>
      <c r="K64" s="38" t="n">
        <f aca="false">G64*J64</f>
        <v>632341.6</v>
      </c>
      <c r="L64" s="42" t="n">
        <f aca="false">IF(H64&gt;0,K64/H64,"")</f>
        <v>0.966441927279074</v>
      </c>
      <c r="M64" s="38" t="n">
        <f aca="false">IF(I64&gt;0,MAX(I64,H64),IF(J64&gt;0,H64+(G64-K64)/L64,G64))</f>
        <v>903727.348066298</v>
      </c>
      <c r="N64" s="38" t="n">
        <f aca="false">G64-M64</f>
        <v>-30327.3480662983</v>
      </c>
      <c r="O64" s="38" t="n">
        <f aca="false">M64-H64</f>
        <v>249428.748066298</v>
      </c>
      <c r="P64" s="43" t="n">
        <f aca="false">SUMIFS(Data_Budgets!$F:$F,Data_Budgets!$A:$A,$A64,Data_Budgets!$B:$B,$B64)</f>
        <v>0</v>
      </c>
      <c r="Q64" s="43" t="n">
        <f aca="false">SUMIFS(Data_JobCost!$K:$K,Data_JobCost!$D:$D,$A64,Data_JobCost!$E:$E,$B64)</f>
        <v>0</v>
      </c>
      <c r="R64" s="43" t="n">
        <f aca="false">P64*J64</f>
        <v>0</v>
      </c>
    </row>
    <row r="65" customFormat="false" ht="15" hidden="false" customHeight="false" outlineLevel="0" collapsed="false">
      <c r="A65" s="37" t="s">
        <v>62</v>
      </c>
      <c r="B65" s="37" t="s">
        <v>99</v>
      </c>
      <c r="C65" s="37" t="str">
        <f aca="false">INDEX(Data_CostCodes!$B:$B,MATCH($B65,Data_CostCodes!$A:$A,0))</f>
        <v>Equipment Rental</v>
      </c>
      <c r="D65" s="37" t="str">
        <f aca="false">INDEX(Data_CostCodes!$D:$D,MATCH($B65,Data_CostCodes!$A:$A,0))</f>
        <v>Equipment</v>
      </c>
      <c r="E65" s="38" t="n">
        <f aca="false">SUMIFS(Data_Budgets!$C:$C,Data_Budgets!$A:$A,$A65,Data_Budgets!$B:$B,$B65)</f>
        <v>584000</v>
      </c>
      <c r="F65" s="38" t="n">
        <f aca="false">SUMIFS(Data_Budgets!$D:$D,Data_Budgets!$A:$A,$A65,Data_Budgets!$B:$B,$B65)</f>
        <v>0</v>
      </c>
      <c r="G65" s="38" t="n">
        <f aca="false">E65+F65</f>
        <v>584000</v>
      </c>
      <c r="H65" s="38" t="n">
        <f aca="false">SUMIFS(Data_JobCost!$L:$L,Data_JobCost!$D:$D,$A65,Data_JobCost!$E:$E,$B65)</f>
        <v>489335.22</v>
      </c>
      <c r="I65" s="38" t="n">
        <f aca="false">SUMIFS(Data_Commitments!$E:$E,Data_Commitments!$B:$B,$A65,Data_Commitments!$C:$C,$B65)</f>
        <v>0</v>
      </c>
      <c r="J65" s="41" t="n">
        <f aca="false">SUMIFS(Data_Progress!$C:$C,Data_Progress!$A:$A,$A65,Data_Progress!$B:$B,$B65)</f>
        <v>0.825</v>
      </c>
      <c r="K65" s="38" t="n">
        <f aca="false">G65*J65</f>
        <v>481800</v>
      </c>
      <c r="L65" s="42" t="n">
        <f aca="false">IF(H65&gt;0,K65/H65,"")</f>
        <v>0.98460110841807</v>
      </c>
      <c r="M65" s="38" t="n">
        <f aca="false">IF(I65&gt;0,MAX(I65,H65),IF(J65&gt;0,H65+(G65-K65)/L65,G65))</f>
        <v>593133.6</v>
      </c>
      <c r="N65" s="38" t="n">
        <f aca="false">G65-M65</f>
        <v>-9133.60000000009</v>
      </c>
      <c r="O65" s="38" t="n">
        <f aca="false">M65-H65</f>
        <v>103798.38</v>
      </c>
      <c r="P65" s="43" t="n">
        <f aca="false">SUMIFS(Data_Budgets!$F:$F,Data_Budgets!$A:$A,$A65,Data_Budgets!$B:$B,$B65)</f>
        <v>0</v>
      </c>
      <c r="Q65" s="43" t="n">
        <f aca="false">SUMIFS(Data_JobCost!$K:$K,Data_JobCost!$D:$D,$A65,Data_JobCost!$E:$E,$B65)</f>
        <v>0</v>
      </c>
      <c r="R65" s="43" t="n">
        <f aca="false">P65*J65</f>
        <v>0</v>
      </c>
    </row>
    <row r="66" customFormat="false" ht="15" hidden="false" customHeight="false" outlineLevel="0" collapsed="false">
      <c r="A66" s="37" t="s">
        <v>62</v>
      </c>
      <c r="B66" s="37" t="s">
        <v>100</v>
      </c>
      <c r="C66" s="37" t="str">
        <f aca="false">INDEX(Data_CostCodes!$B:$B,MATCH($B66,Data_CostCodes!$A:$A,0))</f>
        <v>Earthwork &amp; Excavation</v>
      </c>
      <c r="D66" s="37" t="str">
        <f aca="false">INDEX(Data_CostCodes!$D:$D,MATCH($B66,Data_CostCodes!$A:$A,0))</f>
        <v>Subcontract</v>
      </c>
      <c r="E66" s="38" t="n">
        <f aca="false">SUMIFS(Data_Budgets!$C:$C,Data_Budgets!$A:$A,$A66,Data_Budgets!$B:$B,$B66)</f>
        <v>1048800</v>
      </c>
      <c r="F66" s="38" t="n">
        <f aca="false">SUMIFS(Data_Budgets!$D:$D,Data_Budgets!$A:$A,$A66,Data_Budgets!$B:$B,$B66)</f>
        <v>0</v>
      </c>
      <c r="G66" s="38" t="n">
        <f aca="false">E66+F66</f>
        <v>1048800</v>
      </c>
      <c r="H66" s="38" t="n">
        <f aca="false">SUMIFS(Data_JobCost!$L:$L,Data_JobCost!$D:$D,$A66,Data_JobCost!$E:$E,$B66)</f>
        <v>1007741.88</v>
      </c>
      <c r="I66" s="38" t="n">
        <f aca="false">SUMIFS(Data_Commitments!$E:$E,Data_Commitments!$B:$B,$A66,Data_Commitments!$C:$C,$B66)</f>
        <v>1013400</v>
      </c>
      <c r="J66" s="41" t="n">
        <f aca="false">SUMIFS(Data_Progress!$C:$C,Data_Progress!$A:$A,$A66,Data_Progress!$B:$B,$B66)</f>
        <v>1</v>
      </c>
      <c r="K66" s="38" t="n">
        <f aca="false">G66*J66</f>
        <v>1048800</v>
      </c>
      <c r="L66" s="42" t="n">
        <f aca="false">IF(H66&gt;0,K66/H66,"")</f>
        <v>1.04074269494486</v>
      </c>
      <c r="M66" s="38" t="n">
        <f aca="false">IF(I66&gt;0,MAX(I66,H66),IF(J66&gt;0,H66+(G66-K66)/L66,G66))</f>
        <v>1013400</v>
      </c>
      <c r="N66" s="38" t="n">
        <f aca="false">G66-M66</f>
        <v>35400</v>
      </c>
      <c r="O66" s="38" t="n">
        <f aca="false">M66-H66</f>
        <v>5658.12</v>
      </c>
      <c r="P66" s="43" t="n">
        <f aca="false">SUMIFS(Data_Budgets!$F:$F,Data_Budgets!$A:$A,$A66,Data_Budgets!$B:$B,$B66)</f>
        <v>0</v>
      </c>
      <c r="Q66" s="43" t="n">
        <f aca="false">SUMIFS(Data_JobCost!$K:$K,Data_JobCost!$D:$D,$A66,Data_JobCost!$E:$E,$B66)</f>
        <v>0</v>
      </c>
      <c r="R66" s="43" t="n">
        <f aca="false">P66*J66</f>
        <v>0</v>
      </c>
    </row>
    <row r="67" customFormat="false" ht="15" hidden="false" customHeight="false" outlineLevel="0" collapsed="false">
      <c r="A67" s="37" t="s">
        <v>62</v>
      </c>
      <c r="B67" s="37" t="s">
        <v>101</v>
      </c>
      <c r="C67" s="37" t="str">
        <f aca="false">INDEX(Data_CostCodes!$B:$B,MATCH($B67,Data_CostCodes!$A:$A,0))</f>
        <v>Concrete Formwork</v>
      </c>
      <c r="D67" s="37" t="str">
        <f aca="false">INDEX(Data_CostCodes!$D:$D,MATCH($B67,Data_CostCodes!$A:$A,0))</f>
        <v>Labour</v>
      </c>
      <c r="E67" s="38" t="n">
        <f aca="false">SUMIFS(Data_Budgets!$C:$C,Data_Budgets!$A:$A,$A67,Data_Budgets!$B:$B,$B67)</f>
        <v>1195800</v>
      </c>
      <c r="F67" s="38" t="n">
        <f aca="false">SUMIFS(Data_Budgets!$D:$D,Data_Budgets!$A:$A,$A67,Data_Budgets!$B:$B,$B67)</f>
        <v>0</v>
      </c>
      <c r="G67" s="38" t="n">
        <f aca="false">E67+F67</f>
        <v>1195800</v>
      </c>
      <c r="H67" s="38" t="n">
        <f aca="false">SUMIFS(Data_JobCost!$L:$L,Data_JobCost!$D:$D,$A67,Data_JobCost!$E:$E,$B67)</f>
        <v>1244101.78</v>
      </c>
      <c r="I67" s="38" t="n">
        <f aca="false">SUMIFS(Data_Commitments!$E:$E,Data_Commitments!$B:$B,$A67,Data_Commitments!$C:$C,$B67)</f>
        <v>0</v>
      </c>
      <c r="J67" s="41" t="n">
        <f aca="false">SUMIFS(Data_Progress!$C:$C,Data_Progress!$A:$A,$A67,Data_Progress!$B:$B,$B67)</f>
        <v>1</v>
      </c>
      <c r="K67" s="38" t="n">
        <f aca="false">G67*J67</f>
        <v>1195800</v>
      </c>
      <c r="L67" s="42" t="n">
        <f aca="false">IF(H67&gt;0,K67/H67,"")</f>
        <v>0.961175379075497</v>
      </c>
      <c r="M67" s="38" t="n">
        <f aca="false">IF(I67&gt;0,MAX(I67,H67),IF(J67&gt;0,H67+(G67-K67)/L67,G67))</f>
        <v>1244101.78</v>
      </c>
      <c r="N67" s="38" t="n">
        <f aca="false">G67-M67</f>
        <v>-48301.78</v>
      </c>
      <c r="O67" s="38" t="n">
        <f aca="false">M67-H67</f>
        <v>0</v>
      </c>
      <c r="P67" s="43" t="n">
        <f aca="false">SUMIFS(Data_Budgets!$F:$F,Data_Budgets!$A:$A,$A67,Data_Budgets!$B:$B,$B67)</f>
        <v>16159</v>
      </c>
      <c r="Q67" s="43" t="n">
        <f aca="false">SUMIFS(Data_JobCost!$K:$K,Data_JobCost!$D:$D,$A67,Data_JobCost!$E:$E,$B67)</f>
        <v>16812.3</v>
      </c>
      <c r="R67" s="43" t="n">
        <f aca="false">P67*J67</f>
        <v>16159</v>
      </c>
    </row>
    <row r="68" customFormat="false" ht="15" hidden="false" customHeight="false" outlineLevel="0" collapsed="false">
      <c r="A68" s="37" t="s">
        <v>62</v>
      </c>
      <c r="B68" s="37" t="s">
        <v>102</v>
      </c>
      <c r="C68" s="37" t="str">
        <f aca="false">INDEX(Data_CostCodes!$B:$B,MATCH($B68,Data_CostCodes!$A:$A,0))</f>
        <v>Reinforcing Steel</v>
      </c>
      <c r="D68" s="37" t="str">
        <f aca="false">INDEX(Data_CostCodes!$D:$D,MATCH($B68,Data_CostCodes!$A:$A,0))</f>
        <v>Material</v>
      </c>
      <c r="E68" s="38" t="n">
        <f aca="false">SUMIFS(Data_Budgets!$C:$C,Data_Budgets!$A:$A,$A68,Data_Budgets!$B:$B,$B68)</f>
        <v>822400</v>
      </c>
      <c r="F68" s="38" t="n">
        <f aca="false">SUMIFS(Data_Budgets!$D:$D,Data_Budgets!$A:$A,$A68,Data_Budgets!$B:$B,$B68)</f>
        <v>0</v>
      </c>
      <c r="G68" s="38" t="n">
        <f aca="false">E68+F68</f>
        <v>822400</v>
      </c>
      <c r="H68" s="38" t="n">
        <f aca="false">SUMIFS(Data_JobCost!$L:$L,Data_JobCost!$D:$D,$A68,Data_JobCost!$E:$E,$B68)</f>
        <v>804629.42</v>
      </c>
      <c r="I68" s="38" t="n">
        <f aca="false">SUMIFS(Data_Commitments!$E:$E,Data_Commitments!$B:$B,$A68,Data_Commitments!$C:$C,$B68)</f>
        <v>808000</v>
      </c>
      <c r="J68" s="41" t="n">
        <f aca="false">SUMIFS(Data_Progress!$C:$C,Data_Progress!$A:$A,$A68,Data_Progress!$B:$B,$B68)</f>
        <v>1</v>
      </c>
      <c r="K68" s="38" t="n">
        <f aca="false">G68*J68</f>
        <v>822400</v>
      </c>
      <c r="L68" s="42" t="n">
        <f aca="false">IF(H68&gt;0,K68/H68,"")</f>
        <v>1.02208542163422</v>
      </c>
      <c r="M68" s="38" t="n">
        <f aca="false">IF(I68&gt;0,MAX(I68,H68),IF(J68&gt;0,H68+(G68-K68)/L68,G68))</f>
        <v>808000</v>
      </c>
      <c r="N68" s="38" t="n">
        <f aca="false">G68-M68</f>
        <v>14400</v>
      </c>
      <c r="O68" s="38" t="n">
        <f aca="false">M68-H68</f>
        <v>3370.58000000007</v>
      </c>
      <c r="P68" s="43" t="n">
        <f aca="false">SUMIFS(Data_Budgets!$F:$F,Data_Budgets!$A:$A,$A68,Data_Budgets!$B:$B,$B68)</f>
        <v>0</v>
      </c>
      <c r="Q68" s="43" t="n">
        <f aca="false">SUMIFS(Data_JobCost!$K:$K,Data_JobCost!$D:$D,$A68,Data_JobCost!$E:$E,$B68)</f>
        <v>0</v>
      </c>
      <c r="R68" s="43" t="n">
        <f aca="false">P68*J68</f>
        <v>0</v>
      </c>
    </row>
    <row r="69" customFormat="false" ht="15" hidden="false" customHeight="false" outlineLevel="0" collapsed="false">
      <c r="A69" s="37" t="s">
        <v>62</v>
      </c>
      <c r="B69" s="37" t="s">
        <v>103</v>
      </c>
      <c r="C69" s="37" t="str">
        <f aca="false">INDEX(Data_CostCodes!$B:$B,MATCH($B69,Data_CostCodes!$A:$A,0))</f>
        <v>Cast-in-Place Concrete</v>
      </c>
      <c r="D69" s="37" t="str">
        <f aca="false">INDEX(Data_CostCodes!$D:$D,MATCH($B69,Data_CostCodes!$A:$A,0))</f>
        <v>Material</v>
      </c>
      <c r="E69" s="38" t="n">
        <f aca="false">SUMIFS(Data_Budgets!$C:$C,Data_Budgets!$A:$A,$A69,Data_Budgets!$B:$B,$B69)</f>
        <v>1676400</v>
      </c>
      <c r="F69" s="38" t="n">
        <f aca="false">SUMIFS(Data_Budgets!$D:$D,Data_Budgets!$A:$A,$A69,Data_Budgets!$B:$B,$B69)</f>
        <v>0</v>
      </c>
      <c r="G69" s="38" t="n">
        <f aca="false">E69+F69</f>
        <v>1676400</v>
      </c>
      <c r="H69" s="38" t="n">
        <f aca="false">SUMIFS(Data_JobCost!$L:$L,Data_JobCost!$D:$D,$A69,Data_JobCost!$E:$E,$B69)</f>
        <v>1696698.96</v>
      </c>
      <c r="I69" s="38" t="n">
        <f aca="false">SUMIFS(Data_Commitments!$E:$E,Data_Commitments!$B:$B,$A69,Data_Commitments!$C:$C,$B69)</f>
        <v>1711500</v>
      </c>
      <c r="J69" s="41" t="n">
        <f aca="false">SUMIFS(Data_Progress!$C:$C,Data_Progress!$A:$A,$A69,Data_Progress!$B:$B,$B69)</f>
        <v>1</v>
      </c>
      <c r="K69" s="38" t="n">
        <f aca="false">G69*J69</f>
        <v>1676400</v>
      </c>
      <c r="L69" s="42" t="n">
        <f aca="false">IF(H69&gt;0,K69/H69,"")</f>
        <v>0.98803620413606</v>
      </c>
      <c r="M69" s="38" t="n">
        <f aca="false">IF(I69&gt;0,MAX(I69,H69),IF(J69&gt;0,H69+(G69-K69)/L69,G69))</f>
        <v>1711500</v>
      </c>
      <c r="N69" s="38" t="n">
        <f aca="false">G69-M69</f>
        <v>-35100</v>
      </c>
      <c r="O69" s="38" t="n">
        <f aca="false">M69-H69</f>
        <v>14801.04</v>
      </c>
      <c r="P69" s="43" t="n">
        <f aca="false">SUMIFS(Data_Budgets!$F:$F,Data_Budgets!$A:$A,$A69,Data_Budgets!$B:$B,$B69)</f>
        <v>0</v>
      </c>
      <c r="Q69" s="43" t="n">
        <f aca="false">SUMIFS(Data_JobCost!$K:$K,Data_JobCost!$D:$D,$A69,Data_JobCost!$E:$E,$B69)</f>
        <v>0</v>
      </c>
      <c r="R69" s="43" t="n">
        <f aca="false">P69*J69</f>
        <v>0</v>
      </c>
    </row>
    <row r="70" customFormat="false" ht="15" hidden="false" customHeight="false" outlineLevel="0" collapsed="false">
      <c r="A70" s="37" t="s">
        <v>62</v>
      </c>
      <c r="B70" s="37" t="s">
        <v>104</v>
      </c>
      <c r="C70" s="37" t="str">
        <f aca="false">INDEX(Data_CostCodes!$B:$B,MATCH($B70,Data_CostCodes!$A:$A,0))</f>
        <v>Masonry</v>
      </c>
      <c r="D70" s="37" t="str">
        <f aca="false">INDEX(Data_CostCodes!$D:$D,MATCH($B70,Data_CostCodes!$A:$A,0))</f>
        <v>Subcontract</v>
      </c>
      <c r="E70" s="38" t="n">
        <f aca="false">SUMIFS(Data_Budgets!$C:$C,Data_Budgets!$A:$A,$A70,Data_Budgets!$B:$B,$B70)</f>
        <v>750400</v>
      </c>
      <c r="F70" s="38" t="n">
        <f aca="false">SUMIFS(Data_Budgets!$D:$D,Data_Budgets!$A:$A,$A70,Data_Budgets!$B:$B,$B70)</f>
        <v>0</v>
      </c>
      <c r="G70" s="38" t="n">
        <f aca="false">E70+F70</f>
        <v>750400</v>
      </c>
      <c r="H70" s="38" t="n">
        <f aca="false">SUMIFS(Data_JobCost!$L:$L,Data_JobCost!$D:$D,$A70,Data_JobCost!$E:$E,$B70)</f>
        <v>703399.72</v>
      </c>
      <c r="I70" s="38" t="n">
        <f aca="false">SUMIFS(Data_Commitments!$E:$E,Data_Commitments!$B:$B,$A70,Data_Commitments!$C:$C,$B70)</f>
        <v>720700</v>
      </c>
      <c r="J70" s="41" t="n">
        <f aca="false">SUMIFS(Data_Progress!$C:$C,Data_Progress!$A:$A,$A70,Data_Progress!$B:$B,$B70)</f>
        <v>1</v>
      </c>
      <c r="K70" s="38" t="n">
        <f aca="false">G70*J70</f>
        <v>750400</v>
      </c>
      <c r="L70" s="42" t="n">
        <f aca="false">IF(H70&gt;0,K70/H70,"")</f>
        <v>1.0668187357254</v>
      </c>
      <c r="M70" s="38" t="n">
        <f aca="false">IF(I70&gt;0,MAX(I70,H70),IF(J70&gt;0,H70+(G70-K70)/L70,G70))</f>
        <v>720700</v>
      </c>
      <c r="N70" s="38" t="n">
        <f aca="false">G70-M70</f>
        <v>29700</v>
      </c>
      <c r="O70" s="38" t="n">
        <f aca="false">M70-H70</f>
        <v>17300.28</v>
      </c>
      <c r="P70" s="43" t="n">
        <f aca="false">SUMIFS(Data_Budgets!$F:$F,Data_Budgets!$A:$A,$A70,Data_Budgets!$B:$B,$B70)</f>
        <v>0</v>
      </c>
      <c r="Q70" s="43" t="n">
        <f aca="false">SUMIFS(Data_JobCost!$K:$K,Data_JobCost!$D:$D,$A70,Data_JobCost!$E:$E,$B70)</f>
        <v>0</v>
      </c>
      <c r="R70" s="43" t="n">
        <f aca="false">P70*J70</f>
        <v>0</v>
      </c>
    </row>
    <row r="71" customFormat="false" ht="15" hidden="false" customHeight="false" outlineLevel="0" collapsed="false">
      <c r="A71" s="37" t="s">
        <v>62</v>
      </c>
      <c r="B71" s="37" t="s">
        <v>105</v>
      </c>
      <c r="C71" s="37" t="str">
        <f aca="false">INDEX(Data_CostCodes!$B:$B,MATCH($B71,Data_CostCodes!$A:$A,0))</f>
        <v>Structural Steel</v>
      </c>
      <c r="D71" s="37" t="str">
        <f aca="false">INDEX(Data_CostCodes!$D:$D,MATCH($B71,Data_CostCodes!$A:$A,0))</f>
        <v>Subcontract</v>
      </c>
      <c r="E71" s="38" t="n">
        <f aca="false">SUMIFS(Data_Budgets!$C:$C,Data_Budgets!$A:$A,$A71,Data_Budgets!$B:$B,$B71)</f>
        <v>2435200</v>
      </c>
      <c r="F71" s="38" t="n">
        <f aca="false">SUMIFS(Data_Budgets!$D:$D,Data_Budgets!$A:$A,$A71,Data_Budgets!$B:$B,$B71)</f>
        <v>0</v>
      </c>
      <c r="G71" s="38" t="n">
        <f aca="false">E71+F71</f>
        <v>2435200</v>
      </c>
      <c r="H71" s="38" t="n">
        <f aca="false">SUMIFS(Data_JobCost!$L:$L,Data_JobCost!$D:$D,$A71,Data_JobCost!$E:$E,$B71)</f>
        <v>3051539.5</v>
      </c>
      <c r="I71" s="38" t="n">
        <f aca="false">SUMIFS(Data_Commitments!$E:$E,Data_Commitments!$B:$B,$A71,Data_Commitments!$C:$C,$B71)</f>
        <v>3079300</v>
      </c>
      <c r="J71" s="41" t="n">
        <f aca="false">SUMIFS(Data_Progress!$C:$C,Data_Progress!$A:$A,$A71,Data_Progress!$B:$B,$B71)</f>
        <v>1</v>
      </c>
      <c r="K71" s="38" t="n">
        <f aca="false">G71*J71</f>
        <v>2435200</v>
      </c>
      <c r="L71" s="42" t="n">
        <f aca="false">IF(H71&gt;0,K71/H71,"")</f>
        <v>0.798023423914388</v>
      </c>
      <c r="M71" s="38" t="n">
        <f aca="false">IF(I71&gt;0,MAX(I71,H71),IF(J71&gt;0,H71+(G71-K71)/L71,G71))</f>
        <v>3079300</v>
      </c>
      <c r="N71" s="38" t="n">
        <f aca="false">G71-M71</f>
        <v>-644100</v>
      </c>
      <c r="O71" s="38" t="n">
        <f aca="false">M71-H71</f>
        <v>27760.5</v>
      </c>
      <c r="P71" s="43" t="n">
        <f aca="false">SUMIFS(Data_Budgets!$F:$F,Data_Budgets!$A:$A,$A71,Data_Budgets!$B:$B,$B71)</f>
        <v>0</v>
      </c>
      <c r="Q71" s="43" t="n">
        <f aca="false">SUMIFS(Data_JobCost!$K:$K,Data_JobCost!$D:$D,$A71,Data_JobCost!$E:$E,$B71)</f>
        <v>0</v>
      </c>
      <c r="R71" s="43" t="n">
        <f aca="false">P71*J71</f>
        <v>0</v>
      </c>
    </row>
    <row r="72" customFormat="false" ht="15" hidden="false" customHeight="false" outlineLevel="0" collapsed="false">
      <c r="A72" s="37" t="s">
        <v>62</v>
      </c>
      <c r="B72" s="37" t="s">
        <v>106</v>
      </c>
      <c r="C72" s="37" t="str">
        <f aca="false">INDEX(Data_CostCodes!$B:$B,MATCH($B72,Data_CostCodes!$A:$A,0))</f>
        <v>Rough Carpentry</v>
      </c>
      <c r="D72" s="37" t="str">
        <f aca="false">INDEX(Data_CostCodes!$D:$D,MATCH($B72,Data_CostCodes!$A:$A,0))</f>
        <v>Labour</v>
      </c>
      <c r="E72" s="38" t="n">
        <f aca="false">SUMIFS(Data_Budgets!$C:$C,Data_Budgets!$A:$A,$A72,Data_Budgets!$B:$B,$B72)</f>
        <v>921800</v>
      </c>
      <c r="F72" s="38" t="n">
        <f aca="false">SUMIFS(Data_Budgets!$D:$D,Data_Budgets!$A:$A,$A72,Data_Budgets!$B:$B,$B72)</f>
        <v>0</v>
      </c>
      <c r="G72" s="38" t="n">
        <f aca="false">E72+F72</f>
        <v>921800</v>
      </c>
      <c r="H72" s="38" t="n">
        <f aca="false">SUMIFS(Data_JobCost!$L:$L,Data_JobCost!$D:$D,$A72,Data_JobCost!$E:$E,$B72)</f>
        <v>603665.25</v>
      </c>
      <c r="I72" s="38" t="n">
        <f aca="false">SUMIFS(Data_Commitments!$E:$E,Data_Commitments!$B:$B,$A72,Data_Commitments!$C:$C,$B72)</f>
        <v>0</v>
      </c>
      <c r="J72" s="41" t="n">
        <f aca="false">SUMIFS(Data_Progress!$C:$C,Data_Progress!$A:$A,$A72,Data_Progress!$B:$B,$B72)</f>
        <v>0.664</v>
      </c>
      <c r="K72" s="38" t="n">
        <f aca="false">G72*J72</f>
        <v>612075.2</v>
      </c>
      <c r="L72" s="42" t="n">
        <f aca="false">IF(H72&gt;0,K72/H72,"")</f>
        <v>1.0139314794085</v>
      </c>
      <c r="M72" s="38" t="n">
        <f aca="false">IF(I72&gt;0,MAX(I72,H72),IF(J72&gt;0,H72+(G72-K72)/L72,G72))</f>
        <v>909134.412650602</v>
      </c>
      <c r="N72" s="38" t="n">
        <f aca="false">G72-M72</f>
        <v>12665.5873493977</v>
      </c>
      <c r="O72" s="38" t="n">
        <f aca="false">M72-H72</f>
        <v>305469.162650602</v>
      </c>
      <c r="P72" s="43" t="n">
        <f aca="false">SUMIFS(Data_Budgets!$F:$F,Data_Budgets!$A:$A,$A72,Data_Budgets!$B:$B,$B72)</f>
        <v>12983</v>
      </c>
      <c r="Q72" s="43" t="n">
        <f aca="false">SUMIFS(Data_JobCost!$K:$K,Data_JobCost!$D:$D,$A72,Data_JobCost!$E:$E,$B72)</f>
        <v>8502.2</v>
      </c>
      <c r="R72" s="43" t="n">
        <f aca="false">P72*J72</f>
        <v>8620.712</v>
      </c>
    </row>
    <row r="73" customFormat="false" ht="15" hidden="false" customHeight="false" outlineLevel="0" collapsed="false">
      <c r="A73" s="37" t="s">
        <v>62</v>
      </c>
      <c r="B73" s="37" t="s">
        <v>107</v>
      </c>
      <c r="C73" s="37" t="str">
        <f aca="false">INDEX(Data_CostCodes!$B:$B,MATCH($B73,Data_CostCodes!$A:$A,0))</f>
        <v>Roofing &amp; Insulation</v>
      </c>
      <c r="D73" s="37" t="str">
        <f aca="false">INDEX(Data_CostCodes!$D:$D,MATCH($B73,Data_CostCodes!$A:$A,0))</f>
        <v>Subcontract</v>
      </c>
      <c r="E73" s="38" t="n">
        <f aca="false">SUMIFS(Data_Budgets!$C:$C,Data_Budgets!$A:$A,$A73,Data_Budgets!$B:$B,$B73)</f>
        <v>1544900</v>
      </c>
      <c r="F73" s="38" t="n">
        <f aca="false">SUMIFS(Data_Budgets!$D:$D,Data_Budgets!$A:$A,$A73,Data_Budgets!$B:$B,$B73)</f>
        <v>0</v>
      </c>
      <c r="G73" s="38" t="n">
        <f aca="false">E73+F73</f>
        <v>1544900</v>
      </c>
      <c r="H73" s="38" t="n">
        <f aca="false">SUMIFS(Data_JobCost!$L:$L,Data_JobCost!$D:$D,$A73,Data_JobCost!$E:$E,$B73)</f>
        <v>1248558.64</v>
      </c>
      <c r="I73" s="38" t="n">
        <f aca="false">SUMIFS(Data_Commitments!$E:$E,Data_Commitments!$B:$B,$A73,Data_Commitments!$C:$C,$B73)</f>
        <v>1486700</v>
      </c>
      <c r="J73" s="41" t="n">
        <f aca="false">SUMIFS(Data_Progress!$C:$C,Data_Progress!$A:$A,$A73,Data_Progress!$B:$B,$B73)</f>
        <v>0.855</v>
      </c>
      <c r="K73" s="38" t="n">
        <f aca="false">G73*J73</f>
        <v>1320889.5</v>
      </c>
      <c r="L73" s="42" t="n">
        <f aca="false">IF(H73&gt;0,K73/H73,"")</f>
        <v>1.05793148810375</v>
      </c>
      <c r="M73" s="38" t="n">
        <f aca="false">IF(I73&gt;0,MAX(I73,H73),IF(J73&gt;0,H73+(G73-K73)/L73,G73))</f>
        <v>1486700</v>
      </c>
      <c r="N73" s="38" t="n">
        <f aca="false">G73-M73</f>
        <v>58200</v>
      </c>
      <c r="O73" s="38" t="n">
        <f aca="false">M73-H73</f>
        <v>238141.36</v>
      </c>
      <c r="P73" s="43" t="n">
        <f aca="false">SUMIFS(Data_Budgets!$F:$F,Data_Budgets!$A:$A,$A73,Data_Budgets!$B:$B,$B73)</f>
        <v>0</v>
      </c>
      <c r="Q73" s="43" t="n">
        <f aca="false">SUMIFS(Data_JobCost!$K:$K,Data_JobCost!$D:$D,$A73,Data_JobCost!$E:$E,$B73)</f>
        <v>0</v>
      </c>
      <c r="R73" s="43" t="n">
        <f aca="false">P73*J73</f>
        <v>0</v>
      </c>
    </row>
    <row r="74" customFormat="false" ht="15" hidden="false" customHeight="false" outlineLevel="0" collapsed="false">
      <c r="A74" s="37" t="s">
        <v>62</v>
      </c>
      <c r="B74" s="37" t="s">
        <v>108</v>
      </c>
      <c r="C74" s="37" t="str">
        <f aca="false">INDEX(Data_CostCodes!$B:$B,MATCH($B74,Data_CostCodes!$A:$A,0))</f>
        <v>Doors, Frames &amp; Hardware</v>
      </c>
      <c r="D74" s="37" t="str">
        <f aca="false">INDEX(Data_CostCodes!$D:$D,MATCH($B74,Data_CostCodes!$A:$A,0))</f>
        <v>Material</v>
      </c>
      <c r="E74" s="38" t="n">
        <f aca="false">SUMIFS(Data_Budgets!$C:$C,Data_Budgets!$A:$A,$A74,Data_Budgets!$B:$B,$B74)</f>
        <v>893600</v>
      </c>
      <c r="F74" s="38" t="n">
        <f aca="false">SUMIFS(Data_Budgets!$D:$D,Data_Budgets!$A:$A,$A74,Data_Budgets!$B:$B,$B74)</f>
        <v>0</v>
      </c>
      <c r="G74" s="38" t="n">
        <f aca="false">E74+F74</f>
        <v>893600</v>
      </c>
      <c r="H74" s="38" t="n">
        <f aca="false">SUMIFS(Data_JobCost!$L:$L,Data_JobCost!$D:$D,$A74,Data_JobCost!$E:$E,$B74)</f>
        <v>37275.84</v>
      </c>
      <c r="I74" s="38" t="n">
        <f aca="false">SUMIFS(Data_Commitments!$E:$E,Data_Commitments!$B:$B,$A74,Data_Commitments!$C:$C,$B74)</f>
        <v>908100</v>
      </c>
      <c r="J74" s="41" t="n">
        <f aca="false">SUMIFS(Data_Progress!$C:$C,Data_Progress!$A:$A,$A74,Data_Progress!$B:$B,$B74)</f>
        <v>0.042</v>
      </c>
      <c r="K74" s="38" t="n">
        <f aca="false">G74*J74</f>
        <v>37531.2</v>
      </c>
      <c r="L74" s="42" t="n">
        <f aca="false">IF(H74&gt;0,K74/H74,"")</f>
        <v>1.00685054984676</v>
      </c>
      <c r="M74" s="38" t="n">
        <f aca="false">IF(I74&gt;0,MAX(I74,H74),IF(J74&gt;0,H74+(G74-K74)/L74,G74))</f>
        <v>908100</v>
      </c>
      <c r="N74" s="38" t="n">
        <f aca="false">G74-M74</f>
        <v>-14500</v>
      </c>
      <c r="O74" s="38" t="n">
        <f aca="false">M74-H74</f>
        <v>870824.16</v>
      </c>
      <c r="P74" s="43" t="n">
        <f aca="false">SUMIFS(Data_Budgets!$F:$F,Data_Budgets!$A:$A,$A74,Data_Budgets!$B:$B,$B74)</f>
        <v>0</v>
      </c>
      <c r="Q74" s="43" t="n">
        <f aca="false">SUMIFS(Data_JobCost!$K:$K,Data_JobCost!$D:$D,$A74,Data_JobCost!$E:$E,$B74)</f>
        <v>0</v>
      </c>
      <c r="R74" s="43" t="n">
        <f aca="false">P74*J74</f>
        <v>0</v>
      </c>
    </row>
    <row r="75" customFormat="false" ht="15" hidden="false" customHeight="false" outlineLevel="0" collapsed="false">
      <c r="A75" s="37" t="s">
        <v>62</v>
      </c>
      <c r="B75" s="37" t="s">
        <v>109</v>
      </c>
      <c r="C75" s="37" t="str">
        <f aca="false">INDEX(Data_CostCodes!$B:$B,MATCH($B75,Data_CostCodes!$A:$A,0))</f>
        <v>Drywall &amp; Finishes</v>
      </c>
      <c r="D75" s="37" t="str">
        <f aca="false">INDEX(Data_CostCodes!$D:$D,MATCH($B75,Data_CostCodes!$A:$A,0))</f>
        <v>Subcontract</v>
      </c>
      <c r="E75" s="38" t="n">
        <f aca="false">SUMIFS(Data_Budgets!$C:$C,Data_Budgets!$A:$A,$A75,Data_Budgets!$B:$B,$B75)</f>
        <v>1997100</v>
      </c>
      <c r="F75" s="38" t="n">
        <f aca="false">SUMIFS(Data_Budgets!$D:$D,Data_Budgets!$A:$A,$A75,Data_Budgets!$B:$B,$B75)</f>
        <v>492700</v>
      </c>
      <c r="G75" s="38" t="n">
        <f aca="false">E75+F75</f>
        <v>2489800</v>
      </c>
      <c r="H75" s="38" t="n">
        <f aca="false">SUMIFS(Data_JobCost!$L:$L,Data_JobCost!$D:$D,$A75,Data_JobCost!$E:$E,$B75)</f>
        <v>94023.73</v>
      </c>
      <c r="I75" s="38" t="n">
        <f aca="false">SUMIFS(Data_Commitments!$E:$E,Data_Commitments!$B:$B,$A75,Data_Commitments!$C:$C,$B75)</f>
        <v>2550500</v>
      </c>
      <c r="J75" s="41" t="n">
        <f aca="false">SUMIFS(Data_Progress!$C:$C,Data_Progress!$A:$A,$A75,Data_Progress!$B:$B,$B75)</f>
        <v>0.037</v>
      </c>
      <c r="K75" s="38" t="n">
        <f aca="false">G75*J75</f>
        <v>92122.6</v>
      </c>
      <c r="L75" s="42" t="n">
        <f aca="false">IF(H75&gt;0,K75/H75,"")</f>
        <v>0.979780317160359</v>
      </c>
      <c r="M75" s="38" t="n">
        <f aca="false">IF(I75&gt;0,MAX(I75,H75),IF(J75&gt;0,H75+(G75-K75)/L75,G75))</f>
        <v>2550500</v>
      </c>
      <c r="N75" s="38" t="n">
        <f aca="false">G75-M75</f>
        <v>-60700</v>
      </c>
      <c r="O75" s="38" t="n">
        <f aca="false">M75-H75</f>
        <v>2456476.27</v>
      </c>
      <c r="P75" s="43" t="n">
        <f aca="false">SUMIFS(Data_Budgets!$F:$F,Data_Budgets!$A:$A,$A75,Data_Budgets!$B:$B,$B75)</f>
        <v>0</v>
      </c>
      <c r="Q75" s="43" t="n">
        <f aca="false">SUMIFS(Data_JobCost!$K:$K,Data_JobCost!$D:$D,$A75,Data_JobCost!$E:$E,$B75)</f>
        <v>0</v>
      </c>
      <c r="R75" s="43" t="n">
        <f aca="false">P75*J75</f>
        <v>0</v>
      </c>
    </row>
    <row r="76" customFormat="false" ht="15" hidden="false" customHeight="false" outlineLevel="0" collapsed="false">
      <c r="A76" s="37" t="s">
        <v>62</v>
      </c>
      <c r="B76" s="37" t="s">
        <v>110</v>
      </c>
      <c r="C76" s="37" t="str">
        <f aca="false">INDEX(Data_CostCodes!$B:$B,MATCH($B76,Data_CostCodes!$A:$A,0))</f>
        <v>Mechanical</v>
      </c>
      <c r="D76" s="37" t="str">
        <f aca="false">INDEX(Data_CostCodes!$D:$D,MATCH($B76,Data_CostCodes!$A:$A,0))</f>
        <v>Subcontract</v>
      </c>
      <c r="E76" s="38" t="n">
        <f aca="false">SUMIFS(Data_Budgets!$C:$C,Data_Budgets!$A:$A,$A76,Data_Budgets!$B:$B,$B76)</f>
        <v>3272600</v>
      </c>
      <c r="F76" s="38" t="n">
        <f aca="false">SUMIFS(Data_Budgets!$D:$D,Data_Budgets!$A:$A,$A76,Data_Budgets!$B:$B,$B76)</f>
        <v>0</v>
      </c>
      <c r="G76" s="38" t="n">
        <f aca="false">E76+F76</f>
        <v>3272600</v>
      </c>
      <c r="H76" s="38" t="n">
        <f aca="false">SUMIFS(Data_JobCost!$L:$L,Data_JobCost!$D:$D,$A76,Data_JobCost!$E:$E,$B76)</f>
        <v>1629187.61</v>
      </c>
      <c r="I76" s="38" t="n">
        <f aca="false">SUMIFS(Data_Commitments!$E:$E,Data_Commitments!$B:$B,$A76,Data_Commitments!$C:$C,$B76)</f>
        <v>3362800</v>
      </c>
      <c r="J76" s="41" t="n">
        <f aca="false">SUMIFS(Data_Progress!$C:$C,Data_Progress!$A:$A,$A76,Data_Progress!$B:$B,$B76)</f>
        <v>0.493</v>
      </c>
      <c r="K76" s="38" t="n">
        <f aca="false">G76*J76</f>
        <v>1613391.8</v>
      </c>
      <c r="L76" s="42" t="n">
        <f aca="false">IF(H76&gt;0,K76/H76,"")</f>
        <v>0.990304486786516</v>
      </c>
      <c r="M76" s="38" t="n">
        <f aca="false">IF(I76&gt;0,MAX(I76,H76),IF(J76&gt;0,H76+(G76-K76)/L76,G76))</f>
        <v>3362800</v>
      </c>
      <c r="N76" s="38" t="n">
        <f aca="false">G76-M76</f>
        <v>-90200</v>
      </c>
      <c r="O76" s="38" t="n">
        <f aca="false">M76-H76</f>
        <v>1733612.39</v>
      </c>
      <c r="P76" s="43" t="n">
        <f aca="false">SUMIFS(Data_Budgets!$F:$F,Data_Budgets!$A:$A,$A76,Data_Budgets!$B:$B,$B76)</f>
        <v>0</v>
      </c>
      <c r="Q76" s="43" t="n">
        <f aca="false">SUMIFS(Data_JobCost!$K:$K,Data_JobCost!$D:$D,$A76,Data_JobCost!$E:$E,$B76)</f>
        <v>0</v>
      </c>
      <c r="R76" s="43" t="n">
        <f aca="false">P76*J76</f>
        <v>0</v>
      </c>
    </row>
    <row r="77" customFormat="false" ht="15" hidden="false" customHeight="false" outlineLevel="0" collapsed="false">
      <c r="A77" s="37" t="s">
        <v>62</v>
      </c>
      <c r="B77" s="37" t="s">
        <v>111</v>
      </c>
      <c r="C77" s="37" t="str">
        <f aca="false">INDEX(Data_CostCodes!$B:$B,MATCH($B77,Data_CostCodes!$A:$A,0))</f>
        <v>Electrical</v>
      </c>
      <c r="D77" s="37" t="str">
        <f aca="false">INDEX(Data_CostCodes!$D:$D,MATCH($B77,Data_CostCodes!$A:$A,0))</f>
        <v>Subcontract</v>
      </c>
      <c r="E77" s="38" t="n">
        <f aca="false">SUMIFS(Data_Budgets!$C:$C,Data_Budgets!$A:$A,$A77,Data_Budgets!$B:$B,$B77)</f>
        <v>2516600</v>
      </c>
      <c r="F77" s="38" t="n">
        <f aca="false">SUMIFS(Data_Budgets!$D:$D,Data_Budgets!$A:$A,$A77,Data_Budgets!$B:$B,$B77)</f>
        <v>0</v>
      </c>
      <c r="G77" s="38" t="n">
        <f aca="false">E77+F77</f>
        <v>2516600</v>
      </c>
      <c r="H77" s="38" t="n">
        <f aca="false">SUMIFS(Data_JobCost!$L:$L,Data_JobCost!$D:$D,$A77,Data_JobCost!$E:$E,$B77)</f>
        <v>1283961.58</v>
      </c>
      <c r="I77" s="38" t="n">
        <f aca="false">SUMIFS(Data_Commitments!$E:$E,Data_Commitments!$B:$B,$A77,Data_Commitments!$C:$C,$B77)</f>
        <v>2554100</v>
      </c>
      <c r="J77" s="41" t="n">
        <f aca="false">SUMIFS(Data_Progress!$C:$C,Data_Progress!$A:$A,$A77,Data_Progress!$B:$B,$B77)</f>
        <v>0.509</v>
      </c>
      <c r="K77" s="38" t="n">
        <f aca="false">G77*J77</f>
        <v>1280949.4</v>
      </c>
      <c r="L77" s="42" t="n">
        <f aca="false">IF(H77&gt;0,K77/H77,"")</f>
        <v>0.997653995223128</v>
      </c>
      <c r="M77" s="38" t="n">
        <f aca="false">IF(I77&gt;0,MAX(I77,H77),IF(J77&gt;0,H77+(G77-K77)/L77,G77))</f>
        <v>2554100</v>
      </c>
      <c r="N77" s="38" t="n">
        <f aca="false">G77-M77</f>
        <v>-37500</v>
      </c>
      <c r="O77" s="38" t="n">
        <f aca="false">M77-H77</f>
        <v>1270138.42</v>
      </c>
      <c r="P77" s="43" t="n">
        <f aca="false">SUMIFS(Data_Budgets!$F:$F,Data_Budgets!$A:$A,$A77,Data_Budgets!$B:$B,$B77)</f>
        <v>0</v>
      </c>
      <c r="Q77" s="43" t="n">
        <f aca="false">SUMIFS(Data_JobCost!$K:$K,Data_JobCost!$D:$D,$A77,Data_JobCost!$E:$E,$B77)</f>
        <v>0</v>
      </c>
      <c r="R77" s="43" t="n">
        <f aca="false">P77*J77</f>
        <v>0</v>
      </c>
    </row>
    <row r="78" customFormat="false" ht="15" hidden="false" customHeight="false" outlineLevel="0" collapsed="false">
      <c r="A78" s="37" t="s">
        <v>63</v>
      </c>
      <c r="B78" s="37" t="s">
        <v>97</v>
      </c>
      <c r="C78" s="37" t="str">
        <f aca="false">INDEX(Data_CostCodes!$B:$B,MATCH($B78,Data_CostCodes!$A:$A,0))</f>
        <v>General Conditions - Supervision</v>
      </c>
      <c r="D78" s="37" t="str">
        <f aca="false">INDEX(Data_CostCodes!$D:$D,MATCH($B78,Data_CostCodes!$A:$A,0))</f>
        <v>Labour</v>
      </c>
      <c r="E78" s="38" t="n">
        <f aca="false">SUMIFS(Data_Budgets!$C:$C,Data_Budgets!$A:$A,$A78,Data_Budgets!$B:$B,$B78)</f>
        <v>787900</v>
      </c>
      <c r="F78" s="38" t="n">
        <f aca="false">SUMIFS(Data_Budgets!$D:$D,Data_Budgets!$A:$A,$A78,Data_Budgets!$B:$B,$B78)</f>
        <v>0</v>
      </c>
      <c r="G78" s="38" t="n">
        <f aca="false">E78+F78</f>
        <v>787900</v>
      </c>
      <c r="H78" s="38" t="n">
        <f aca="false">SUMIFS(Data_JobCost!$L:$L,Data_JobCost!$D:$D,$A78,Data_JobCost!$E:$E,$B78)</f>
        <v>742454.25</v>
      </c>
      <c r="I78" s="38" t="n">
        <f aca="false">SUMIFS(Data_Commitments!$E:$E,Data_Commitments!$B:$B,$A78,Data_Commitments!$C:$C,$B78)</f>
        <v>0</v>
      </c>
      <c r="J78" s="41" t="n">
        <f aca="false">SUMIFS(Data_Progress!$C:$C,Data_Progress!$A:$A,$A78,Data_Progress!$B:$B,$B78)</f>
        <v>0.947</v>
      </c>
      <c r="K78" s="38" t="n">
        <f aca="false">G78*J78</f>
        <v>746141.3</v>
      </c>
      <c r="L78" s="42" t="n">
        <f aca="false">IF(H78&gt;0,K78/H78,"")</f>
        <v>1.00496602989342</v>
      </c>
      <c r="M78" s="38" t="n">
        <f aca="false">IF(I78&gt;0,MAX(I78,H78),IF(J78&gt;0,H78+(G78-K78)/L78,G78))</f>
        <v>784006.599788807</v>
      </c>
      <c r="N78" s="38" t="n">
        <f aca="false">G78-M78</f>
        <v>3893.40021119313</v>
      </c>
      <c r="O78" s="38" t="n">
        <f aca="false">M78-H78</f>
        <v>41552.3497888069</v>
      </c>
      <c r="P78" s="43" t="n">
        <f aca="false">SUMIFS(Data_Budgets!$F:$F,Data_Budgets!$A:$A,$A78,Data_Budgets!$B:$B,$B78)</f>
        <v>8564</v>
      </c>
      <c r="Q78" s="43" t="n">
        <f aca="false">SUMIFS(Data_JobCost!$K:$K,Data_JobCost!$D:$D,$A78,Data_JobCost!$E:$E,$B78)</f>
        <v>8070.3</v>
      </c>
      <c r="R78" s="43" t="n">
        <f aca="false">P78*J78</f>
        <v>8110.108</v>
      </c>
    </row>
    <row r="79" customFormat="false" ht="15" hidden="false" customHeight="false" outlineLevel="0" collapsed="false">
      <c r="A79" s="37" t="s">
        <v>63</v>
      </c>
      <c r="B79" s="37" t="s">
        <v>98</v>
      </c>
      <c r="C79" s="37" t="str">
        <f aca="false">INDEX(Data_CostCodes!$B:$B,MATCH($B79,Data_CostCodes!$A:$A,0))</f>
        <v>Site Facilities &amp; Temp Services</v>
      </c>
      <c r="D79" s="37" t="str">
        <f aca="false">INDEX(Data_CostCodes!$D:$D,MATCH($B79,Data_CostCodes!$A:$A,0))</f>
        <v>Other</v>
      </c>
      <c r="E79" s="38" t="n">
        <f aca="false">SUMIFS(Data_Budgets!$C:$C,Data_Budgets!$A:$A,$A79,Data_Budgets!$B:$B,$B79)</f>
        <v>232200</v>
      </c>
      <c r="F79" s="38" t="n">
        <f aca="false">SUMIFS(Data_Budgets!$D:$D,Data_Budgets!$A:$A,$A79,Data_Budgets!$B:$B,$B79)</f>
        <v>0</v>
      </c>
      <c r="G79" s="38" t="n">
        <f aca="false">E79+F79</f>
        <v>232200</v>
      </c>
      <c r="H79" s="38" t="n">
        <f aca="false">SUMIFS(Data_JobCost!$L:$L,Data_JobCost!$D:$D,$A79,Data_JobCost!$E:$E,$B79)</f>
        <v>218491.96</v>
      </c>
      <c r="I79" s="38" t="n">
        <f aca="false">SUMIFS(Data_Commitments!$E:$E,Data_Commitments!$B:$B,$A79,Data_Commitments!$C:$C,$B79)</f>
        <v>0</v>
      </c>
      <c r="J79" s="41" t="n">
        <f aca="false">SUMIFS(Data_Progress!$C:$C,Data_Progress!$A:$A,$A79,Data_Progress!$B:$B,$B79)</f>
        <v>0.919</v>
      </c>
      <c r="K79" s="38" t="n">
        <f aca="false">G79*J79</f>
        <v>213391.8</v>
      </c>
      <c r="L79" s="42" t="n">
        <f aca="false">IF(H79&gt;0,K79/H79,"")</f>
        <v>0.976657447715696</v>
      </c>
      <c r="M79" s="38" t="n">
        <f aca="false">IF(I79&gt;0,MAX(I79,H79),IF(J79&gt;0,H79+(G79-K79)/L79,G79))</f>
        <v>237749.684439608</v>
      </c>
      <c r="N79" s="38" t="n">
        <f aca="false">G79-M79</f>
        <v>-5549.68443960825</v>
      </c>
      <c r="O79" s="38" t="n">
        <f aca="false">M79-H79</f>
        <v>19257.7244396083</v>
      </c>
      <c r="P79" s="43" t="n">
        <f aca="false">SUMIFS(Data_Budgets!$F:$F,Data_Budgets!$A:$A,$A79,Data_Budgets!$B:$B,$B79)</f>
        <v>0</v>
      </c>
      <c r="Q79" s="43" t="n">
        <f aca="false">SUMIFS(Data_JobCost!$K:$K,Data_JobCost!$D:$D,$A79,Data_JobCost!$E:$E,$B79)</f>
        <v>0</v>
      </c>
      <c r="R79" s="43" t="n">
        <f aca="false">P79*J79</f>
        <v>0</v>
      </c>
    </row>
    <row r="80" customFormat="false" ht="15" hidden="false" customHeight="false" outlineLevel="0" collapsed="false">
      <c r="A80" s="37" t="s">
        <v>63</v>
      </c>
      <c r="B80" s="37" t="s">
        <v>99</v>
      </c>
      <c r="C80" s="37" t="str">
        <f aca="false">INDEX(Data_CostCodes!$B:$B,MATCH($B80,Data_CostCodes!$A:$A,0))</f>
        <v>Equipment Rental</v>
      </c>
      <c r="D80" s="37" t="str">
        <f aca="false">INDEX(Data_CostCodes!$D:$D,MATCH($B80,Data_CostCodes!$A:$A,0))</f>
        <v>Equipment</v>
      </c>
      <c r="E80" s="38" t="n">
        <f aca="false">SUMIFS(Data_Budgets!$C:$C,Data_Budgets!$A:$A,$A80,Data_Budgets!$B:$B,$B80)</f>
        <v>205900</v>
      </c>
      <c r="F80" s="38" t="n">
        <f aca="false">SUMIFS(Data_Budgets!$D:$D,Data_Budgets!$A:$A,$A80,Data_Budgets!$B:$B,$B80)</f>
        <v>59600</v>
      </c>
      <c r="G80" s="38" t="n">
        <f aca="false">E80+F80</f>
        <v>265500</v>
      </c>
      <c r="H80" s="38" t="n">
        <f aca="false">SUMIFS(Data_JobCost!$L:$L,Data_JobCost!$D:$D,$A80,Data_JobCost!$E:$E,$B80)</f>
        <v>258929.42</v>
      </c>
      <c r="I80" s="38" t="n">
        <f aca="false">SUMIFS(Data_Commitments!$E:$E,Data_Commitments!$B:$B,$A80,Data_Commitments!$C:$C,$B80)</f>
        <v>0</v>
      </c>
      <c r="J80" s="41" t="n">
        <f aca="false">SUMIFS(Data_Progress!$C:$C,Data_Progress!$A:$A,$A80,Data_Progress!$B:$B,$B80)</f>
        <v>1</v>
      </c>
      <c r="K80" s="38" t="n">
        <f aca="false">G80*J80</f>
        <v>265500</v>
      </c>
      <c r="L80" s="42" t="n">
        <f aca="false">IF(H80&gt;0,K80/H80,"")</f>
        <v>1.02537594994034</v>
      </c>
      <c r="M80" s="38" t="n">
        <f aca="false">IF(I80&gt;0,MAX(I80,H80),IF(J80&gt;0,H80+(G80-K80)/L80,G80))</f>
        <v>258929.42</v>
      </c>
      <c r="N80" s="38" t="n">
        <f aca="false">G80-M80</f>
        <v>6570.58000000002</v>
      </c>
      <c r="O80" s="38" t="n">
        <f aca="false">M80-H80</f>
        <v>0</v>
      </c>
      <c r="P80" s="43" t="n">
        <f aca="false">SUMIFS(Data_Budgets!$F:$F,Data_Budgets!$A:$A,$A80,Data_Budgets!$B:$B,$B80)</f>
        <v>0</v>
      </c>
      <c r="Q80" s="43" t="n">
        <f aca="false">SUMIFS(Data_JobCost!$K:$K,Data_JobCost!$D:$D,$A80,Data_JobCost!$E:$E,$B80)</f>
        <v>0</v>
      </c>
      <c r="R80" s="43" t="n">
        <f aca="false">P80*J80</f>
        <v>0</v>
      </c>
    </row>
    <row r="81" customFormat="false" ht="15" hidden="false" customHeight="false" outlineLevel="0" collapsed="false">
      <c r="A81" s="37" t="s">
        <v>63</v>
      </c>
      <c r="B81" s="37" t="s">
        <v>100</v>
      </c>
      <c r="C81" s="37" t="str">
        <f aca="false">INDEX(Data_CostCodes!$B:$B,MATCH($B81,Data_CostCodes!$A:$A,0))</f>
        <v>Earthwork &amp; Excavation</v>
      </c>
      <c r="D81" s="37" t="str">
        <f aca="false">INDEX(Data_CostCodes!$D:$D,MATCH($B81,Data_CostCodes!$A:$A,0))</f>
        <v>Subcontract</v>
      </c>
      <c r="E81" s="38" t="n">
        <f aca="false">SUMIFS(Data_Budgets!$C:$C,Data_Budgets!$A:$A,$A81,Data_Budgets!$B:$B,$B81)</f>
        <v>309200</v>
      </c>
      <c r="F81" s="38" t="n">
        <f aca="false">SUMIFS(Data_Budgets!$D:$D,Data_Budgets!$A:$A,$A81,Data_Budgets!$B:$B,$B81)</f>
        <v>0</v>
      </c>
      <c r="G81" s="38" t="n">
        <f aca="false">E81+F81</f>
        <v>309200</v>
      </c>
      <c r="H81" s="38" t="n">
        <f aca="false">SUMIFS(Data_JobCost!$L:$L,Data_JobCost!$D:$D,$A81,Data_JobCost!$E:$E,$B81)</f>
        <v>308006.35</v>
      </c>
      <c r="I81" s="38" t="n">
        <f aca="false">SUMIFS(Data_Commitments!$E:$E,Data_Commitments!$B:$B,$A81,Data_Commitments!$C:$C,$B81)</f>
        <v>315700</v>
      </c>
      <c r="J81" s="41" t="n">
        <f aca="false">SUMIFS(Data_Progress!$C:$C,Data_Progress!$A:$A,$A81,Data_Progress!$B:$B,$B81)</f>
        <v>1</v>
      </c>
      <c r="K81" s="38" t="n">
        <f aca="false">G81*J81</f>
        <v>309200</v>
      </c>
      <c r="L81" s="42" t="n">
        <f aca="false">IF(H81&gt;0,K81/H81,"")</f>
        <v>1.00387540711417</v>
      </c>
      <c r="M81" s="38" t="n">
        <f aca="false">IF(I81&gt;0,MAX(I81,H81),IF(J81&gt;0,H81+(G81-K81)/L81,G81))</f>
        <v>315700</v>
      </c>
      <c r="N81" s="38" t="n">
        <f aca="false">G81-M81</f>
        <v>-6500</v>
      </c>
      <c r="O81" s="38" t="n">
        <f aca="false">M81-H81</f>
        <v>7693.65000000002</v>
      </c>
      <c r="P81" s="43" t="n">
        <f aca="false">SUMIFS(Data_Budgets!$F:$F,Data_Budgets!$A:$A,$A81,Data_Budgets!$B:$B,$B81)</f>
        <v>0</v>
      </c>
      <c r="Q81" s="43" t="n">
        <f aca="false">SUMIFS(Data_JobCost!$K:$K,Data_JobCost!$D:$D,$A81,Data_JobCost!$E:$E,$B81)</f>
        <v>0</v>
      </c>
      <c r="R81" s="43" t="n">
        <f aca="false">P81*J81</f>
        <v>0</v>
      </c>
    </row>
    <row r="82" customFormat="false" ht="15" hidden="false" customHeight="false" outlineLevel="0" collapsed="false">
      <c r="A82" s="37" t="s">
        <v>63</v>
      </c>
      <c r="B82" s="37" t="s">
        <v>101</v>
      </c>
      <c r="C82" s="37" t="str">
        <f aca="false">INDEX(Data_CostCodes!$B:$B,MATCH($B82,Data_CostCodes!$A:$A,0))</f>
        <v>Concrete Formwork</v>
      </c>
      <c r="D82" s="37" t="str">
        <f aca="false">INDEX(Data_CostCodes!$D:$D,MATCH($B82,Data_CostCodes!$A:$A,0))</f>
        <v>Labour</v>
      </c>
      <c r="E82" s="38" t="n">
        <f aca="false">SUMIFS(Data_Budgets!$C:$C,Data_Budgets!$A:$A,$A82,Data_Budgets!$B:$B,$B82)</f>
        <v>419000</v>
      </c>
      <c r="F82" s="38" t="n">
        <f aca="false">SUMIFS(Data_Budgets!$D:$D,Data_Budgets!$A:$A,$A82,Data_Budgets!$B:$B,$B82)</f>
        <v>0</v>
      </c>
      <c r="G82" s="38" t="n">
        <f aca="false">E82+F82</f>
        <v>419000</v>
      </c>
      <c r="H82" s="38" t="n">
        <f aca="false">SUMIFS(Data_JobCost!$L:$L,Data_JobCost!$D:$D,$A82,Data_JobCost!$E:$E,$B82)</f>
        <v>402636.38</v>
      </c>
      <c r="I82" s="38" t="n">
        <f aca="false">SUMIFS(Data_Commitments!$E:$E,Data_Commitments!$B:$B,$A82,Data_Commitments!$C:$C,$B82)</f>
        <v>0</v>
      </c>
      <c r="J82" s="41" t="n">
        <f aca="false">SUMIFS(Data_Progress!$C:$C,Data_Progress!$A:$A,$A82,Data_Progress!$B:$B,$B82)</f>
        <v>1</v>
      </c>
      <c r="K82" s="38" t="n">
        <f aca="false">G82*J82</f>
        <v>419000</v>
      </c>
      <c r="L82" s="42" t="n">
        <f aca="false">IF(H82&gt;0,K82/H82,"")</f>
        <v>1.0406411859753</v>
      </c>
      <c r="M82" s="38" t="n">
        <f aca="false">IF(I82&gt;0,MAX(I82,H82),IF(J82&gt;0,H82+(G82-K82)/L82,G82))</f>
        <v>402636.38</v>
      </c>
      <c r="N82" s="38" t="n">
        <f aca="false">G82-M82</f>
        <v>16363.62</v>
      </c>
      <c r="O82" s="38" t="n">
        <f aca="false">M82-H82</f>
        <v>0</v>
      </c>
      <c r="P82" s="43" t="n">
        <f aca="false">SUMIFS(Data_Budgets!$F:$F,Data_Budgets!$A:$A,$A82,Data_Budgets!$B:$B,$B82)</f>
        <v>5662</v>
      </c>
      <c r="Q82" s="43" t="n">
        <f aca="false">SUMIFS(Data_JobCost!$K:$K,Data_JobCost!$D:$D,$A82,Data_JobCost!$E:$E,$B82)</f>
        <v>5440.6</v>
      </c>
      <c r="R82" s="43" t="n">
        <f aca="false">P82*J82</f>
        <v>5662</v>
      </c>
    </row>
    <row r="83" customFormat="false" ht="15" hidden="false" customHeight="false" outlineLevel="0" collapsed="false">
      <c r="A83" s="37" t="s">
        <v>63</v>
      </c>
      <c r="B83" s="37" t="s">
        <v>102</v>
      </c>
      <c r="C83" s="37" t="str">
        <f aca="false">INDEX(Data_CostCodes!$B:$B,MATCH($B83,Data_CostCodes!$A:$A,0))</f>
        <v>Reinforcing Steel</v>
      </c>
      <c r="D83" s="37" t="str">
        <f aca="false">INDEX(Data_CostCodes!$D:$D,MATCH($B83,Data_CostCodes!$A:$A,0))</f>
        <v>Material</v>
      </c>
      <c r="E83" s="38" t="n">
        <f aca="false">SUMIFS(Data_Budgets!$C:$C,Data_Budgets!$A:$A,$A83,Data_Budgets!$B:$B,$B83)</f>
        <v>280000</v>
      </c>
      <c r="F83" s="38" t="n">
        <f aca="false">SUMIFS(Data_Budgets!$D:$D,Data_Budgets!$A:$A,$A83,Data_Budgets!$B:$B,$B83)</f>
        <v>0</v>
      </c>
      <c r="G83" s="38" t="n">
        <f aca="false">E83+F83</f>
        <v>280000</v>
      </c>
      <c r="H83" s="38" t="n">
        <f aca="false">SUMIFS(Data_JobCost!$L:$L,Data_JobCost!$D:$D,$A83,Data_JobCost!$E:$E,$B83)</f>
        <v>284177.08</v>
      </c>
      <c r="I83" s="38" t="n">
        <f aca="false">SUMIFS(Data_Commitments!$E:$E,Data_Commitments!$B:$B,$A83,Data_Commitments!$C:$C,$B83)</f>
        <v>287900</v>
      </c>
      <c r="J83" s="41" t="n">
        <f aca="false">SUMIFS(Data_Progress!$C:$C,Data_Progress!$A:$A,$A83,Data_Progress!$B:$B,$B83)</f>
        <v>1</v>
      </c>
      <c r="K83" s="38" t="n">
        <f aca="false">G83*J83</f>
        <v>280000</v>
      </c>
      <c r="L83" s="42" t="n">
        <f aca="false">IF(H83&gt;0,K83/H83,"")</f>
        <v>0.985301136882679</v>
      </c>
      <c r="M83" s="38" t="n">
        <f aca="false">IF(I83&gt;0,MAX(I83,H83),IF(J83&gt;0,H83+(G83-K83)/L83,G83))</f>
        <v>287900</v>
      </c>
      <c r="N83" s="38" t="n">
        <f aca="false">G83-M83</f>
        <v>-7900</v>
      </c>
      <c r="O83" s="38" t="n">
        <f aca="false">M83-H83</f>
        <v>3722.91999999998</v>
      </c>
      <c r="P83" s="43" t="n">
        <f aca="false">SUMIFS(Data_Budgets!$F:$F,Data_Budgets!$A:$A,$A83,Data_Budgets!$B:$B,$B83)</f>
        <v>0</v>
      </c>
      <c r="Q83" s="43" t="n">
        <f aca="false">SUMIFS(Data_JobCost!$K:$K,Data_JobCost!$D:$D,$A83,Data_JobCost!$E:$E,$B83)</f>
        <v>0</v>
      </c>
      <c r="R83" s="43" t="n">
        <f aca="false">P83*J83</f>
        <v>0</v>
      </c>
    </row>
    <row r="84" customFormat="false" ht="15" hidden="false" customHeight="false" outlineLevel="0" collapsed="false">
      <c r="A84" s="37" t="s">
        <v>63</v>
      </c>
      <c r="B84" s="37" t="s">
        <v>103</v>
      </c>
      <c r="C84" s="37" t="str">
        <f aca="false">INDEX(Data_CostCodes!$B:$B,MATCH($B84,Data_CostCodes!$A:$A,0))</f>
        <v>Cast-in-Place Concrete</v>
      </c>
      <c r="D84" s="37" t="str">
        <f aca="false">INDEX(Data_CostCodes!$D:$D,MATCH($B84,Data_CostCodes!$A:$A,0))</f>
        <v>Material</v>
      </c>
      <c r="E84" s="38" t="n">
        <f aca="false">SUMIFS(Data_Budgets!$C:$C,Data_Budgets!$A:$A,$A84,Data_Budgets!$B:$B,$B84)</f>
        <v>512100</v>
      </c>
      <c r="F84" s="38" t="n">
        <f aca="false">SUMIFS(Data_Budgets!$D:$D,Data_Budgets!$A:$A,$A84,Data_Budgets!$B:$B,$B84)</f>
        <v>0</v>
      </c>
      <c r="G84" s="38" t="n">
        <f aca="false">E84+F84</f>
        <v>512100</v>
      </c>
      <c r="H84" s="38" t="n">
        <f aca="false">SUMIFS(Data_JobCost!$L:$L,Data_JobCost!$D:$D,$A84,Data_JobCost!$E:$E,$B84)</f>
        <v>508704.12</v>
      </c>
      <c r="I84" s="38" t="n">
        <f aca="false">SUMIFS(Data_Commitments!$E:$E,Data_Commitments!$B:$B,$A84,Data_Commitments!$C:$C,$B84)</f>
        <v>518400</v>
      </c>
      <c r="J84" s="41" t="n">
        <f aca="false">SUMIFS(Data_Progress!$C:$C,Data_Progress!$A:$A,$A84,Data_Progress!$B:$B,$B84)</f>
        <v>1</v>
      </c>
      <c r="K84" s="38" t="n">
        <f aca="false">G84*J84</f>
        <v>512100</v>
      </c>
      <c r="L84" s="42" t="n">
        <f aca="false">IF(H84&gt;0,K84/H84,"")</f>
        <v>1.00667555041622</v>
      </c>
      <c r="M84" s="38" t="n">
        <f aca="false">IF(I84&gt;0,MAX(I84,H84),IF(J84&gt;0,H84+(G84-K84)/L84,G84))</f>
        <v>518400</v>
      </c>
      <c r="N84" s="38" t="n">
        <f aca="false">G84-M84</f>
        <v>-6300</v>
      </c>
      <c r="O84" s="38" t="n">
        <f aca="false">M84-H84</f>
        <v>9695.88000000001</v>
      </c>
      <c r="P84" s="43" t="n">
        <f aca="false">SUMIFS(Data_Budgets!$F:$F,Data_Budgets!$A:$A,$A84,Data_Budgets!$B:$B,$B84)</f>
        <v>0</v>
      </c>
      <c r="Q84" s="43" t="n">
        <f aca="false">SUMIFS(Data_JobCost!$K:$K,Data_JobCost!$D:$D,$A84,Data_JobCost!$E:$E,$B84)</f>
        <v>0</v>
      </c>
      <c r="R84" s="43" t="n">
        <f aca="false">P84*J84</f>
        <v>0</v>
      </c>
    </row>
    <row r="85" customFormat="false" ht="15" hidden="false" customHeight="false" outlineLevel="0" collapsed="false">
      <c r="A85" s="37" t="s">
        <v>63</v>
      </c>
      <c r="B85" s="37" t="s">
        <v>104</v>
      </c>
      <c r="C85" s="37" t="str">
        <f aca="false">INDEX(Data_CostCodes!$B:$B,MATCH($B85,Data_CostCodes!$A:$A,0))</f>
        <v>Masonry</v>
      </c>
      <c r="D85" s="37" t="str">
        <f aca="false">INDEX(Data_CostCodes!$D:$D,MATCH($B85,Data_CostCodes!$A:$A,0))</f>
        <v>Subcontract</v>
      </c>
      <c r="E85" s="38" t="n">
        <f aca="false">SUMIFS(Data_Budgets!$C:$C,Data_Budgets!$A:$A,$A85,Data_Budgets!$B:$B,$B85)</f>
        <v>512600</v>
      </c>
      <c r="F85" s="38" t="n">
        <f aca="false">SUMIFS(Data_Budgets!$D:$D,Data_Budgets!$A:$A,$A85,Data_Budgets!$B:$B,$B85)</f>
        <v>0</v>
      </c>
      <c r="G85" s="38" t="n">
        <f aca="false">E85+F85</f>
        <v>512600</v>
      </c>
      <c r="H85" s="38" t="n">
        <f aca="false">SUMIFS(Data_JobCost!$L:$L,Data_JobCost!$D:$D,$A85,Data_JobCost!$E:$E,$B85)</f>
        <v>512065.15</v>
      </c>
      <c r="I85" s="38" t="n">
        <f aca="false">SUMIFS(Data_Commitments!$E:$E,Data_Commitments!$B:$B,$A85,Data_Commitments!$C:$C,$B85)</f>
        <v>520700</v>
      </c>
      <c r="J85" s="41" t="n">
        <f aca="false">SUMIFS(Data_Progress!$C:$C,Data_Progress!$A:$A,$A85,Data_Progress!$B:$B,$B85)</f>
        <v>1</v>
      </c>
      <c r="K85" s="38" t="n">
        <f aca="false">G85*J85</f>
        <v>512600</v>
      </c>
      <c r="L85" s="42" t="n">
        <f aca="false">IF(H85&gt;0,K85/H85,"")</f>
        <v>1.00104449599821</v>
      </c>
      <c r="M85" s="38" t="n">
        <f aca="false">IF(I85&gt;0,MAX(I85,H85),IF(J85&gt;0,H85+(G85-K85)/L85,G85))</f>
        <v>520700</v>
      </c>
      <c r="N85" s="38" t="n">
        <f aca="false">G85-M85</f>
        <v>-8100</v>
      </c>
      <c r="O85" s="38" t="n">
        <f aca="false">M85-H85</f>
        <v>8634.84999999998</v>
      </c>
      <c r="P85" s="43" t="n">
        <f aca="false">SUMIFS(Data_Budgets!$F:$F,Data_Budgets!$A:$A,$A85,Data_Budgets!$B:$B,$B85)</f>
        <v>0</v>
      </c>
      <c r="Q85" s="43" t="n">
        <f aca="false">SUMIFS(Data_JobCost!$K:$K,Data_JobCost!$D:$D,$A85,Data_JobCost!$E:$E,$B85)</f>
        <v>0</v>
      </c>
      <c r="R85" s="43" t="n">
        <f aca="false">P85*J85</f>
        <v>0</v>
      </c>
    </row>
    <row r="86" customFormat="false" ht="15" hidden="false" customHeight="false" outlineLevel="0" collapsed="false">
      <c r="A86" s="37" t="s">
        <v>63</v>
      </c>
      <c r="B86" s="37" t="s">
        <v>105</v>
      </c>
      <c r="C86" s="37" t="str">
        <f aca="false">INDEX(Data_CostCodes!$B:$B,MATCH($B86,Data_CostCodes!$A:$A,0))</f>
        <v>Structural Steel</v>
      </c>
      <c r="D86" s="37" t="str">
        <f aca="false">INDEX(Data_CostCodes!$D:$D,MATCH($B86,Data_CostCodes!$A:$A,0))</f>
        <v>Subcontract</v>
      </c>
      <c r="E86" s="38" t="n">
        <f aca="false">SUMIFS(Data_Budgets!$C:$C,Data_Budgets!$A:$A,$A86,Data_Budgets!$B:$B,$B86)</f>
        <v>696300</v>
      </c>
      <c r="F86" s="38" t="n">
        <f aca="false">SUMIFS(Data_Budgets!$D:$D,Data_Budgets!$A:$A,$A86,Data_Budgets!$B:$B,$B86)</f>
        <v>15200</v>
      </c>
      <c r="G86" s="38" t="n">
        <f aca="false">E86+F86</f>
        <v>711500</v>
      </c>
      <c r="H86" s="38" t="n">
        <f aca="false">SUMIFS(Data_JobCost!$L:$L,Data_JobCost!$D:$D,$A86,Data_JobCost!$E:$E,$B86)</f>
        <v>701679.6</v>
      </c>
      <c r="I86" s="38" t="n">
        <f aca="false">SUMIFS(Data_Commitments!$E:$E,Data_Commitments!$B:$B,$A86,Data_Commitments!$C:$C,$B86)</f>
        <v>705900</v>
      </c>
      <c r="J86" s="41" t="n">
        <f aca="false">SUMIFS(Data_Progress!$C:$C,Data_Progress!$A:$A,$A86,Data_Progress!$B:$B,$B86)</f>
        <v>1</v>
      </c>
      <c r="K86" s="38" t="n">
        <f aca="false">G86*J86</f>
        <v>711500</v>
      </c>
      <c r="L86" s="42" t="n">
        <f aca="false">IF(H86&gt;0,K86/H86,"")</f>
        <v>1.01399556150699</v>
      </c>
      <c r="M86" s="38" t="n">
        <f aca="false">IF(I86&gt;0,MAX(I86,H86),IF(J86&gt;0,H86+(G86-K86)/L86,G86))</f>
        <v>705900</v>
      </c>
      <c r="N86" s="38" t="n">
        <f aca="false">G86-M86</f>
        <v>5600</v>
      </c>
      <c r="O86" s="38" t="n">
        <f aca="false">M86-H86</f>
        <v>4220.40000000002</v>
      </c>
      <c r="P86" s="43" t="n">
        <f aca="false">SUMIFS(Data_Budgets!$F:$F,Data_Budgets!$A:$A,$A86,Data_Budgets!$B:$B,$B86)</f>
        <v>0</v>
      </c>
      <c r="Q86" s="43" t="n">
        <f aca="false">SUMIFS(Data_JobCost!$K:$K,Data_JobCost!$D:$D,$A86,Data_JobCost!$E:$E,$B86)</f>
        <v>0</v>
      </c>
      <c r="R86" s="43" t="n">
        <f aca="false">P86*J86</f>
        <v>0</v>
      </c>
    </row>
    <row r="87" customFormat="false" ht="15" hidden="false" customHeight="false" outlineLevel="0" collapsed="false">
      <c r="A87" s="37" t="s">
        <v>63</v>
      </c>
      <c r="B87" s="37" t="s">
        <v>106</v>
      </c>
      <c r="C87" s="37" t="str">
        <f aca="false">INDEX(Data_CostCodes!$B:$B,MATCH($B87,Data_CostCodes!$A:$A,0))</f>
        <v>Rough Carpentry</v>
      </c>
      <c r="D87" s="37" t="str">
        <f aca="false">INDEX(Data_CostCodes!$D:$D,MATCH($B87,Data_CostCodes!$A:$A,0))</f>
        <v>Labour</v>
      </c>
      <c r="E87" s="38" t="n">
        <f aca="false">SUMIFS(Data_Budgets!$C:$C,Data_Budgets!$A:$A,$A87,Data_Budgets!$B:$B,$B87)</f>
        <v>294900</v>
      </c>
      <c r="F87" s="38" t="n">
        <f aca="false">SUMIFS(Data_Budgets!$D:$D,Data_Budgets!$A:$A,$A87,Data_Budgets!$B:$B,$B87)</f>
        <v>32200</v>
      </c>
      <c r="G87" s="38" t="n">
        <f aca="false">E87+F87</f>
        <v>327100</v>
      </c>
      <c r="H87" s="38" t="n">
        <f aca="false">SUMIFS(Data_JobCost!$L:$L,Data_JobCost!$D:$D,$A87,Data_JobCost!$E:$E,$B87)</f>
        <v>318677.73</v>
      </c>
      <c r="I87" s="38" t="n">
        <f aca="false">SUMIFS(Data_Commitments!$E:$E,Data_Commitments!$B:$B,$A87,Data_Commitments!$C:$C,$B87)</f>
        <v>0</v>
      </c>
      <c r="J87" s="41" t="n">
        <f aca="false">SUMIFS(Data_Progress!$C:$C,Data_Progress!$A:$A,$A87,Data_Progress!$B:$B,$B87)</f>
        <v>1</v>
      </c>
      <c r="K87" s="38" t="n">
        <f aca="false">G87*J87</f>
        <v>327100</v>
      </c>
      <c r="L87" s="42" t="n">
        <f aca="false">IF(H87&gt;0,K87/H87,"")</f>
        <v>1.02642880002942</v>
      </c>
      <c r="M87" s="38" t="n">
        <f aca="false">IF(I87&gt;0,MAX(I87,H87),IF(J87&gt;0,H87+(G87-K87)/L87,G87))</f>
        <v>318677.73</v>
      </c>
      <c r="N87" s="38" t="n">
        <f aca="false">G87-M87</f>
        <v>8422.27000000002</v>
      </c>
      <c r="O87" s="38" t="n">
        <f aca="false">M87-H87</f>
        <v>0</v>
      </c>
      <c r="P87" s="43" t="n">
        <f aca="false">SUMIFS(Data_Budgets!$F:$F,Data_Budgets!$A:$A,$A87,Data_Budgets!$B:$B,$B87)</f>
        <v>4607</v>
      </c>
      <c r="Q87" s="43" t="n">
        <f aca="false">SUMIFS(Data_JobCost!$K:$K,Data_JobCost!$D:$D,$A87,Data_JobCost!$E:$E,$B87)</f>
        <v>4488.3</v>
      </c>
      <c r="R87" s="43" t="n">
        <f aca="false">P87*J87</f>
        <v>4607</v>
      </c>
    </row>
    <row r="88" customFormat="false" ht="15" hidden="false" customHeight="false" outlineLevel="0" collapsed="false">
      <c r="A88" s="37" t="s">
        <v>63</v>
      </c>
      <c r="B88" s="37" t="s">
        <v>107</v>
      </c>
      <c r="C88" s="37" t="str">
        <f aca="false">INDEX(Data_CostCodes!$B:$B,MATCH($B88,Data_CostCodes!$A:$A,0))</f>
        <v>Roofing &amp; Insulation</v>
      </c>
      <c r="D88" s="37" t="str">
        <f aca="false">INDEX(Data_CostCodes!$D:$D,MATCH($B88,Data_CostCodes!$A:$A,0))</f>
        <v>Subcontract</v>
      </c>
      <c r="E88" s="38" t="n">
        <f aca="false">SUMIFS(Data_Budgets!$C:$C,Data_Budgets!$A:$A,$A88,Data_Budgets!$B:$B,$B88)</f>
        <v>400400</v>
      </c>
      <c r="F88" s="38" t="n">
        <f aca="false">SUMIFS(Data_Budgets!$D:$D,Data_Budgets!$A:$A,$A88,Data_Budgets!$B:$B,$B88)</f>
        <v>0</v>
      </c>
      <c r="G88" s="38" t="n">
        <f aca="false">E88+F88</f>
        <v>400400</v>
      </c>
      <c r="H88" s="38" t="n">
        <f aca="false">SUMIFS(Data_JobCost!$L:$L,Data_JobCost!$D:$D,$A88,Data_JobCost!$E:$E,$B88)</f>
        <v>389056.75</v>
      </c>
      <c r="I88" s="38" t="n">
        <f aca="false">SUMIFS(Data_Commitments!$E:$E,Data_Commitments!$B:$B,$A88,Data_Commitments!$C:$C,$B88)</f>
        <v>400200</v>
      </c>
      <c r="J88" s="41" t="n">
        <f aca="false">SUMIFS(Data_Progress!$C:$C,Data_Progress!$A:$A,$A88,Data_Progress!$B:$B,$B88)</f>
        <v>1</v>
      </c>
      <c r="K88" s="38" t="n">
        <f aca="false">G88*J88</f>
        <v>400400</v>
      </c>
      <c r="L88" s="42" t="n">
        <f aca="false">IF(H88&gt;0,K88/H88,"")</f>
        <v>1.02915577226202</v>
      </c>
      <c r="M88" s="38" t="n">
        <f aca="false">IF(I88&gt;0,MAX(I88,H88),IF(J88&gt;0,H88+(G88-K88)/L88,G88))</f>
        <v>400200</v>
      </c>
      <c r="N88" s="38" t="n">
        <f aca="false">G88-M88</f>
        <v>200</v>
      </c>
      <c r="O88" s="38" t="n">
        <f aca="false">M88-H88</f>
        <v>11143.25</v>
      </c>
      <c r="P88" s="43" t="n">
        <f aca="false">SUMIFS(Data_Budgets!$F:$F,Data_Budgets!$A:$A,$A88,Data_Budgets!$B:$B,$B88)</f>
        <v>0</v>
      </c>
      <c r="Q88" s="43" t="n">
        <f aca="false">SUMIFS(Data_JobCost!$K:$K,Data_JobCost!$D:$D,$A88,Data_JobCost!$E:$E,$B88)</f>
        <v>0</v>
      </c>
      <c r="R88" s="43" t="n">
        <f aca="false">P88*J88</f>
        <v>0</v>
      </c>
    </row>
    <row r="89" customFormat="false" ht="15" hidden="false" customHeight="false" outlineLevel="0" collapsed="false">
      <c r="A89" s="37" t="s">
        <v>63</v>
      </c>
      <c r="B89" s="37" t="s">
        <v>108</v>
      </c>
      <c r="C89" s="37" t="str">
        <f aca="false">INDEX(Data_CostCodes!$B:$B,MATCH($B89,Data_CostCodes!$A:$A,0))</f>
        <v>Doors, Frames &amp; Hardware</v>
      </c>
      <c r="D89" s="37" t="str">
        <f aca="false">INDEX(Data_CostCodes!$D:$D,MATCH($B89,Data_CostCodes!$A:$A,0))</f>
        <v>Material</v>
      </c>
      <c r="E89" s="38" t="n">
        <f aca="false">SUMIFS(Data_Budgets!$C:$C,Data_Budgets!$A:$A,$A89,Data_Budgets!$B:$B,$B89)</f>
        <v>347500</v>
      </c>
      <c r="F89" s="38" t="n">
        <f aca="false">SUMIFS(Data_Budgets!$D:$D,Data_Budgets!$A:$A,$A89,Data_Budgets!$B:$B,$B89)</f>
        <v>0</v>
      </c>
      <c r="G89" s="38" t="n">
        <f aca="false">E89+F89</f>
        <v>347500</v>
      </c>
      <c r="H89" s="38" t="n">
        <f aca="false">SUMIFS(Data_JobCost!$L:$L,Data_JobCost!$D:$D,$A89,Data_JobCost!$E:$E,$B89)</f>
        <v>334701.95</v>
      </c>
      <c r="I89" s="38" t="n">
        <f aca="false">SUMIFS(Data_Commitments!$E:$E,Data_Commitments!$B:$B,$A89,Data_Commitments!$C:$C,$B89)</f>
        <v>355600</v>
      </c>
      <c r="J89" s="41" t="n">
        <f aca="false">SUMIFS(Data_Progress!$C:$C,Data_Progress!$A:$A,$A89,Data_Progress!$B:$B,$B89)</f>
        <v>0.951</v>
      </c>
      <c r="K89" s="38" t="n">
        <f aca="false">G89*J89</f>
        <v>330472.5</v>
      </c>
      <c r="L89" s="42" t="n">
        <f aca="false">IF(H89&gt;0,K89/H89,"")</f>
        <v>0.987363533436241</v>
      </c>
      <c r="M89" s="38" t="n">
        <f aca="false">IF(I89&gt;0,MAX(I89,H89),IF(J89&gt;0,H89+(G89-K89)/L89,G89))</f>
        <v>355600</v>
      </c>
      <c r="N89" s="38" t="n">
        <f aca="false">G89-M89</f>
        <v>-8100</v>
      </c>
      <c r="O89" s="38" t="n">
        <f aca="false">M89-H89</f>
        <v>20898.05</v>
      </c>
      <c r="P89" s="43" t="n">
        <f aca="false">SUMIFS(Data_Budgets!$F:$F,Data_Budgets!$A:$A,$A89,Data_Budgets!$B:$B,$B89)</f>
        <v>0</v>
      </c>
      <c r="Q89" s="43" t="n">
        <f aca="false">SUMIFS(Data_JobCost!$K:$K,Data_JobCost!$D:$D,$A89,Data_JobCost!$E:$E,$B89)</f>
        <v>0</v>
      </c>
      <c r="R89" s="43" t="n">
        <f aca="false">P89*J89</f>
        <v>0</v>
      </c>
    </row>
    <row r="90" customFormat="false" ht="15" hidden="false" customHeight="false" outlineLevel="0" collapsed="false">
      <c r="A90" s="37" t="s">
        <v>63</v>
      </c>
      <c r="B90" s="37" t="s">
        <v>109</v>
      </c>
      <c r="C90" s="37" t="str">
        <f aca="false">INDEX(Data_CostCodes!$B:$B,MATCH($B90,Data_CostCodes!$A:$A,0))</f>
        <v>Drywall &amp; Finishes</v>
      </c>
      <c r="D90" s="37" t="str">
        <f aca="false">INDEX(Data_CostCodes!$D:$D,MATCH($B90,Data_CostCodes!$A:$A,0))</f>
        <v>Subcontract</v>
      </c>
      <c r="E90" s="38" t="n">
        <f aca="false">SUMIFS(Data_Budgets!$C:$C,Data_Budgets!$A:$A,$A90,Data_Budgets!$B:$B,$B90)</f>
        <v>799500</v>
      </c>
      <c r="F90" s="38" t="n">
        <f aca="false">SUMIFS(Data_Budgets!$D:$D,Data_Budgets!$A:$A,$A90,Data_Budgets!$B:$B,$B90)</f>
        <v>0</v>
      </c>
      <c r="G90" s="38" t="n">
        <f aca="false">E90+F90</f>
        <v>799500</v>
      </c>
      <c r="H90" s="38" t="n">
        <f aca="false">SUMIFS(Data_JobCost!$L:$L,Data_JobCost!$D:$D,$A90,Data_JobCost!$E:$E,$B90)</f>
        <v>730978.29</v>
      </c>
      <c r="I90" s="38" t="n">
        <f aca="false">SUMIFS(Data_Commitments!$E:$E,Data_Commitments!$B:$B,$A90,Data_Commitments!$C:$C,$B90)</f>
        <v>822900</v>
      </c>
      <c r="J90" s="41" t="n">
        <f aca="false">SUMIFS(Data_Progress!$C:$C,Data_Progress!$A:$A,$A90,Data_Progress!$B:$B,$B90)</f>
        <v>0.904</v>
      </c>
      <c r="K90" s="38" t="n">
        <f aca="false">G90*J90</f>
        <v>722748</v>
      </c>
      <c r="L90" s="42" t="n">
        <f aca="false">IF(H90&gt;0,K90/H90,"")</f>
        <v>0.988740718961708</v>
      </c>
      <c r="M90" s="38" t="n">
        <f aca="false">IF(I90&gt;0,MAX(I90,H90),IF(J90&gt;0,H90+(G90-K90)/L90,G90))</f>
        <v>822900</v>
      </c>
      <c r="N90" s="38" t="n">
        <f aca="false">G90-M90</f>
        <v>-23400</v>
      </c>
      <c r="O90" s="38" t="n">
        <f aca="false">M90-H90</f>
        <v>91921.71</v>
      </c>
      <c r="P90" s="43" t="n">
        <f aca="false">SUMIFS(Data_Budgets!$F:$F,Data_Budgets!$A:$A,$A90,Data_Budgets!$B:$B,$B90)</f>
        <v>0</v>
      </c>
      <c r="Q90" s="43" t="n">
        <f aca="false">SUMIFS(Data_JobCost!$K:$K,Data_JobCost!$D:$D,$A90,Data_JobCost!$E:$E,$B90)</f>
        <v>0</v>
      </c>
      <c r="R90" s="43" t="n">
        <f aca="false">P90*J90</f>
        <v>0</v>
      </c>
    </row>
    <row r="91" customFormat="false" ht="15" hidden="false" customHeight="false" outlineLevel="0" collapsed="false">
      <c r="A91" s="37" t="s">
        <v>63</v>
      </c>
      <c r="B91" s="37" t="s">
        <v>110</v>
      </c>
      <c r="C91" s="37" t="str">
        <f aca="false">INDEX(Data_CostCodes!$B:$B,MATCH($B91,Data_CostCodes!$A:$A,0))</f>
        <v>Mechanical</v>
      </c>
      <c r="D91" s="37" t="str">
        <f aca="false">INDEX(Data_CostCodes!$D:$D,MATCH($B91,Data_CostCodes!$A:$A,0))</f>
        <v>Subcontract</v>
      </c>
      <c r="E91" s="38" t="n">
        <f aca="false">SUMIFS(Data_Budgets!$C:$C,Data_Budgets!$A:$A,$A91,Data_Budgets!$B:$B,$B91)</f>
        <v>1250200</v>
      </c>
      <c r="F91" s="38" t="n">
        <f aca="false">SUMIFS(Data_Budgets!$D:$D,Data_Budgets!$A:$A,$A91,Data_Budgets!$B:$B,$B91)</f>
        <v>0</v>
      </c>
      <c r="G91" s="38" t="n">
        <f aca="false">E91+F91</f>
        <v>1250200</v>
      </c>
      <c r="H91" s="38" t="n">
        <f aca="false">SUMIFS(Data_JobCost!$L:$L,Data_JobCost!$D:$D,$A91,Data_JobCost!$E:$E,$B91)</f>
        <v>1194129.1</v>
      </c>
      <c r="I91" s="38" t="n">
        <f aca="false">SUMIFS(Data_Commitments!$E:$E,Data_Commitments!$B:$B,$A91,Data_Commitments!$C:$C,$B91)</f>
        <v>1267400</v>
      </c>
      <c r="J91" s="41" t="n">
        <f aca="false">SUMIFS(Data_Progress!$C:$C,Data_Progress!$A:$A,$A91,Data_Progress!$B:$B,$B91)</f>
        <v>0.943</v>
      </c>
      <c r="K91" s="38" t="n">
        <f aca="false">G91*J91</f>
        <v>1178938.6</v>
      </c>
      <c r="L91" s="42" t="n">
        <f aca="false">IF(H91&gt;0,K91/H91,"")</f>
        <v>0.987279013634288</v>
      </c>
      <c r="M91" s="38" t="n">
        <f aca="false">IF(I91&gt;0,MAX(I91,H91),IF(J91&gt;0,H91+(G91-K91)/L91,G91))</f>
        <v>1267400</v>
      </c>
      <c r="N91" s="38" t="n">
        <f aca="false">G91-M91</f>
        <v>-17200</v>
      </c>
      <c r="O91" s="38" t="n">
        <f aca="false">M91-H91</f>
        <v>73270.8999999999</v>
      </c>
      <c r="P91" s="43" t="n">
        <f aca="false">SUMIFS(Data_Budgets!$F:$F,Data_Budgets!$A:$A,$A91,Data_Budgets!$B:$B,$B91)</f>
        <v>0</v>
      </c>
      <c r="Q91" s="43" t="n">
        <f aca="false">SUMIFS(Data_JobCost!$K:$K,Data_JobCost!$D:$D,$A91,Data_JobCost!$E:$E,$B91)</f>
        <v>0</v>
      </c>
      <c r="R91" s="43" t="n">
        <f aca="false">P91*J91</f>
        <v>0</v>
      </c>
    </row>
    <row r="92" customFormat="false" ht="15" hidden="false" customHeight="false" outlineLevel="0" collapsed="false">
      <c r="A92" s="37" t="s">
        <v>63</v>
      </c>
      <c r="B92" s="37" t="s">
        <v>111</v>
      </c>
      <c r="C92" s="37" t="str">
        <f aca="false">INDEX(Data_CostCodes!$B:$B,MATCH($B92,Data_CostCodes!$A:$A,0))</f>
        <v>Electrical</v>
      </c>
      <c r="D92" s="37" t="str">
        <f aca="false">INDEX(Data_CostCodes!$D:$D,MATCH($B92,Data_CostCodes!$A:$A,0))</f>
        <v>Subcontract</v>
      </c>
      <c r="E92" s="38" t="n">
        <f aca="false">SUMIFS(Data_Budgets!$C:$C,Data_Budgets!$A:$A,$A92,Data_Budgets!$B:$B,$B92)</f>
        <v>828900</v>
      </c>
      <c r="F92" s="38" t="n">
        <f aca="false">SUMIFS(Data_Budgets!$D:$D,Data_Budgets!$A:$A,$A92,Data_Budgets!$B:$B,$B92)</f>
        <v>0</v>
      </c>
      <c r="G92" s="38" t="n">
        <f aca="false">E92+F92</f>
        <v>828900</v>
      </c>
      <c r="H92" s="38" t="n">
        <f aca="false">SUMIFS(Data_JobCost!$L:$L,Data_JobCost!$D:$D,$A92,Data_JobCost!$E:$E,$B92)</f>
        <v>893002.49</v>
      </c>
      <c r="I92" s="38" t="n">
        <f aca="false">SUMIFS(Data_Commitments!$E:$E,Data_Commitments!$B:$B,$A92,Data_Commitments!$C:$C,$B92)</f>
        <v>980600</v>
      </c>
      <c r="J92" s="41" t="n">
        <f aca="false">SUMIFS(Data_Progress!$C:$C,Data_Progress!$A:$A,$A92,Data_Progress!$B:$B,$B92)</f>
        <v>0.918</v>
      </c>
      <c r="K92" s="38" t="n">
        <f aca="false">G92*J92</f>
        <v>760930.2</v>
      </c>
      <c r="L92" s="42" t="n">
        <f aca="false">IF(H92&gt;0,K92/H92,"")</f>
        <v>0.852103111157059</v>
      </c>
      <c r="M92" s="38" t="n">
        <f aca="false">IF(I92&gt;0,MAX(I92,H92),IF(J92&gt;0,H92+(G92-K92)/L92,G92))</f>
        <v>980600</v>
      </c>
      <c r="N92" s="38" t="n">
        <f aca="false">G92-M92</f>
        <v>-151700</v>
      </c>
      <c r="O92" s="38" t="n">
        <f aca="false">M92-H92</f>
        <v>87597.51</v>
      </c>
      <c r="P92" s="43" t="n">
        <f aca="false">SUMIFS(Data_Budgets!$F:$F,Data_Budgets!$A:$A,$A92,Data_Budgets!$B:$B,$B92)</f>
        <v>0</v>
      </c>
      <c r="Q92" s="43" t="n">
        <f aca="false">SUMIFS(Data_JobCost!$K:$K,Data_JobCost!$D:$D,$A92,Data_JobCost!$E:$E,$B92)</f>
        <v>0</v>
      </c>
      <c r="R92" s="43" t="n">
        <f aca="false">P92*J92</f>
        <v>0</v>
      </c>
    </row>
    <row r="93" customFormat="false" ht="15" hidden="false" customHeight="false" outlineLevel="0" collapsed="false">
      <c r="A93" s="37" t="s">
        <v>64</v>
      </c>
      <c r="B93" s="37" t="s">
        <v>97</v>
      </c>
      <c r="C93" s="37" t="str">
        <f aca="false">INDEX(Data_CostCodes!$B:$B,MATCH($B93,Data_CostCodes!$A:$A,0))</f>
        <v>General Conditions - Supervision</v>
      </c>
      <c r="D93" s="37" t="str">
        <f aca="false">INDEX(Data_CostCodes!$D:$D,MATCH($B93,Data_CostCodes!$A:$A,0))</f>
        <v>Labour</v>
      </c>
      <c r="E93" s="38" t="n">
        <f aca="false">SUMIFS(Data_Budgets!$C:$C,Data_Budgets!$A:$A,$A93,Data_Budgets!$B:$B,$B93)</f>
        <v>957900</v>
      </c>
      <c r="F93" s="38" t="n">
        <f aca="false">SUMIFS(Data_Budgets!$D:$D,Data_Budgets!$A:$A,$A93,Data_Budgets!$B:$B,$B93)</f>
        <v>0</v>
      </c>
      <c r="G93" s="38" t="n">
        <f aca="false">E93+F93</f>
        <v>957900</v>
      </c>
      <c r="H93" s="38" t="n">
        <f aca="false">SUMIFS(Data_JobCost!$L:$L,Data_JobCost!$D:$D,$A93,Data_JobCost!$E:$E,$B93)</f>
        <v>766276.35</v>
      </c>
      <c r="I93" s="38" t="n">
        <f aca="false">SUMIFS(Data_Commitments!$E:$E,Data_Commitments!$B:$B,$A93,Data_Commitments!$C:$C,$B93)</f>
        <v>0</v>
      </c>
      <c r="J93" s="41" t="n">
        <f aca="false">SUMIFS(Data_Progress!$C:$C,Data_Progress!$A:$A,$A93,Data_Progress!$B:$B,$B93)</f>
        <v>0.763</v>
      </c>
      <c r="K93" s="38" t="n">
        <f aca="false">G93*J93</f>
        <v>730877.7</v>
      </c>
      <c r="L93" s="42" t="n">
        <f aca="false">IF(H93&gt;0,K93/H93,"")</f>
        <v>0.953804329208385</v>
      </c>
      <c r="M93" s="38" t="n">
        <f aca="false">IF(I93&gt;0,MAX(I93,H93),IF(J93&gt;0,H93+(G93-K93)/L93,G93))</f>
        <v>1004294.03669725</v>
      </c>
      <c r="N93" s="38" t="n">
        <f aca="false">G93-M93</f>
        <v>-46394.0366972478</v>
      </c>
      <c r="O93" s="38" t="n">
        <f aca="false">M93-H93</f>
        <v>238017.686697248</v>
      </c>
      <c r="P93" s="43" t="n">
        <f aca="false">SUMIFS(Data_Budgets!$F:$F,Data_Budgets!$A:$A,$A93,Data_Budgets!$B:$B,$B93)</f>
        <v>10412</v>
      </c>
      <c r="Q93" s="43" t="n">
        <f aca="false">SUMIFS(Data_JobCost!$K:$K,Data_JobCost!$D:$D,$A93,Data_JobCost!$E:$E,$B93)</f>
        <v>8329</v>
      </c>
      <c r="R93" s="43" t="n">
        <f aca="false">P93*J93</f>
        <v>7944.356</v>
      </c>
    </row>
    <row r="94" customFormat="false" ht="15" hidden="false" customHeight="false" outlineLevel="0" collapsed="false">
      <c r="A94" s="37" t="s">
        <v>64</v>
      </c>
      <c r="B94" s="37" t="s">
        <v>98</v>
      </c>
      <c r="C94" s="37" t="str">
        <f aca="false">INDEX(Data_CostCodes!$B:$B,MATCH($B94,Data_CostCodes!$A:$A,0))</f>
        <v>Site Facilities &amp; Temp Services</v>
      </c>
      <c r="D94" s="37" t="str">
        <f aca="false">INDEX(Data_CostCodes!$D:$D,MATCH($B94,Data_CostCodes!$A:$A,0))</f>
        <v>Other</v>
      </c>
      <c r="E94" s="38" t="n">
        <f aca="false">SUMIFS(Data_Budgets!$C:$C,Data_Budgets!$A:$A,$A94,Data_Budgets!$B:$B,$B94)</f>
        <v>313200</v>
      </c>
      <c r="F94" s="38" t="n">
        <f aca="false">SUMIFS(Data_Budgets!$D:$D,Data_Budgets!$A:$A,$A94,Data_Budgets!$B:$B,$B94)</f>
        <v>43300</v>
      </c>
      <c r="G94" s="38" t="n">
        <f aca="false">E94+F94</f>
        <v>356500</v>
      </c>
      <c r="H94" s="38" t="n">
        <f aca="false">SUMIFS(Data_JobCost!$L:$L,Data_JobCost!$D:$D,$A94,Data_JobCost!$E:$E,$B94)</f>
        <v>275153.11</v>
      </c>
      <c r="I94" s="38" t="n">
        <f aca="false">SUMIFS(Data_Commitments!$E:$E,Data_Commitments!$B:$B,$A94,Data_Commitments!$C:$C,$B94)</f>
        <v>0</v>
      </c>
      <c r="J94" s="41" t="n">
        <f aca="false">SUMIFS(Data_Progress!$C:$C,Data_Progress!$A:$A,$A94,Data_Progress!$B:$B,$B94)</f>
        <v>0.743</v>
      </c>
      <c r="K94" s="38" t="n">
        <f aca="false">G94*J94</f>
        <v>264879.5</v>
      </c>
      <c r="L94" s="42" t="n">
        <f aca="false">IF(H94&gt;0,K94/H94,"")</f>
        <v>0.962662206507497</v>
      </c>
      <c r="M94" s="38" t="n">
        <f aca="false">IF(I94&gt;0,MAX(I94,H94),IF(J94&gt;0,H94+(G94-K94)/L94,G94))</f>
        <v>370327.200538358</v>
      </c>
      <c r="N94" s="38" t="n">
        <f aca="false">G94-M94</f>
        <v>-13827.200538358</v>
      </c>
      <c r="O94" s="38" t="n">
        <f aca="false">M94-H94</f>
        <v>95174.090538358</v>
      </c>
      <c r="P94" s="43" t="n">
        <f aca="false">SUMIFS(Data_Budgets!$F:$F,Data_Budgets!$A:$A,$A94,Data_Budgets!$B:$B,$B94)</f>
        <v>0</v>
      </c>
      <c r="Q94" s="43" t="n">
        <f aca="false">SUMIFS(Data_JobCost!$K:$K,Data_JobCost!$D:$D,$A94,Data_JobCost!$E:$E,$B94)</f>
        <v>0</v>
      </c>
      <c r="R94" s="43" t="n">
        <f aca="false">P94*J94</f>
        <v>0</v>
      </c>
    </row>
    <row r="95" customFormat="false" ht="15" hidden="false" customHeight="false" outlineLevel="0" collapsed="false">
      <c r="A95" s="37" t="s">
        <v>64</v>
      </c>
      <c r="B95" s="37" t="s">
        <v>99</v>
      </c>
      <c r="C95" s="37" t="str">
        <f aca="false">INDEX(Data_CostCodes!$B:$B,MATCH($B95,Data_CostCodes!$A:$A,0))</f>
        <v>Equipment Rental</v>
      </c>
      <c r="D95" s="37" t="str">
        <f aca="false">INDEX(Data_CostCodes!$D:$D,MATCH($B95,Data_CostCodes!$A:$A,0))</f>
        <v>Equipment</v>
      </c>
      <c r="E95" s="38" t="n">
        <f aca="false">SUMIFS(Data_Budgets!$C:$C,Data_Budgets!$A:$A,$A95,Data_Budgets!$B:$B,$B95)</f>
        <v>275800</v>
      </c>
      <c r="F95" s="38" t="n">
        <f aca="false">SUMIFS(Data_Budgets!$D:$D,Data_Budgets!$A:$A,$A95,Data_Budgets!$B:$B,$B95)</f>
        <v>0</v>
      </c>
      <c r="G95" s="38" t="n">
        <f aca="false">E95+F95</f>
        <v>275800</v>
      </c>
      <c r="H95" s="38" t="n">
        <f aca="false">SUMIFS(Data_JobCost!$L:$L,Data_JobCost!$D:$D,$A95,Data_JobCost!$E:$E,$B95)</f>
        <v>267801.12</v>
      </c>
      <c r="I95" s="38" t="n">
        <f aca="false">SUMIFS(Data_Commitments!$E:$E,Data_Commitments!$B:$B,$A95,Data_Commitments!$C:$C,$B95)</f>
        <v>0</v>
      </c>
      <c r="J95" s="41" t="n">
        <f aca="false">SUMIFS(Data_Progress!$C:$C,Data_Progress!$A:$A,$A95,Data_Progress!$B:$B,$B95)</f>
        <v>0.904</v>
      </c>
      <c r="K95" s="38" t="n">
        <f aca="false">G95*J95</f>
        <v>249323.2</v>
      </c>
      <c r="L95" s="42" t="n">
        <f aca="false">IF(H95&gt;0,K95/H95,"")</f>
        <v>0.931001334124368</v>
      </c>
      <c r="M95" s="38" t="n">
        <f aca="false">IF(I95&gt;0,MAX(I95,H95),IF(J95&gt;0,H95+(G95-K95)/L95,G95))</f>
        <v>296240.17699115</v>
      </c>
      <c r="N95" s="38" t="n">
        <f aca="false">G95-M95</f>
        <v>-20440.1769911504</v>
      </c>
      <c r="O95" s="38" t="n">
        <f aca="false">M95-H95</f>
        <v>28439.0569911504</v>
      </c>
      <c r="P95" s="43" t="n">
        <f aca="false">SUMIFS(Data_Budgets!$F:$F,Data_Budgets!$A:$A,$A95,Data_Budgets!$B:$B,$B95)</f>
        <v>0</v>
      </c>
      <c r="Q95" s="43" t="n">
        <f aca="false">SUMIFS(Data_JobCost!$K:$K,Data_JobCost!$D:$D,$A95,Data_JobCost!$E:$E,$B95)</f>
        <v>0</v>
      </c>
      <c r="R95" s="43" t="n">
        <f aca="false">P95*J95</f>
        <v>0</v>
      </c>
    </row>
    <row r="96" customFormat="false" ht="15" hidden="false" customHeight="false" outlineLevel="0" collapsed="false">
      <c r="A96" s="37" t="s">
        <v>64</v>
      </c>
      <c r="B96" s="37" t="s">
        <v>100</v>
      </c>
      <c r="C96" s="37" t="str">
        <f aca="false">INDEX(Data_CostCodes!$B:$B,MATCH($B96,Data_CostCodes!$A:$A,0))</f>
        <v>Earthwork &amp; Excavation</v>
      </c>
      <c r="D96" s="37" t="str">
        <f aca="false">INDEX(Data_CostCodes!$D:$D,MATCH($B96,Data_CostCodes!$A:$A,0))</f>
        <v>Subcontract</v>
      </c>
      <c r="E96" s="38" t="n">
        <f aca="false">SUMIFS(Data_Budgets!$C:$C,Data_Budgets!$A:$A,$A96,Data_Budgets!$B:$B,$B96)</f>
        <v>410500</v>
      </c>
      <c r="F96" s="38" t="n">
        <f aca="false">SUMIFS(Data_Budgets!$D:$D,Data_Budgets!$A:$A,$A96,Data_Budgets!$B:$B,$B96)</f>
        <v>0</v>
      </c>
      <c r="G96" s="38" t="n">
        <f aca="false">E96+F96</f>
        <v>410500</v>
      </c>
      <c r="H96" s="38" t="n">
        <f aca="false">SUMIFS(Data_JobCost!$L:$L,Data_JobCost!$D:$D,$A96,Data_JobCost!$E:$E,$B96)</f>
        <v>395353.03</v>
      </c>
      <c r="I96" s="38" t="n">
        <f aca="false">SUMIFS(Data_Commitments!$E:$E,Data_Commitments!$B:$B,$A96,Data_Commitments!$C:$C,$B96)</f>
        <v>396500</v>
      </c>
      <c r="J96" s="41" t="n">
        <f aca="false">SUMIFS(Data_Progress!$C:$C,Data_Progress!$A:$A,$A96,Data_Progress!$B:$B,$B96)</f>
        <v>1</v>
      </c>
      <c r="K96" s="38" t="n">
        <f aca="false">G96*J96</f>
        <v>410500</v>
      </c>
      <c r="L96" s="42" t="n">
        <f aca="false">IF(H96&gt;0,K96/H96,"")</f>
        <v>1.03831251780213</v>
      </c>
      <c r="M96" s="38" t="n">
        <f aca="false">IF(I96&gt;0,MAX(I96,H96),IF(J96&gt;0,H96+(G96-K96)/L96,G96))</f>
        <v>396500</v>
      </c>
      <c r="N96" s="38" t="n">
        <f aca="false">G96-M96</f>
        <v>14000</v>
      </c>
      <c r="O96" s="38" t="n">
        <f aca="false">M96-H96</f>
        <v>1146.96999999997</v>
      </c>
      <c r="P96" s="43" t="n">
        <f aca="false">SUMIFS(Data_Budgets!$F:$F,Data_Budgets!$A:$A,$A96,Data_Budgets!$B:$B,$B96)</f>
        <v>0</v>
      </c>
      <c r="Q96" s="43" t="n">
        <f aca="false">SUMIFS(Data_JobCost!$K:$K,Data_JobCost!$D:$D,$A96,Data_JobCost!$E:$E,$B96)</f>
        <v>0</v>
      </c>
      <c r="R96" s="43" t="n">
        <f aca="false">P96*J96</f>
        <v>0</v>
      </c>
    </row>
    <row r="97" customFormat="false" ht="15" hidden="false" customHeight="false" outlineLevel="0" collapsed="false">
      <c r="A97" s="37" t="s">
        <v>64</v>
      </c>
      <c r="B97" s="37" t="s">
        <v>101</v>
      </c>
      <c r="C97" s="37" t="str">
        <f aca="false">INDEX(Data_CostCodes!$B:$B,MATCH($B97,Data_CostCodes!$A:$A,0))</f>
        <v>Concrete Formwork</v>
      </c>
      <c r="D97" s="37" t="str">
        <f aca="false">INDEX(Data_CostCodes!$D:$D,MATCH($B97,Data_CostCodes!$A:$A,0))</f>
        <v>Labour</v>
      </c>
      <c r="E97" s="38" t="n">
        <f aca="false">SUMIFS(Data_Budgets!$C:$C,Data_Budgets!$A:$A,$A97,Data_Budgets!$B:$B,$B97)</f>
        <v>545200</v>
      </c>
      <c r="F97" s="38" t="n">
        <f aca="false">SUMIFS(Data_Budgets!$D:$D,Data_Budgets!$A:$A,$A97,Data_Budgets!$B:$B,$B97)</f>
        <v>549300</v>
      </c>
      <c r="G97" s="38" t="n">
        <f aca="false">E97+F97</f>
        <v>1094500</v>
      </c>
      <c r="H97" s="38" t="n">
        <f aca="false">SUMIFS(Data_JobCost!$L:$L,Data_JobCost!$D:$D,$A97,Data_JobCost!$E:$E,$B97)</f>
        <v>1229218.83</v>
      </c>
      <c r="I97" s="38" t="n">
        <f aca="false">SUMIFS(Data_Commitments!$E:$E,Data_Commitments!$B:$B,$A97,Data_Commitments!$C:$C,$B97)</f>
        <v>0</v>
      </c>
      <c r="J97" s="41" t="n">
        <f aca="false">SUMIFS(Data_Progress!$C:$C,Data_Progress!$A:$A,$A97,Data_Progress!$B:$B,$B97)</f>
        <v>1</v>
      </c>
      <c r="K97" s="38" t="n">
        <f aca="false">G97*J97</f>
        <v>1094500</v>
      </c>
      <c r="L97" s="42" t="n">
        <f aca="false">IF(H97&gt;0,K97/H97,"")</f>
        <v>0.890402891078393</v>
      </c>
      <c r="M97" s="38" t="n">
        <f aca="false">IF(I97&gt;0,MAX(I97,H97),IF(J97&gt;0,H97+(G97-K97)/L97,G97))</f>
        <v>1229218.83</v>
      </c>
      <c r="N97" s="38" t="n">
        <f aca="false">G97-M97</f>
        <v>-134718.83</v>
      </c>
      <c r="O97" s="38" t="n">
        <f aca="false">M97-H97</f>
        <v>0</v>
      </c>
      <c r="P97" s="43" t="n">
        <f aca="false">SUMIFS(Data_Budgets!$F:$F,Data_Budgets!$A:$A,$A97,Data_Budgets!$B:$B,$B97)</f>
        <v>14791</v>
      </c>
      <c r="Q97" s="43" t="n">
        <f aca="false">SUMIFS(Data_JobCost!$K:$K,Data_JobCost!$D:$D,$A97,Data_JobCost!$E:$E,$B97)</f>
        <v>16611.2</v>
      </c>
      <c r="R97" s="43" t="n">
        <f aca="false">P97*J97</f>
        <v>14791</v>
      </c>
    </row>
    <row r="98" customFormat="false" ht="15" hidden="false" customHeight="false" outlineLevel="0" collapsed="false">
      <c r="A98" s="37" t="s">
        <v>64</v>
      </c>
      <c r="B98" s="37" t="s">
        <v>102</v>
      </c>
      <c r="C98" s="37" t="str">
        <f aca="false">INDEX(Data_CostCodes!$B:$B,MATCH($B98,Data_CostCodes!$A:$A,0))</f>
        <v>Reinforcing Steel</v>
      </c>
      <c r="D98" s="37" t="str">
        <f aca="false">INDEX(Data_CostCodes!$D:$D,MATCH($B98,Data_CostCodes!$A:$A,0))</f>
        <v>Material</v>
      </c>
      <c r="E98" s="38" t="n">
        <f aca="false">SUMIFS(Data_Budgets!$C:$C,Data_Budgets!$A:$A,$A98,Data_Budgets!$B:$B,$B98)</f>
        <v>452600</v>
      </c>
      <c r="F98" s="38" t="n">
        <f aca="false">SUMIFS(Data_Budgets!$D:$D,Data_Budgets!$A:$A,$A98,Data_Budgets!$B:$B,$B98)</f>
        <v>0</v>
      </c>
      <c r="G98" s="38" t="n">
        <f aca="false">E98+F98</f>
        <v>452600</v>
      </c>
      <c r="H98" s="38" t="n">
        <f aca="false">SUMIFS(Data_JobCost!$L:$L,Data_JobCost!$D:$D,$A98,Data_JobCost!$E:$E,$B98)</f>
        <v>446285.28</v>
      </c>
      <c r="I98" s="38" t="n">
        <f aca="false">SUMIFS(Data_Commitments!$E:$E,Data_Commitments!$B:$B,$A98,Data_Commitments!$C:$C,$B98)</f>
        <v>456400</v>
      </c>
      <c r="J98" s="41" t="n">
        <f aca="false">SUMIFS(Data_Progress!$C:$C,Data_Progress!$A:$A,$A98,Data_Progress!$B:$B,$B98)</f>
        <v>1</v>
      </c>
      <c r="K98" s="38" t="n">
        <f aca="false">G98*J98</f>
        <v>452600</v>
      </c>
      <c r="L98" s="42" t="n">
        <f aca="false">IF(H98&gt;0,K98/H98,"")</f>
        <v>1.01414951440926</v>
      </c>
      <c r="M98" s="38" t="n">
        <f aca="false">IF(I98&gt;0,MAX(I98,H98),IF(J98&gt;0,H98+(G98-K98)/L98,G98))</f>
        <v>456400</v>
      </c>
      <c r="N98" s="38" t="n">
        <f aca="false">G98-M98</f>
        <v>-3800</v>
      </c>
      <c r="O98" s="38" t="n">
        <f aca="false">M98-H98</f>
        <v>10114.72</v>
      </c>
      <c r="P98" s="43" t="n">
        <f aca="false">SUMIFS(Data_Budgets!$F:$F,Data_Budgets!$A:$A,$A98,Data_Budgets!$B:$B,$B98)</f>
        <v>0</v>
      </c>
      <c r="Q98" s="43" t="n">
        <f aca="false">SUMIFS(Data_JobCost!$K:$K,Data_JobCost!$D:$D,$A98,Data_JobCost!$E:$E,$B98)</f>
        <v>0</v>
      </c>
      <c r="R98" s="43" t="n">
        <f aca="false">P98*J98</f>
        <v>0</v>
      </c>
    </row>
    <row r="99" customFormat="false" ht="15" hidden="false" customHeight="false" outlineLevel="0" collapsed="false">
      <c r="A99" s="37" t="s">
        <v>64</v>
      </c>
      <c r="B99" s="37" t="s">
        <v>103</v>
      </c>
      <c r="C99" s="37" t="str">
        <f aca="false">INDEX(Data_CostCodes!$B:$B,MATCH($B99,Data_CostCodes!$A:$A,0))</f>
        <v>Cast-in-Place Concrete</v>
      </c>
      <c r="D99" s="37" t="str">
        <f aca="false">INDEX(Data_CostCodes!$D:$D,MATCH($B99,Data_CostCodes!$A:$A,0))</f>
        <v>Material</v>
      </c>
      <c r="E99" s="38" t="n">
        <f aca="false">SUMIFS(Data_Budgets!$C:$C,Data_Budgets!$A:$A,$A99,Data_Budgets!$B:$B,$B99)</f>
        <v>763100</v>
      </c>
      <c r="F99" s="38" t="n">
        <f aca="false">SUMIFS(Data_Budgets!$D:$D,Data_Budgets!$A:$A,$A99,Data_Budgets!$B:$B,$B99)</f>
        <v>0</v>
      </c>
      <c r="G99" s="38" t="n">
        <f aca="false">E99+F99</f>
        <v>763100</v>
      </c>
      <c r="H99" s="38" t="n">
        <f aca="false">SUMIFS(Data_JobCost!$L:$L,Data_JobCost!$D:$D,$A99,Data_JobCost!$E:$E,$B99)</f>
        <v>756596.67</v>
      </c>
      <c r="I99" s="38" t="n">
        <f aca="false">SUMIFS(Data_Commitments!$E:$E,Data_Commitments!$B:$B,$A99,Data_Commitments!$C:$C,$B99)</f>
        <v>767600</v>
      </c>
      <c r="J99" s="41" t="n">
        <f aca="false">SUMIFS(Data_Progress!$C:$C,Data_Progress!$A:$A,$A99,Data_Progress!$B:$B,$B99)</f>
        <v>1</v>
      </c>
      <c r="K99" s="38" t="n">
        <f aca="false">G99*J99</f>
        <v>763100</v>
      </c>
      <c r="L99" s="42" t="n">
        <f aca="false">IF(H99&gt;0,K99/H99,"")</f>
        <v>1.00859550439206</v>
      </c>
      <c r="M99" s="38" t="n">
        <f aca="false">IF(I99&gt;0,MAX(I99,H99),IF(J99&gt;0,H99+(G99-K99)/L99,G99))</f>
        <v>767600</v>
      </c>
      <c r="N99" s="38" t="n">
        <f aca="false">G99-M99</f>
        <v>-4500</v>
      </c>
      <c r="O99" s="38" t="n">
        <f aca="false">M99-H99</f>
        <v>11003.33</v>
      </c>
      <c r="P99" s="43" t="n">
        <f aca="false">SUMIFS(Data_Budgets!$F:$F,Data_Budgets!$A:$A,$A99,Data_Budgets!$B:$B,$B99)</f>
        <v>0</v>
      </c>
      <c r="Q99" s="43" t="n">
        <f aca="false">SUMIFS(Data_JobCost!$K:$K,Data_JobCost!$D:$D,$A99,Data_JobCost!$E:$E,$B99)</f>
        <v>0</v>
      </c>
      <c r="R99" s="43" t="n">
        <f aca="false">P99*J99</f>
        <v>0</v>
      </c>
    </row>
    <row r="100" customFormat="false" ht="15" hidden="false" customHeight="false" outlineLevel="0" collapsed="false">
      <c r="A100" s="37" t="s">
        <v>64</v>
      </c>
      <c r="B100" s="37" t="s">
        <v>104</v>
      </c>
      <c r="C100" s="37" t="str">
        <f aca="false">INDEX(Data_CostCodes!$B:$B,MATCH($B100,Data_CostCodes!$A:$A,0))</f>
        <v>Masonry</v>
      </c>
      <c r="D100" s="37" t="str">
        <f aca="false">INDEX(Data_CostCodes!$D:$D,MATCH($B100,Data_CostCodes!$A:$A,0))</f>
        <v>Subcontract</v>
      </c>
      <c r="E100" s="38" t="n">
        <f aca="false">SUMIFS(Data_Budgets!$C:$C,Data_Budgets!$A:$A,$A100,Data_Budgets!$B:$B,$B100)</f>
        <v>789900</v>
      </c>
      <c r="F100" s="38" t="n">
        <f aca="false">SUMIFS(Data_Budgets!$D:$D,Data_Budgets!$A:$A,$A100,Data_Budgets!$B:$B,$B100)</f>
        <v>0</v>
      </c>
      <c r="G100" s="38" t="n">
        <f aca="false">E100+F100</f>
        <v>789900</v>
      </c>
      <c r="H100" s="38" t="n">
        <f aca="false">SUMIFS(Data_JobCost!$L:$L,Data_JobCost!$D:$D,$A100,Data_JobCost!$E:$E,$B100)</f>
        <v>808032.22</v>
      </c>
      <c r="I100" s="38" t="n">
        <f aca="false">SUMIFS(Data_Commitments!$E:$E,Data_Commitments!$B:$B,$A100,Data_Commitments!$C:$C,$B100)</f>
        <v>811100</v>
      </c>
      <c r="J100" s="41" t="n">
        <f aca="false">SUMIFS(Data_Progress!$C:$C,Data_Progress!$A:$A,$A100,Data_Progress!$B:$B,$B100)</f>
        <v>1</v>
      </c>
      <c r="K100" s="38" t="n">
        <f aca="false">G100*J100</f>
        <v>789900</v>
      </c>
      <c r="L100" s="42" t="n">
        <f aca="false">IF(H100&gt;0,K100/H100,"")</f>
        <v>0.977560028485003</v>
      </c>
      <c r="M100" s="38" t="n">
        <f aca="false">IF(I100&gt;0,MAX(I100,H100),IF(J100&gt;0,H100+(G100-K100)/L100,G100))</f>
        <v>811100</v>
      </c>
      <c r="N100" s="38" t="n">
        <f aca="false">G100-M100</f>
        <v>-21200</v>
      </c>
      <c r="O100" s="38" t="n">
        <f aca="false">M100-H100</f>
        <v>3067.78000000003</v>
      </c>
      <c r="P100" s="43" t="n">
        <f aca="false">SUMIFS(Data_Budgets!$F:$F,Data_Budgets!$A:$A,$A100,Data_Budgets!$B:$B,$B100)</f>
        <v>0</v>
      </c>
      <c r="Q100" s="43" t="n">
        <f aca="false">SUMIFS(Data_JobCost!$K:$K,Data_JobCost!$D:$D,$A100,Data_JobCost!$E:$E,$B100)</f>
        <v>0</v>
      </c>
      <c r="R100" s="43" t="n">
        <f aca="false">P100*J100</f>
        <v>0</v>
      </c>
    </row>
    <row r="101" customFormat="false" ht="15" hidden="false" customHeight="false" outlineLevel="0" collapsed="false">
      <c r="A101" s="37" t="s">
        <v>64</v>
      </c>
      <c r="B101" s="37" t="s">
        <v>105</v>
      </c>
      <c r="C101" s="37" t="str">
        <f aca="false">INDEX(Data_CostCodes!$B:$B,MATCH($B101,Data_CostCodes!$A:$A,0))</f>
        <v>Structural Steel</v>
      </c>
      <c r="D101" s="37" t="str">
        <f aca="false">INDEX(Data_CostCodes!$D:$D,MATCH($B101,Data_CostCodes!$A:$A,0))</f>
        <v>Subcontract</v>
      </c>
      <c r="E101" s="38" t="n">
        <f aca="false">SUMIFS(Data_Budgets!$C:$C,Data_Budgets!$A:$A,$A101,Data_Budgets!$B:$B,$B101)</f>
        <v>730300</v>
      </c>
      <c r="F101" s="38" t="n">
        <f aca="false">SUMIFS(Data_Budgets!$D:$D,Data_Budgets!$A:$A,$A101,Data_Budgets!$B:$B,$B101)</f>
        <v>0</v>
      </c>
      <c r="G101" s="38" t="n">
        <f aca="false">E101+F101</f>
        <v>730300</v>
      </c>
      <c r="H101" s="38" t="n">
        <f aca="false">SUMIFS(Data_JobCost!$L:$L,Data_JobCost!$D:$D,$A101,Data_JobCost!$E:$E,$B101)</f>
        <v>731077.8</v>
      </c>
      <c r="I101" s="38" t="n">
        <f aca="false">SUMIFS(Data_Commitments!$E:$E,Data_Commitments!$B:$B,$A101,Data_Commitments!$C:$C,$B101)</f>
        <v>735800</v>
      </c>
      <c r="J101" s="41" t="n">
        <f aca="false">SUMIFS(Data_Progress!$C:$C,Data_Progress!$A:$A,$A101,Data_Progress!$B:$B,$B101)</f>
        <v>1</v>
      </c>
      <c r="K101" s="38" t="n">
        <f aca="false">G101*J101</f>
        <v>730300</v>
      </c>
      <c r="L101" s="42" t="n">
        <f aca="false">IF(H101&gt;0,K101/H101,"")</f>
        <v>0.998936091343493</v>
      </c>
      <c r="M101" s="38" t="n">
        <f aca="false">IF(I101&gt;0,MAX(I101,H101),IF(J101&gt;0,H101+(G101-K101)/L101,G101))</f>
        <v>735800</v>
      </c>
      <c r="N101" s="38" t="n">
        <f aca="false">G101-M101</f>
        <v>-5500</v>
      </c>
      <c r="O101" s="38" t="n">
        <f aca="false">M101-H101</f>
        <v>4722.20000000007</v>
      </c>
      <c r="P101" s="43" t="n">
        <f aca="false">SUMIFS(Data_Budgets!$F:$F,Data_Budgets!$A:$A,$A101,Data_Budgets!$B:$B,$B101)</f>
        <v>0</v>
      </c>
      <c r="Q101" s="43" t="n">
        <f aca="false">SUMIFS(Data_JobCost!$K:$K,Data_JobCost!$D:$D,$A101,Data_JobCost!$E:$E,$B101)</f>
        <v>0</v>
      </c>
      <c r="R101" s="43" t="n">
        <f aca="false">P101*J101</f>
        <v>0</v>
      </c>
    </row>
    <row r="102" customFormat="false" ht="15" hidden="false" customHeight="false" outlineLevel="0" collapsed="false">
      <c r="A102" s="37" t="s">
        <v>64</v>
      </c>
      <c r="B102" s="37" t="s">
        <v>106</v>
      </c>
      <c r="C102" s="37" t="str">
        <f aca="false">INDEX(Data_CostCodes!$B:$B,MATCH($B102,Data_CostCodes!$A:$A,0))</f>
        <v>Rough Carpentry</v>
      </c>
      <c r="D102" s="37" t="str">
        <f aca="false">INDEX(Data_CostCodes!$D:$D,MATCH($B102,Data_CostCodes!$A:$A,0))</f>
        <v>Labour</v>
      </c>
      <c r="E102" s="38" t="n">
        <f aca="false">SUMIFS(Data_Budgets!$C:$C,Data_Budgets!$A:$A,$A102,Data_Budgets!$B:$B,$B102)</f>
        <v>385900</v>
      </c>
      <c r="F102" s="38" t="n">
        <f aca="false">SUMIFS(Data_Budgets!$D:$D,Data_Budgets!$A:$A,$A102,Data_Budgets!$B:$B,$B102)</f>
        <v>0</v>
      </c>
      <c r="G102" s="38" t="n">
        <f aca="false">E102+F102</f>
        <v>385900</v>
      </c>
      <c r="H102" s="38" t="n">
        <f aca="false">SUMIFS(Data_JobCost!$L:$L,Data_JobCost!$D:$D,$A102,Data_JobCost!$E:$E,$B102)</f>
        <v>360969.68</v>
      </c>
      <c r="I102" s="38" t="n">
        <f aca="false">SUMIFS(Data_Commitments!$E:$E,Data_Commitments!$B:$B,$A102,Data_Commitments!$C:$C,$B102)</f>
        <v>0</v>
      </c>
      <c r="J102" s="41" t="n">
        <f aca="false">SUMIFS(Data_Progress!$C:$C,Data_Progress!$A:$A,$A102,Data_Progress!$B:$B,$B102)</f>
        <v>0.751</v>
      </c>
      <c r="K102" s="38" t="n">
        <f aca="false">G102*J102</f>
        <v>289810.9</v>
      </c>
      <c r="L102" s="42" t="n">
        <f aca="false">IF(H102&gt;0,K102/H102,"")</f>
        <v>0.802867708999825</v>
      </c>
      <c r="M102" s="38" t="n">
        <f aca="false">IF(I102&gt;0,MAX(I102,H102),IF(J102&gt;0,H102+(G102-K102)/L102,G102))</f>
        <v>480652.037283622</v>
      </c>
      <c r="N102" s="38" t="n">
        <f aca="false">G102-M102</f>
        <v>-94752.0372836218</v>
      </c>
      <c r="O102" s="38" t="n">
        <f aca="false">M102-H102</f>
        <v>119682.357283622</v>
      </c>
      <c r="P102" s="43" t="n">
        <f aca="false">SUMIFS(Data_Budgets!$F:$F,Data_Budgets!$A:$A,$A102,Data_Budgets!$B:$B,$B102)</f>
        <v>5435</v>
      </c>
      <c r="Q102" s="43" t="n">
        <f aca="false">SUMIFS(Data_JobCost!$K:$K,Data_JobCost!$D:$D,$A102,Data_JobCost!$E:$E,$B102)</f>
        <v>5084.1</v>
      </c>
      <c r="R102" s="43" t="n">
        <f aca="false">P102*J102</f>
        <v>4081.685</v>
      </c>
    </row>
    <row r="103" customFormat="false" ht="15" hidden="false" customHeight="false" outlineLevel="0" collapsed="false">
      <c r="A103" s="37" t="s">
        <v>64</v>
      </c>
      <c r="B103" s="37" t="s">
        <v>107</v>
      </c>
      <c r="C103" s="37" t="str">
        <f aca="false">INDEX(Data_CostCodes!$B:$B,MATCH($B103,Data_CostCodes!$A:$A,0))</f>
        <v>Roofing &amp; Insulation</v>
      </c>
      <c r="D103" s="37" t="str">
        <f aca="false">INDEX(Data_CostCodes!$D:$D,MATCH($B103,Data_CostCodes!$A:$A,0))</f>
        <v>Subcontract</v>
      </c>
      <c r="E103" s="38" t="n">
        <f aca="false">SUMIFS(Data_Budgets!$C:$C,Data_Budgets!$A:$A,$A103,Data_Budgets!$B:$B,$B103)</f>
        <v>647300</v>
      </c>
      <c r="F103" s="38" t="n">
        <f aca="false">SUMIFS(Data_Budgets!$D:$D,Data_Budgets!$A:$A,$A103,Data_Budgets!$B:$B,$B103)</f>
        <v>57600</v>
      </c>
      <c r="G103" s="38" t="n">
        <f aca="false">E103+F103</f>
        <v>704900</v>
      </c>
      <c r="H103" s="38" t="n">
        <f aca="false">SUMIFS(Data_JobCost!$L:$L,Data_JobCost!$D:$D,$A103,Data_JobCost!$E:$E,$B103)</f>
        <v>657408.01</v>
      </c>
      <c r="I103" s="38" t="n">
        <f aca="false">SUMIFS(Data_Commitments!$E:$E,Data_Commitments!$B:$B,$A103,Data_Commitments!$C:$C,$B103)</f>
        <v>705400</v>
      </c>
      <c r="J103" s="41" t="n">
        <f aca="false">SUMIFS(Data_Progress!$C:$C,Data_Progress!$A:$A,$A103,Data_Progress!$B:$B,$B103)</f>
        <v>0.954</v>
      </c>
      <c r="K103" s="38" t="n">
        <f aca="false">G103*J103</f>
        <v>672474.6</v>
      </c>
      <c r="L103" s="42" t="n">
        <f aca="false">IF(H103&gt;0,K103/H103,"")</f>
        <v>1.02291817223219</v>
      </c>
      <c r="M103" s="38" t="n">
        <f aca="false">IF(I103&gt;0,MAX(I103,H103),IF(J103&gt;0,H103+(G103-K103)/L103,G103))</f>
        <v>705400</v>
      </c>
      <c r="N103" s="38" t="n">
        <f aca="false">G103-M103</f>
        <v>-500</v>
      </c>
      <c r="O103" s="38" t="n">
        <f aca="false">M103-H103</f>
        <v>47991.99</v>
      </c>
      <c r="P103" s="43" t="n">
        <f aca="false">SUMIFS(Data_Budgets!$F:$F,Data_Budgets!$A:$A,$A103,Data_Budgets!$B:$B,$B103)</f>
        <v>0</v>
      </c>
      <c r="Q103" s="43" t="n">
        <f aca="false">SUMIFS(Data_JobCost!$K:$K,Data_JobCost!$D:$D,$A103,Data_JobCost!$E:$E,$B103)</f>
        <v>0</v>
      </c>
      <c r="R103" s="43" t="n">
        <f aca="false">P103*J103</f>
        <v>0</v>
      </c>
    </row>
    <row r="104" customFormat="false" ht="15" hidden="false" customHeight="false" outlineLevel="0" collapsed="false">
      <c r="A104" s="37" t="s">
        <v>64</v>
      </c>
      <c r="B104" s="37" t="s">
        <v>108</v>
      </c>
      <c r="C104" s="37" t="str">
        <f aca="false">INDEX(Data_CostCodes!$B:$B,MATCH($B104,Data_CostCodes!$A:$A,0))</f>
        <v>Doors, Frames &amp; Hardware</v>
      </c>
      <c r="D104" s="37" t="str">
        <f aca="false">INDEX(Data_CostCodes!$D:$D,MATCH($B104,Data_CostCodes!$A:$A,0))</f>
        <v>Material</v>
      </c>
      <c r="E104" s="38" t="n">
        <f aca="false">SUMIFS(Data_Budgets!$C:$C,Data_Budgets!$A:$A,$A104,Data_Budgets!$B:$B,$B104)</f>
        <v>438400</v>
      </c>
      <c r="F104" s="38" t="n">
        <f aca="false">SUMIFS(Data_Budgets!$D:$D,Data_Budgets!$A:$A,$A104,Data_Budgets!$B:$B,$B104)</f>
        <v>0</v>
      </c>
      <c r="G104" s="38" t="n">
        <f aca="false">E104+F104</f>
        <v>438400</v>
      </c>
      <c r="H104" s="38" t="n">
        <f aca="false">SUMIFS(Data_JobCost!$L:$L,Data_JobCost!$D:$D,$A104,Data_JobCost!$E:$E,$B104)</f>
        <v>46792.64</v>
      </c>
      <c r="I104" s="38" t="n">
        <f aca="false">SUMIFS(Data_Commitments!$E:$E,Data_Commitments!$B:$B,$A104,Data_Commitments!$C:$C,$B104)</f>
        <v>430700</v>
      </c>
      <c r="J104" s="41" t="n">
        <f aca="false">SUMIFS(Data_Progress!$C:$C,Data_Progress!$A:$A,$A104,Data_Progress!$B:$B,$B104)</f>
        <v>0.11</v>
      </c>
      <c r="K104" s="38" t="n">
        <f aca="false">G104*J104</f>
        <v>48224</v>
      </c>
      <c r="L104" s="42" t="n">
        <f aca="false">IF(H104&gt;0,K104/H104,"")</f>
        <v>1.03058942602939</v>
      </c>
      <c r="M104" s="38" t="n">
        <f aca="false">IF(I104&gt;0,MAX(I104,H104),IF(J104&gt;0,H104+(G104-K104)/L104,G104))</f>
        <v>430700</v>
      </c>
      <c r="N104" s="38" t="n">
        <f aca="false">G104-M104</f>
        <v>7700</v>
      </c>
      <c r="O104" s="38" t="n">
        <f aca="false">M104-H104</f>
        <v>383907.36</v>
      </c>
      <c r="P104" s="43" t="n">
        <f aca="false">SUMIFS(Data_Budgets!$F:$F,Data_Budgets!$A:$A,$A104,Data_Budgets!$B:$B,$B104)</f>
        <v>0</v>
      </c>
      <c r="Q104" s="43" t="n">
        <f aca="false">SUMIFS(Data_JobCost!$K:$K,Data_JobCost!$D:$D,$A104,Data_JobCost!$E:$E,$B104)</f>
        <v>0</v>
      </c>
      <c r="R104" s="43" t="n">
        <f aca="false">P104*J104</f>
        <v>0</v>
      </c>
    </row>
    <row r="105" customFormat="false" ht="15" hidden="false" customHeight="false" outlineLevel="0" collapsed="false">
      <c r="A105" s="37" t="s">
        <v>64</v>
      </c>
      <c r="B105" s="37" t="s">
        <v>109</v>
      </c>
      <c r="C105" s="37" t="str">
        <f aca="false">INDEX(Data_CostCodes!$B:$B,MATCH($B105,Data_CostCodes!$A:$A,0))</f>
        <v>Drywall &amp; Finishes</v>
      </c>
      <c r="D105" s="37" t="str">
        <f aca="false">INDEX(Data_CostCodes!$D:$D,MATCH($B105,Data_CostCodes!$A:$A,0))</f>
        <v>Subcontract</v>
      </c>
      <c r="E105" s="38" t="n">
        <f aca="false">SUMIFS(Data_Budgets!$C:$C,Data_Budgets!$A:$A,$A105,Data_Budgets!$B:$B,$B105)</f>
        <v>874500</v>
      </c>
      <c r="F105" s="38" t="n">
        <f aca="false">SUMIFS(Data_Budgets!$D:$D,Data_Budgets!$A:$A,$A105,Data_Budgets!$B:$B,$B105)</f>
        <v>0</v>
      </c>
      <c r="G105" s="38" t="n">
        <f aca="false">E105+F105</f>
        <v>874500</v>
      </c>
      <c r="H105" s="38" t="n">
        <f aca="false">SUMIFS(Data_JobCost!$L:$L,Data_JobCost!$D:$D,$A105,Data_JobCost!$E:$E,$B105)</f>
        <v>81208.9</v>
      </c>
      <c r="I105" s="38" t="n">
        <f aca="false">SUMIFS(Data_Commitments!$E:$E,Data_Commitments!$B:$B,$A105,Data_Commitments!$C:$C,$B105)</f>
        <v>884500</v>
      </c>
      <c r="J105" s="41" t="n">
        <f aca="false">SUMIFS(Data_Progress!$C:$C,Data_Progress!$A:$A,$A105,Data_Progress!$B:$B,$B105)</f>
        <v>0.094</v>
      </c>
      <c r="K105" s="38" t="n">
        <f aca="false">G105*J105</f>
        <v>82203</v>
      </c>
      <c r="L105" s="42" t="n">
        <f aca="false">IF(H105&gt;0,K105/H105,"")</f>
        <v>1.01224126912198</v>
      </c>
      <c r="M105" s="38" t="n">
        <f aca="false">IF(I105&gt;0,MAX(I105,H105),IF(J105&gt;0,H105+(G105-K105)/L105,G105))</f>
        <v>884500</v>
      </c>
      <c r="N105" s="38" t="n">
        <f aca="false">G105-M105</f>
        <v>-10000</v>
      </c>
      <c r="O105" s="38" t="n">
        <f aca="false">M105-H105</f>
        <v>803291.1</v>
      </c>
      <c r="P105" s="43" t="n">
        <f aca="false">SUMIFS(Data_Budgets!$F:$F,Data_Budgets!$A:$A,$A105,Data_Budgets!$B:$B,$B105)</f>
        <v>0</v>
      </c>
      <c r="Q105" s="43" t="n">
        <f aca="false">SUMIFS(Data_JobCost!$K:$K,Data_JobCost!$D:$D,$A105,Data_JobCost!$E:$E,$B105)</f>
        <v>0</v>
      </c>
      <c r="R105" s="43" t="n">
        <f aca="false">P105*J105</f>
        <v>0</v>
      </c>
    </row>
    <row r="106" customFormat="false" ht="15" hidden="false" customHeight="false" outlineLevel="0" collapsed="false">
      <c r="A106" s="37" t="s">
        <v>64</v>
      </c>
      <c r="B106" s="37" t="s">
        <v>110</v>
      </c>
      <c r="C106" s="37" t="str">
        <f aca="false">INDEX(Data_CostCodes!$B:$B,MATCH($B106,Data_CostCodes!$A:$A,0))</f>
        <v>Mechanical</v>
      </c>
      <c r="D106" s="37" t="str">
        <f aca="false">INDEX(Data_CostCodes!$D:$D,MATCH($B106,Data_CostCodes!$A:$A,0))</f>
        <v>Subcontract</v>
      </c>
      <c r="E106" s="38" t="n">
        <f aca="false">SUMIFS(Data_Budgets!$C:$C,Data_Budgets!$A:$A,$A106,Data_Budgets!$B:$B,$B106)</f>
        <v>1463800</v>
      </c>
      <c r="F106" s="38" t="n">
        <f aca="false">SUMIFS(Data_Budgets!$D:$D,Data_Budgets!$A:$A,$A106,Data_Budgets!$B:$B,$B106)</f>
        <v>0</v>
      </c>
      <c r="G106" s="38" t="n">
        <f aca="false">E106+F106</f>
        <v>1463800</v>
      </c>
      <c r="H106" s="38" t="n">
        <f aca="false">SUMIFS(Data_JobCost!$L:$L,Data_JobCost!$D:$D,$A106,Data_JobCost!$E:$E,$B106)</f>
        <v>1151483.07</v>
      </c>
      <c r="I106" s="38" t="n">
        <f aca="false">SUMIFS(Data_Commitments!$E:$E,Data_Commitments!$B:$B,$A106,Data_Commitments!$C:$C,$B106)</f>
        <v>1898700</v>
      </c>
      <c r="J106" s="41" t="n">
        <f aca="false">SUMIFS(Data_Progress!$C:$C,Data_Progress!$A:$A,$A106,Data_Progress!$B:$B,$B106)</f>
        <v>0.607</v>
      </c>
      <c r="K106" s="38" t="n">
        <f aca="false">G106*J106</f>
        <v>888526.6</v>
      </c>
      <c r="L106" s="42" t="n">
        <f aca="false">IF(H106&gt;0,K106/H106,"")</f>
        <v>0.771636703264773</v>
      </c>
      <c r="M106" s="38" t="n">
        <f aca="false">IF(I106&gt;0,MAX(I106,H106),IF(J106&gt;0,H106+(G106-K106)/L106,G106))</f>
        <v>1898700</v>
      </c>
      <c r="N106" s="38" t="n">
        <f aca="false">G106-M106</f>
        <v>-434900</v>
      </c>
      <c r="O106" s="38" t="n">
        <f aca="false">M106-H106</f>
        <v>747216.93</v>
      </c>
      <c r="P106" s="43" t="n">
        <f aca="false">SUMIFS(Data_Budgets!$F:$F,Data_Budgets!$A:$A,$A106,Data_Budgets!$B:$B,$B106)</f>
        <v>0</v>
      </c>
      <c r="Q106" s="43" t="n">
        <f aca="false">SUMIFS(Data_JobCost!$K:$K,Data_JobCost!$D:$D,$A106,Data_JobCost!$E:$E,$B106)</f>
        <v>0</v>
      </c>
      <c r="R106" s="43" t="n">
        <f aca="false">P106*J106</f>
        <v>0</v>
      </c>
    </row>
    <row r="107" customFormat="false" ht="15" hidden="false" customHeight="false" outlineLevel="0" collapsed="false">
      <c r="A107" s="37" t="s">
        <v>64</v>
      </c>
      <c r="B107" s="37" t="s">
        <v>111</v>
      </c>
      <c r="C107" s="37" t="str">
        <f aca="false">INDEX(Data_CostCodes!$B:$B,MATCH($B107,Data_CostCodes!$A:$A,0))</f>
        <v>Electrical</v>
      </c>
      <c r="D107" s="37" t="str">
        <f aca="false">INDEX(Data_CostCodes!$D:$D,MATCH($B107,Data_CostCodes!$A:$A,0))</f>
        <v>Subcontract</v>
      </c>
      <c r="E107" s="38" t="n">
        <f aca="false">SUMIFS(Data_Budgets!$C:$C,Data_Budgets!$A:$A,$A107,Data_Budgets!$B:$B,$B107)</f>
        <v>1065000</v>
      </c>
      <c r="F107" s="38" t="n">
        <f aca="false">SUMIFS(Data_Budgets!$D:$D,Data_Budgets!$A:$A,$A107,Data_Budgets!$B:$B,$B107)</f>
        <v>0</v>
      </c>
      <c r="G107" s="38" t="n">
        <f aca="false">E107+F107</f>
        <v>1065000</v>
      </c>
      <c r="H107" s="38" t="n">
        <f aca="false">SUMIFS(Data_JobCost!$L:$L,Data_JobCost!$D:$D,$A107,Data_JobCost!$E:$E,$B107)</f>
        <v>608567.8</v>
      </c>
      <c r="I107" s="38" t="n">
        <f aca="false">SUMIFS(Data_Commitments!$E:$E,Data_Commitments!$B:$B,$A107,Data_Commitments!$C:$C,$B107)</f>
        <v>1052300</v>
      </c>
      <c r="J107" s="41" t="n">
        <f aca="false">SUMIFS(Data_Progress!$C:$C,Data_Progress!$A:$A,$A107,Data_Progress!$B:$B,$B107)</f>
        <v>0.587</v>
      </c>
      <c r="K107" s="38" t="n">
        <f aca="false">G107*J107</f>
        <v>625155</v>
      </c>
      <c r="L107" s="42" t="n">
        <f aca="false">IF(H107&gt;0,K107/H107,"")</f>
        <v>1.02725612495436</v>
      </c>
      <c r="M107" s="38" t="n">
        <f aca="false">IF(I107&gt;0,MAX(I107,H107),IF(J107&gt;0,H107+(G107-K107)/L107,G107))</f>
        <v>1052300</v>
      </c>
      <c r="N107" s="38" t="n">
        <f aca="false">G107-M107</f>
        <v>12700</v>
      </c>
      <c r="O107" s="38" t="n">
        <f aca="false">M107-H107</f>
        <v>443732.2</v>
      </c>
      <c r="P107" s="43" t="n">
        <f aca="false">SUMIFS(Data_Budgets!$F:$F,Data_Budgets!$A:$A,$A107,Data_Budgets!$B:$B,$B107)</f>
        <v>0</v>
      </c>
      <c r="Q107" s="43" t="n">
        <f aca="false">SUMIFS(Data_JobCost!$K:$K,Data_JobCost!$D:$D,$A107,Data_JobCost!$E:$E,$B107)</f>
        <v>0</v>
      </c>
      <c r="R107" s="43" t="n">
        <f aca="false">P107*J107</f>
        <v>0</v>
      </c>
    </row>
    <row r="108" customFormat="false" ht="15" hidden="false" customHeight="false" outlineLevel="0" collapsed="false">
      <c r="A108" s="37" t="s">
        <v>65</v>
      </c>
      <c r="B108" s="37" t="s">
        <v>97</v>
      </c>
      <c r="C108" s="37" t="str">
        <f aca="false">INDEX(Data_CostCodes!$B:$B,MATCH($B108,Data_CostCodes!$A:$A,0))</f>
        <v>General Conditions - Supervision</v>
      </c>
      <c r="D108" s="37" t="str">
        <f aca="false">INDEX(Data_CostCodes!$D:$D,MATCH($B108,Data_CostCodes!$A:$A,0))</f>
        <v>Labour</v>
      </c>
      <c r="E108" s="38" t="n">
        <f aca="false">SUMIFS(Data_Budgets!$C:$C,Data_Budgets!$A:$A,$A108,Data_Budgets!$B:$B,$B108)</f>
        <v>1199900</v>
      </c>
      <c r="F108" s="38" t="n">
        <f aca="false">SUMIFS(Data_Budgets!$D:$D,Data_Budgets!$A:$A,$A108,Data_Budgets!$B:$B,$B108)</f>
        <v>0</v>
      </c>
      <c r="G108" s="38" t="n">
        <f aca="false">E108+F108</f>
        <v>1199900</v>
      </c>
      <c r="H108" s="38" t="n">
        <f aca="false">SUMIFS(Data_JobCost!$L:$L,Data_JobCost!$D:$D,$A108,Data_JobCost!$E:$E,$B108)</f>
        <v>953629.8</v>
      </c>
      <c r="I108" s="38" t="n">
        <f aca="false">SUMIFS(Data_Commitments!$E:$E,Data_Commitments!$B:$B,$A108,Data_Commitments!$C:$C,$B108)</f>
        <v>0</v>
      </c>
      <c r="J108" s="41" t="n">
        <f aca="false">SUMIFS(Data_Progress!$C:$C,Data_Progress!$A:$A,$A108,Data_Progress!$B:$B,$B108)</f>
        <v>0.791</v>
      </c>
      <c r="K108" s="38" t="n">
        <f aca="false">G108*J108</f>
        <v>949120.9</v>
      </c>
      <c r="L108" s="42" t="n">
        <f aca="false">IF(H108&gt;0,K108/H108,"")</f>
        <v>0.995271854969297</v>
      </c>
      <c r="M108" s="38" t="n">
        <f aca="false">IF(I108&gt;0,MAX(I108,H108),IF(J108&gt;0,H108+(G108-K108)/L108,G108))</f>
        <v>1205600.2528445</v>
      </c>
      <c r="N108" s="38" t="n">
        <f aca="false">G108-M108</f>
        <v>-5700.25284450059</v>
      </c>
      <c r="O108" s="38" t="n">
        <f aca="false">M108-H108</f>
        <v>251970.452844501</v>
      </c>
      <c r="P108" s="43" t="n">
        <f aca="false">SUMIFS(Data_Budgets!$F:$F,Data_Budgets!$A:$A,$A108,Data_Budgets!$B:$B,$B108)</f>
        <v>13042</v>
      </c>
      <c r="Q108" s="43" t="n">
        <f aca="false">SUMIFS(Data_JobCost!$K:$K,Data_JobCost!$D:$D,$A108,Data_JobCost!$E:$E,$B108)</f>
        <v>10365.8</v>
      </c>
      <c r="R108" s="43" t="n">
        <f aca="false">P108*J108</f>
        <v>10316.222</v>
      </c>
    </row>
    <row r="109" customFormat="false" ht="15" hidden="false" customHeight="false" outlineLevel="0" collapsed="false">
      <c r="A109" s="37" t="s">
        <v>65</v>
      </c>
      <c r="B109" s="37" t="s">
        <v>98</v>
      </c>
      <c r="C109" s="37" t="str">
        <f aca="false">INDEX(Data_CostCodes!$B:$B,MATCH($B109,Data_CostCodes!$A:$A,0))</f>
        <v>Site Facilities &amp; Temp Services</v>
      </c>
      <c r="D109" s="37" t="str">
        <f aca="false">INDEX(Data_CostCodes!$D:$D,MATCH($B109,Data_CostCodes!$A:$A,0))</f>
        <v>Other</v>
      </c>
      <c r="E109" s="38" t="n">
        <f aca="false">SUMIFS(Data_Budgets!$C:$C,Data_Budgets!$A:$A,$A109,Data_Budgets!$B:$B,$B109)</f>
        <v>509000</v>
      </c>
      <c r="F109" s="38" t="n">
        <f aca="false">SUMIFS(Data_Budgets!$D:$D,Data_Budgets!$A:$A,$A109,Data_Budgets!$B:$B,$B109)</f>
        <v>0</v>
      </c>
      <c r="G109" s="38" t="n">
        <f aca="false">E109+F109</f>
        <v>509000</v>
      </c>
      <c r="H109" s="38" t="n">
        <f aca="false">SUMIFS(Data_JobCost!$L:$L,Data_JobCost!$D:$D,$A109,Data_JobCost!$E:$E,$B109)</f>
        <v>388824.89</v>
      </c>
      <c r="I109" s="38" t="n">
        <f aca="false">SUMIFS(Data_Commitments!$E:$E,Data_Commitments!$B:$B,$A109,Data_Commitments!$C:$C,$B109)</f>
        <v>0</v>
      </c>
      <c r="J109" s="41" t="n">
        <f aca="false">SUMIFS(Data_Progress!$C:$C,Data_Progress!$A:$A,$A109,Data_Progress!$B:$B,$B109)</f>
        <v>0.774</v>
      </c>
      <c r="K109" s="38" t="n">
        <f aca="false">G109*J109</f>
        <v>393966</v>
      </c>
      <c r="L109" s="42" t="n">
        <f aca="false">IF(H109&gt;0,K109/H109,"")</f>
        <v>1.01322217309699</v>
      </c>
      <c r="M109" s="38" t="n">
        <f aca="false">IF(I109&gt;0,MAX(I109,H109),IF(J109&gt;0,H109+(G109-K109)/L109,G109))</f>
        <v>502357.739018088</v>
      </c>
      <c r="N109" s="38" t="n">
        <f aca="false">G109-M109</f>
        <v>6642.26098191214</v>
      </c>
      <c r="O109" s="38" t="n">
        <f aca="false">M109-H109</f>
        <v>113532.849018088</v>
      </c>
      <c r="P109" s="43" t="n">
        <f aca="false">SUMIFS(Data_Budgets!$F:$F,Data_Budgets!$A:$A,$A109,Data_Budgets!$B:$B,$B109)</f>
        <v>0</v>
      </c>
      <c r="Q109" s="43" t="n">
        <f aca="false">SUMIFS(Data_JobCost!$K:$K,Data_JobCost!$D:$D,$A109,Data_JobCost!$E:$E,$B109)</f>
        <v>0</v>
      </c>
      <c r="R109" s="43" t="n">
        <f aca="false">P109*J109</f>
        <v>0</v>
      </c>
    </row>
    <row r="110" customFormat="false" ht="15" hidden="false" customHeight="false" outlineLevel="0" collapsed="false">
      <c r="A110" s="37" t="s">
        <v>65</v>
      </c>
      <c r="B110" s="37" t="s">
        <v>99</v>
      </c>
      <c r="C110" s="37" t="str">
        <f aca="false">INDEX(Data_CostCodes!$B:$B,MATCH($B110,Data_CostCodes!$A:$A,0))</f>
        <v>Equipment Rental</v>
      </c>
      <c r="D110" s="37" t="str">
        <f aca="false">INDEX(Data_CostCodes!$D:$D,MATCH($B110,Data_CostCodes!$A:$A,0))</f>
        <v>Equipment</v>
      </c>
      <c r="E110" s="38" t="n">
        <f aca="false">SUMIFS(Data_Budgets!$C:$C,Data_Budgets!$A:$A,$A110,Data_Budgets!$B:$B,$B110)</f>
        <v>658100</v>
      </c>
      <c r="F110" s="38" t="n">
        <f aca="false">SUMIFS(Data_Budgets!$D:$D,Data_Budgets!$A:$A,$A110,Data_Budgets!$B:$B,$B110)</f>
        <v>38300</v>
      </c>
      <c r="G110" s="38" t="n">
        <f aca="false">E110+F110</f>
        <v>696400</v>
      </c>
      <c r="H110" s="38" t="n">
        <f aca="false">SUMIFS(Data_JobCost!$L:$L,Data_JobCost!$D:$D,$A110,Data_JobCost!$E:$E,$B110)</f>
        <v>617946.11</v>
      </c>
      <c r="I110" s="38" t="n">
        <f aca="false">SUMIFS(Data_Commitments!$E:$E,Data_Commitments!$B:$B,$A110,Data_Commitments!$C:$C,$B110)</f>
        <v>0</v>
      </c>
      <c r="J110" s="41" t="n">
        <f aca="false">SUMIFS(Data_Progress!$C:$C,Data_Progress!$A:$A,$A110,Data_Progress!$B:$B,$B110)</f>
        <v>0.896</v>
      </c>
      <c r="K110" s="38" t="n">
        <f aca="false">G110*J110</f>
        <v>623974.4</v>
      </c>
      <c r="L110" s="42" t="n">
        <f aca="false">IF(H110&gt;0,K110/H110,"")</f>
        <v>1.00975536523727</v>
      </c>
      <c r="M110" s="38" t="n">
        <f aca="false">IF(I110&gt;0,MAX(I110,H110),IF(J110&gt;0,H110+(G110-K110)/L110,G110))</f>
        <v>689671.997767857</v>
      </c>
      <c r="N110" s="38" t="n">
        <f aca="false">G110-M110</f>
        <v>6728.00223214296</v>
      </c>
      <c r="O110" s="38" t="n">
        <f aca="false">M110-H110</f>
        <v>71725.8877678571</v>
      </c>
      <c r="P110" s="43" t="n">
        <f aca="false">SUMIFS(Data_Budgets!$F:$F,Data_Budgets!$A:$A,$A110,Data_Budgets!$B:$B,$B110)</f>
        <v>0</v>
      </c>
      <c r="Q110" s="43" t="n">
        <f aca="false">SUMIFS(Data_JobCost!$K:$K,Data_JobCost!$D:$D,$A110,Data_JobCost!$E:$E,$B110)</f>
        <v>0</v>
      </c>
      <c r="R110" s="43" t="n">
        <f aca="false">P110*J110</f>
        <v>0</v>
      </c>
    </row>
    <row r="111" customFormat="false" ht="15" hidden="false" customHeight="false" outlineLevel="0" collapsed="false">
      <c r="A111" s="37" t="s">
        <v>65</v>
      </c>
      <c r="B111" s="37" t="s">
        <v>100</v>
      </c>
      <c r="C111" s="37" t="str">
        <f aca="false">INDEX(Data_CostCodes!$B:$B,MATCH($B111,Data_CostCodes!$A:$A,0))</f>
        <v>Earthwork &amp; Excavation</v>
      </c>
      <c r="D111" s="37" t="str">
        <f aca="false">INDEX(Data_CostCodes!$D:$D,MATCH($B111,Data_CostCodes!$A:$A,0))</f>
        <v>Subcontract</v>
      </c>
      <c r="E111" s="38" t="n">
        <f aca="false">SUMIFS(Data_Budgets!$C:$C,Data_Budgets!$A:$A,$A111,Data_Budgets!$B:$B,$B111)</f>
        <v>1227600</v>
      </c>
      <c r="F111" s="38" t="n">
        <f aca="false">SUMIFS(Data_Budgets!$D:$D,Data_Budgets!$A:$A,$A111,Data_Budgets!$B:$B,$B111)</f>
        <v>58200</v>
      </c>
      <c r="G111" s="38" t="n">
        <f aca="false">E111+F111</f>
        <v>1285800</v>
      </c>
      <c r="H111" s="38" t="n">
        <f aca="false">SUMIFS(Data_JobCost!$L:$L,Data_JobCost!$D:$D,$A111,Data_JobCost!$E:$E,$B111)</f>
        <v>1298186.18</v>
      </c>
      <c r="I111" s="38" t="n">
        <f aca="false">SUMIFS(Data_Commitments!$E:$E,Data_Commitments!$B:$B,$A111,Data_Commitments!$C:$C,$B111)</f>
        <v>1315300</v>
      </c>
      <c r="J111" s="41" t="n">
        <f aca="false">SUMIFS(Data_Progress!$C:$C,Data_Progress!$A:$A,$A111,Data_Progress!$B:$B,$B111)</f>
        <v>1</v>
      </c>
      <c r="K111" s="38" t="n">
        <f aca="false">G111*J111</f>
        <v>1285800</v>
      </c>
      <c r="L111" s="42" t="n">
        <f aca="false">IF(H111&gt;0,K111/H111,"")</f>
        <v>0.990458856987678</v>
      </c>
      <c r="M111" s="38" t="n">
        <f aca="false">IF(I111&gt;0,MAX(I111,H111),IF(J111&gt;0,H111+(G111-K111)/L111,G111))</f>
        <v>1315300</v>
      </c>
      <c r="N111" s="38" t="n">
        <f aca="false">G111-M111</f>
        <v>-29500</v>
      </c>
      <c r="O111" s="38" t="n">
        <f aca="false">M111-H111</f>
        <v>17113.8200000001</v>
      </c>
      <c r="P111" s="43" t="n">
        <f aca="false">SUMIFS(Data_Budgets!$F:$F,Data_Budgets!$A:$A,$A111,Data_Budgets!$B:$B,$B111)</f>
        <v>0</v>
      </c>
      <c r="Q111" s="43" t="n">
        <f aca="false">SUMIFS(Data_JobCost!$K:$K,Data_JobCost!$D:$D,$A111,Data_JobCost!$E:$E,$B111)</f>
        <v>0</v>
      </c>
      <c r="R111" s="43" t="n">
        <f aca="false">P111*J111</f>
        <v>0</v>
      </c>
    </row>
    <row r="112" customFormat="false" ht="15" hidden="false" customHeight="false" outlineLevel="0" collapsed="false">
      <c r="A112" s="37" t="s">
        <v>65</v>
      </c>
      <c r="B112" s="37" t="s">
        <v>101</v>
      </c>
      <c r="C112" s="37" t="str">
        <f aca="false">INDEX(Data_CostCodes!$B:$B,MATCH($B112,Data_CostCodes!$A:$A,0))</f>
        <v>Concrete Formwork</v>
      </c>
      <c r="D112" s="37" t="str">
        <f aca="false">INDEX(Data_CostCodes!$D:$D,MATCH($B112,Data_CostCodes!$A:$A,0))</f>
        <v>Labour</v>
      </c>
      <c r="E112" s="38" t="n">
        <f aca="false">SUMIFS(Data_Budgets!$C:$C,Data_Budgets!$A:$A,$A112,Data_Budgets!$B:$B,$B112)</f>
        <v>873100</v>
      </c>
      <c r="F112" s="38" t="n">
        <f aca="false">SUMIFS(Data_Budgets!$D:$D,Data_Budgets!$A:$A,$A112,Data_Budgets!$B:$B,$B112)</f>
        <v>0</v>
      </c>
      <c r="G112" s="38" t="n">
        <f aca="false">E112+F112</f>
        <v>873100</v>
      </c>
      <c r="H112" s="38" t="n">
        <f aca="false">SUMIFS(Data_JobCost!$L:$L,Data_JobCost!$D:$D,$A112,Data_JobCost!$E:$E,$B112)</f>
        <v>857839.11</v>
      </c>
      <c r="I112" s="38" t="n">
        <f aca="false">SUMIFS(Data_Commitments!$E:$E,Data_Commitments!$B:$B,$A112,Data_Commitments!$C:$C,$B112)</f>
        <v>0</v>
      </c>
      <c r="J112" s="41" t="n">
        <f aca="false">SUMIFS(Data_Progress!$C:$C,Data_Progress!$A:$A,$A112,Data_Progress!$B:$B,$B112)</f>
        <v>1</v>
      </c>
      <c r="K112" s="38" t="n">
        <f aca="false">G112*J112</f>
        <v>873100</v>
      </c>
      <c r="L112" s="42" t="n">
        <f aca="false">IF(H112&gt;0,K112/H112,"")</f>
        <v>1.01778992100279</v>
      </c>
      <c r="M112" s="38" t="n">
        <f aca="false">IF(I112&gt;0,MAX(I112,H112),IF(J112&gt;0,H112+(G112-K112)/L112,G112))</f>
        <v>857839.11</v>
      </c>
      <c r="N112" s="38" t="n">
        <f aca="false">G112-M112</f>
        <v>15260.89</v>
      </c>
      <c r="O112" s="38" t="n">
        <f aca="false">M112-H112</f>
        <v>0</v>
      </c>
      <c r="P112" s="43" t="n">
        <f aca="false">SUMIFS(Data_Budgets!$F:$F,Data_Budgets!$A:$A,$A112,Data_Budgets!$B:$B,$B112)</f>
        <v>11799</v>
      </c>
      <c r="Q112" s="43" t="n">
        <f aca="false">SUMIFS(Data_JobCost!$K:$K,Data_JobCost!$D:$D,$A112,Data_JobCost!$E:$E,$B112)</f>
        <v>11592.3</v>
      </c>
      <c r="R112" s="43" t="n">
        <f aca="false">P112*J112</f>
        <v>11799</v>
      </c>
    </row>
    <row r="113" customFormat="false" ht="15" hidden="false" customHeight="false" outlineLevel="0" collapsed="false">
      <c r="A113" s="37" t="s">
        <v>65</v>
      </c>
      <c r="B113" s="37" t="s">
        <v>102</v>
      </c>
      <c r="C113" s="37" t="str">
        <f aca="false">INDEX(Data_CostCodes!$B:$B,MATCH($B113,Data_CostCodes!$A:$A,0))</f>
        <v>Reinforcing Steel</v>
      </c>
      <c r="D113" s="37" t="str">
        <f aca="false">INDEX(Data_CostCodes!$D:$D,MATCH($B113,Data_CostCodes!$A:$A,0))</f>
        <v>Material</v>
      </c>
      <c r="E113" s="38" t="n">
        <f aca="false">SUMIFS(Data_Budgets!$C:$C,Data_Budgets!$A:$A,$A113,Data_Budgets!$B:$B,$B113)</f>
        <v>892600</v>
      </c>
      <c r="F113" s="38" t="n">
        <f aca="false">SUMIFS(Data_Budgets!$D:$D,Data_Budgets!$A:$A,$A113,Data_Budgets!$B:$B,$B113)</f>
        <v>0</v>
      </c>
      <c r="G113" s="38" t="n">
        <f aca="false">E113+F113</f>
        <v>892600</v>
      </c>
      <c r="H113" s="38" t="n">
        <f aca="false">SUMIFS(Data_JobCost!$L:$L,Data_JobCost!$D:$D,$A113,Data_JobCost!$E:$E,$B113)</f>
        <v>854863.53</v>
      </c>
      <c r="I113" s="38" t="n">
        <f aca="false">SUMIFS(Data_Commitments!$E:$E,Data_Commitments!$B:$B,$A113,Data_Commitments!$C:$C,$B113)</f>
        <v>881000</v>
      </c>
      <c r="J113" s="41" t="n">
        <f aca="false">SUMIFS(Data_Progress!$C:$C,Data_Progress!$A:$A,$A113,Data_Progress!$B:$B,$B113)</f>
        <v>1</v>
      </c>
      <c r="K113" s="38" t="n">
        <f aca="false">G113*J113</f>
        <v>892600</v>
      </c>
      <c r="L113" s="42" t="n">
        <f aca="false">IF(H113&gt;0,K113/H113,"")</f>
        <v>1.04414326810737</v>
      </c>
      <c r="M113" s="38" t="n">
        <f aca="false">IF(I113&gt;0,MAX(I113,H113),IF(J113&gt;0,H113+(G113-K113)/L113,G113))</f>
        <v>881000</v>
      </c>
      <c r="N113" s="38" t="n">
        <f aca="false">G113-M113</f>
        <v>11600</v>
      </c>
      <c r="O113" s="38" t="n">
        <f aca="false">M113-H113</f>
        <v>26136.47</v>
      </c>
      <c r="P113" s="43" t="n">
        <f aca="false">SUMIFS(Data_Budgets!$F:$F,Data_Budgets!$A:$A,$A113,Data_Budgets!$B:$B,$B113)</f>
        <v>0</v>
      </c>
      <c r="Q113" s="43" t="n">
        <f aca="false">SUMIFS(Data_JobCost!$K:$K,Data_JobCost!$D:$D,$A113,Data_JobCost!$E:$E,$B113)</f>
        <v>0</v>
      </c>
      <c r="R113" s="43" t="n">
        <f aca="false">P113*J113</f>
        <v>0</v>
      </c>
    </row>
    <row r="114" customFormat="false" ht="15" hidden="false" customHeight="false" outlineLevel="0" collapsed="false">
      <c r="A114" s="37" t="s">
        <v>65</v>
      </c>
      <c r="B114" s="37" t="s">
        <v>103</v>
      </c>
      <c r="C114" s="37" t="str">
        <f aca="false">INDEX(Data_CostCodes!$B:$B,MATCH($B114,Data_CostCodes!$A:$A,0))</f>
        <v>Cast-in-Place Concrete</v>
      </c>
      <c r="D114" s="37" t="str">
        <f aca="false">INDEX(Data_CostCodes!$D:$D,MATCH($B114,Data_CostCodes!$A:$A,0))</f>
        <v>Material</v>
      </c>
      <c r="E114" s="38" t="n">
        <f aca="false">SUMIFS(Data_Budgets!$C:$C,Data_Budgets!$A:$A,$A114,Data_Budgets!$B:$B,$B114)</f>
        <v>1323200</v>
      </c>
      <c r="F114" s="38" t="n">
        <f aca="false">SUMIFS(Data_Budgets!$D:$D,Data_Budgets!$A:$A,$A114,Data_Budgets!$B:$B,$B114)</f>
        <v>0</v>
      </c>
      <c r="G114" s="38" t="n">
        <f aca="false">E114+F114</f>
        <v>1323200</v>
      </c>
      <c r="H114" s="38" t="n">
        <f aca="false">SUMIFS(Data_JobCost!$L:$L,Data_JobCost!$D:$D,$A114,Data_JobCost!$E:$E,$B114)</f>
        <v>1270216.59</v>
      </c>
      <c r="I114" s="38" t="n">
        <f aca="false">SUMIFS(Data_Commitments!$E:$E,Data_Commitments!$B:$B,$A114,Data_Commitments!$C:$C,$B114)</f>
        <v>1292800</v>
      </c>
      <c r="J114" s="41" t="n">
        <f aca="false">SUMIFS(Data_Progress!$C:$C,Data_Progress!$A:$A,$A114,Data_Progress!$B:$B,$B114)</f>
        <v>1</v>
      </c>
      <c r="K114" s="38" t="n">
        <f aca="false">G114*J114</f>
        <v>1323200</v>
      </c>
      <c r="L114" s="42" t="n">
        <f aca="false">IF(H114&gt;0,K114/H114,"")</f>
        <v>1.04171210675181</v>
      </c>
      <c r="M114" s="38" t="n">
        <f aca="false">IF(I114&gt;0,MAX(I114,H114),IF(J114&gt;0,H114+(G114-K114)/L114,G114))</f>
        <v>1292800</v>
      </c>
      <c r="N114" s="38" t="n">
        <f aca="false">G114-M114</f>
        <v>30400</v>
      </c>
      <c r="O114" s="38" t="n">
        <f aca="false">M114-H114</f>
        <v>22583.4099999999</v>
      </c>
      <c r="P114" s="43" t="n">
        <f aca="false">SUMIFS(Data_Budgets!$F:$F,Data_Budgets!$A:$A,$A114,Data_Budgets!$B:$B,$B114)</f>
        <v>0</v>
      </c>
      <c r="Q114" s="43" t="n">
        <f aca="false">SUMIFS(Data_JobCost!$K:$K,Data_JobCost!$D:$D,$A114,Data_JobCost!$E:$E,$B114)</f>
        <v>0</v>
      </c>
      <c r="R114" s="43" t="n">
        <f aca="false">P114*J114</f>
        <v>0</v>
      </c>
    </row>
    <row r="115" customFormat="false" ht="15" hidden="false" customHeight="false" outlineLevel="0" collapsed="false">
      <c r="A115" s="37" t="s">
        <v>65</v>
      </c>
      <c r="B115" s="37" t="s">
        <v>105</v>
      </c>
      <c r="C115" s="37" t="str">
        <f aca="false">INDEX(Data_CostCodes!$B:$B,MATCH($B115,Data_CostCodes!$A:$A,0))</f>
        <v>Structural Steel</v>
      </c>
      <c r="D115" s="37" t="str">
        <f aca="false">INDEX(Data_CostCodes!$D:$D,MATCH($B115,Data_CostCodes!$A:$A,0))</f>
        <v>Subcontract</v>
      </c>
      <c r="E115" s="38" t="n">
        <f aca="false">SUMIFS(Data_Budgets!$C:$C,Data_Budgets!$A:$A,$A115,Data_Budgets!$B:$B,$B115)</f>
        <v>2666800</v>
      </c>
      <c r="F115" s="38" t="n">
        <f aca="false">SUMIFS(Data_Budgets!$D:$D,Data_Budgets!$A:$A,$A115,Data_Budgets!$B:$B,$B115)</f>
        <v>0</v>
      </c>
      <c r="G115" s="38" t="n">
        <f aca="false">E115+F115</f>
        <v>2666800</v>
      </c>
      <c r="H115" s="38" t="n">
        <f aca="false">SUMIFS(Data_JobCost!$L:$L,Data_JobCost!$D:$D,$A115,Data_JobCost!$E:$E,$B115)</f>
        <v>2553992.93</v>
      </c>
      <c r="I115" s="38" t="n">
        <f aca="false">SUMIFS(Data_Commitments!$E:$E,Data_Commitments!$B:$B,$A115,Data_Commitments!$C:$C,$B115)</f>
        <v>2620700</v>
      </c>
      <c r="J115" s="41" t="n">
        <f aca="false">SUMIFS(Data_Progress!$C:$C,Data_Progress!$A:$A,$A115,Data_Progress!$B:$B,$B115)</f>
        <v>1</v>
      </c>
      <c r="K115" s="38" t="n">
        <f aca="false">G115*J115</f>
        <v>2666800</v>
      </c>
      <c r="L115" s="42" t="n">
        <f aca="false">IF(H115&gt;0,K115/H115,"")</f>
        <v>1.04416890457093</v>
      </c>
      <c r="M115" s="38" t="n">
        <f aca="false">IF(I115&gt;0,MAX(I115,H115),IF(J115&gt;0,H115+(G115-K115)/L115,G115))</f>
        <v>2620700</v>
      </c>
      <c r="N115" s="38" t="n">
        <f aca="false">G115-M115</f>
        <v>46100</v>
      </c>
      <c r="O115" s="38" t="n">
        <f aca="false">M115-H115</f>
        <v>66707.0700000003</v>
      </c>
      <c r="P115" s="43" t="n">
        <f aca="false">SUMIFS(Data_Budgets!$F:$F,Data_Budgets!$A:$A,$A115,Data_Budgets!$B:$B,$B115)</f>
        <v>0</v>
      </c>
      <c r="Q115" s="43" t="n">
        <f aca="false">SUMIFS(Data_JobCost!$K:$K,Data_JobCost!$D:$D,$A115,Data_JobCost!$E:$E,$B115)</f>
        <v>0</v>
      </c>
      <c r="R115" s="43" t="n">
        <f aca="false">P115*J115</f>
        <v>0</v>
      </c>
    </row>
    <row r="116" customFormat="false" ht="15" hidden="false" customHeight="false" outlineLevel="0" collapsed="false">
      <c r="A116" s="37" t="s">
        <v>65</v>
      </c>
      <c r="B116" s="37" t="s">
        <v>106</v>
      </c>
      <c r="C116" s="37" t="str">
        <f aca="false">INDEX(Data_CostCodes!$B:$B,MATCH($B116,Data_CostCodes!$A:$A,0))</f>
        <v>Rough Carpentry</v>
      </c>
      <c r="D116" s="37" t="str">
        <f aca="false">INDEX(Data_CostCodes!$D:$D,MATCH($B116,Data_CostCodes!$A:$A,0))</f>
        <v>Labour</v>
      </c>
      <c r="E116" s="38" t="n">
        <f aca="false">SUMIFS(Data_Budgets!$C:$C,Data_Budgets!$A:$A,$A116,Data_Budgets!$B:$B,$B116)</f>
        <v>337700</v>
      </c>
      <c r="F116" s="38" t="n">
        <f aca="false">SUMIFS(Data_Budgets!$D:$D,Data_Budgets!$A:$A,$A116,Data_Budgets!$B:$B,$B116)</f>
        <v>0</v>
      </c>
      <c r="G116" s="38" t="n">
        <f aca="false">E116+F116</f>
        <v>337700</v>
      </c>
      <c r="H116" s="38" t="n">
        <f aca="false">SUMIFS(Data_JobCost!$L:$L,Data_JobCost!$D:$D,$A116,Data_JobCost!$E:$E,$B116)</f>
        <v>255485.96</v>
      </c>
      <c r="I116" s="38" t="n">
        <f aca="false">SUMIFS(Data_Commitments!$E:$E,Data_Commitments!$B:$B,$A116,Data_Commitments!$C:$C,$B116)</f>
        <v>0</v>
      </c>
      <c r="J116" s="41" t="n">
        <f aca="false">SUMIFS(Data_Progress!$C:$C,Data_Progress!$A:$A,$A116,Data_Progress!$B:$B,$B116)</f>
        <v>0.805</v>
      </c>
      <c r="K116" s="38" t="n">
        <f aca="false">G116*J116</f>
        <v>271848.5</v>
      </c>
      <c r="L116" s="42" t="n">
        <f aca="false">IF(H116&gt;0,K116/H116,"")</f>
        <v>1.06404477177533</v>
      </c>
      <c r="M116" s="38" t="n">
        <f aca="false">IF(I116&gt;0,MAX(I116,H116),IF(J116&gt;0,H116+(G116-K116)/L116,G116))</f>
        <v>317373.863354037</v>
      </c>
      <c r="N116" s="38" t="n">
        <f aca="false">G116-M116</f>
        <v>20326.1366459627</v>
      </c>
      <c r="O116" s="38" t="n">
        <f aca="false">M116-H116</f>
        <v>61887.9033540373</v>
      </c>
      <c r="P116" s="43" t="n">
        <f aca="false">SUMIFS(Data_Budgets!$F:$F,Data_Budgets!$A:$A,$A116,Data_Budgets!$B:$B,$B116)</f>
        <v>4756</v>
      </c>
      <c r="Q116" s="43" t="n">
        <f aca="false">SUMIFS(Data_JobCost!$K:$K,Data_JobCost!$D:$D,$A116,Data_JobCost!$E:$E,$B116)</f>
        <v>3598.4</v>
      </c>
      <c r="R116" s="43" t="n">
        <f aca="false">P116*J116</f>
        <v>3828.58</v>
      </c>
    </row>
    <row r="117" customFormat="false" ht="15" hidden="false" customHeight="false" outlineLevel="0" collapsed="false">
      <c r="A117" s="37" t="s">
        <v>65</v>
      </c>
      <c r="B117" s="37" t="s">
        <v>107</v>
      </c>
      <c r="C117" s="37" t="str">
        <f aca="false">INDEX(Data_CostCodes!$B:$B,MATCH($B117,Data_CostCodes!$A:$A,0))</f>
        <v>Roofing &amp; Insulation</v>
      </c>
      <c r="D117" s="37" t="str">
        <f aca="false">INDEX(Data_CostCodes!$D:$D,MATCH($B117,Data_CostCodes!$A:$A,0))</f>
        <v>Subcontract</v>
      </c>
      <c r="E117" s="38" t="n">
        <f aca="false">SUMIFS(Data_Budgets!$C:$C,Data_Budgets!$A:$A,$A117,Data_Budgets!$B:$B,$B117)</f>
        <v>967600</v>
      </c>
      <c r="F117" s="38" t="n">
        <f aca="false">SUMIFS(Data_Budgets!$D:$D,Data_Budgets!$A:$A,$A117,Data_Budgets!$B:$B,$B117)</f>
        <v>0</v>
      </c>
      <c r="G117" s="38" t="n">
        <f aca="false">E117+F117</f>
        <v>967600</v>
      </c>
      <c r="H117" s="38" t="n">
        <f aca="false">SUMIFS(Data_JobCost!$L:$L,Data_JobCost!$D:$D,$A117,Data_JobCost!$E:$E,$B117)</f>
        <v>979805.56</v>
      </c>
      <c r="I117" s="38" t="n">
        <f aca="false">SUMIFS(Data_Commitments!$E:$E,Data_Commitments!$B:$B,$A117,Data_Commitments!$C:$C,$B117)</f>
        <v>990400</v>
      </c>
      <c r="J117" s="41" t="n">
        <f aca="false">SUMIFS(Data_Progress!$C:$C,Data_Progress!$A:$A,$A117,Data_Progress!$B:$B,$B117)</f>
        <v>1</v>
      </c>
      <c r="K117" s="38" t="n">
        <f aca="false">G117*J117</f>
        <v>967600</v>
      </c>
      <c r="L117" s="42" t="n">
        <f aca="false">IF(H117&gt;0,K117/H117,"")</f>
        <v>0.987542875343553</v>
      </c>
      <c r="M117" s="38" t="n">
        <f aca="false">IF(I117&gt;0,MAX(I117,H117),IF(J117&gt;0,H117+(G117-K117)/L117,G117))</f>
        <v>990400</v>
      </c>
      <c r="N117" s="38" t="n">
        <f aca="false">G117-M117</f>
        <v>-22800</v>
      </c>
      <c r="O117" s="38" t="n">
        <f aca="false">M117-H117</f>
        <v>10594.4399999999</v>
      </c>
      <c r="P117" s="43" t="n">
        <f aca="false">SUMIFS(Data_Budgets!$F:$F,Data_Budgets!$A:$A,$A117,Data_Budgets!$B:$B,$B117)</f>
        <v>0</v>
      </c>
      <c r="Q117" s="43" t="n">
        <f aca="false">SUMIFS(Data_JobCost!$K:$K,Data_JobCost!$D:$D,$A117,Data_JobCost!$E:$E,$B117)</f>
        <v>0</v>
      </c>
      <c r="R117" s="43" t="n">
        <f aca="false">P117*J117</f>
        <v>0</v>
      </c>
    </row>
    <row r="118" customFormat="false" ht="15" hidden="false" customHeight="false" outlineLevel="0" collapsed="false">
      <c r="A118" s="37" t="s">
        <v>65</v>
      </c>
      <c r="B118" s="37" t="s">
        <v>108</v>
      </c>
      <c r="C118" s="37" t="str">
        <f aca="false">INDEX(Data_CostCodes!$B:$B,MATCH($B118,Data_CostCodes!$A:$A,0))</f>
        <v>Doors, Frames &amp; Hardware</v>
      </c>
      <c r="D118" s="37" t="str">
        <f aca="false">INDEX(Data_CostCodes!$D:$D,MATCH($B118,Data_CostCodes!$A:$A,0))</f>
        <v>Material</v>
      </c>
      <c r="E118" s="38" t="n">
        <f aca="false">SUMIFS(Data_Budgets!$C:$C,Data_Budgets!$A:$A,$A118,Data_Budgets!$B:$B,$B118)</f>
        <v>289100</v>
      </c>
      <c r="F118" s="38" t="n">
        <f aca="false">SUMIFS(Data_Budgets!$D:$D,Data_Budgets!$A:$A,$A118,Data_Budgets!$B:$B,$B118)</f>
        <v>0</v>
      </c>
      <c r="G118" s="38" t="n">
        <f aca="false">E118+F118</f>
        <v>289100</v>
      </c>
      <c r="H118" s="38" t="n">
        <f aca="false">SUMIFS(Data_JobCost!$L:$L,Data_JobCost!$D:$D,$A118,Data_JobCost!$E:$E,$B118)</f>
        <v>47899.5</v>
      </c>
      <c r="I118" s="38" t="n">
        <f aca="false">SUMIFS(Data_Commitments!$E:$E,Data_Commitments!$B:$B,$A118,Data_Commitments!$C:$C,$B118)</f>
        <v>293600</v>
      </c>
      <c r="J118" s="41" t="n">
        <f aca="false">SUMIFS(Data_Progress!$C:$C,Data_Progress!$A:$A,$A118,Data_Progress!$B:$B,$B118)</f>
        <v>0.168</v>
      </c>
      <c r="K118" s="38" t="n">
        <f aca="false">G118*J118</f>
        <v>48568.8</v>
      </c>
      <c r="L118" s="42" t="n">
        <f aca="false">IF(H118&gt;0,K118/H118,"")</f>
        <v>1.01397300598127</v>
      </c>
      <c r="M118" s="38" t="n">
        <f aca="false">IF(I118&gt;0,MAX(I118,H118),IF(J118&gt;0,H118+(G118-K118)/L118,G118))</f>
        <v>293600</v>
      </c>
      <c r="N118" s="38" t="n">
        <f aca="false">G118-M118</f>
        <v>-4500</v>
      </c>
      <c r="O118" s="38" t="n">
        <f aca="false">M118-H118</f>
        <v>245700.5</v>
      </c>
      <c r="P118" s="43" t="n">
        <f aca="false">SUMIFS(Data_Budgets!$F:$F,Data_Budgets!$A:$A,$A118,Data_Budgets!$B:$B,$B118)</f>
        <v>0</v>
      </c>
      <c r="Q118" s="43" t="n">
        <f aca="false">SUMIFS(Data_JobCost!$K:$K,Data_JobCost!$D:$D,$A118,Data_JobCost!$E:$E,$B118)</f>
        <v>0</v>
      </c>
      <c r="R118" s="43" t="n">
        <f aca="false">P118*J118</f>
        <v>0</v>
      </c>
    </row>
    <row r="119" customFormat="false" ht="15" hidden="false" customHeight="false" outlineLevel="0" collapsed="false">
      <c r="A119" s="37" t="s">
        <v>65</v>
      </c>
      <c r="B119" s="37" t="s">
        <v>109</v>
      </c>
      <c r="C119" s="37" t="str">
        <f aca="false">INDEX(Data_CostCodes!$B:$B,MATCH($B119,Data_CostCodes!$A:$A,0))</f>
        <v>Drywall &amp; Finishes</v>
      </c>
      <c r="D119" s="37" t="str">
        <f aca="false">INDEX(Data_CostCodes!$D:$D,MATCH($B119,Data_CostCodes!$A:$A,0))</f>
        <v>Subcontract</v>
      </c>
      <c r="E119" s="38" t="n">
        <f aca="false">SUMIFS(Data_Budgets!$C:$C,Data_Budgets!$A:$A,$A119,Data_Budgets!$B:$B,$B119)</f>
        <v>637500</v>
      </c>
      <c r="F119" s="38" t="n">
        <f aca="false">SUMIFS(Data_Budgets!$D:$D,Data_Budgets!$A:$A,$A119,Data_Budgets!$B:$B,$B119)</f>
        <v>0</v>
      </c>
      <c r="G119" s="38" t="n">
        <f aca="false">E119+F119</f>
        <v>637500</v>
      </c>
      <c r="H119" s="38" t="n">
        <f aca="false">SUMIFS(Data_JobCost!$L:$L,Data_JobCost!$D:$D,$A119,Data_JobCost!$E:$E,$B119)</f>
        <v>91203.98</v>
      </c>
      <c r="I119" s="38" t="n">
        <f aca="false">SUMIFS(Data_Commitments!$E:$E,Data_Commitments!$B:$B,$A119,Data_Commitments!$C:$C,$B119)</f>
        <v>626700</v>
      </c>
      <c r="J119" s="41" t="n">
        <f aca="false">SUMIFS(Data_Progress!$C:$C,Data_Progress!$A:$A,$A119,Data_Progress!$B:$B,$B119)</f>
        <v>0.147</v>
      </c>
      <c r="K119" s="38" t="n">
        <f aca="false">G119*J119</f>
        <v>93712.5</v>
      </c>
      <c r="L119" s="42" t="n">
        <f aca="false">IF(H119&gt;0,K119/H119,"")</f>
        <v>1.02750450144829</v>
      </c>
      <c r="M119" s="38" t="n">
        <f aca="false">IF(I119&gt;0,MAX(I119,H119),IF(J119&gt;0,H119+(G119-K119)/L119,G119))</f>
        <v>626700</v>
      </c>
      <c r="N119" s="38" t="n">
        <f aca="false">G119-M119</f>
        <v>10800</v>
      </c>
      <c r="O119" s="38" t="n">
        <f aca="false">M119-H119</f>
        <v>535496.02</v>
      </c>
      <c r="P119" s="43" t="n">
        <f aca="false">SUMIFS(Data_Budgets!$F:$F,Data_Budgets!$A:$A,$A119,Data_Budgets!$B:$B,$B119)</f>
        <v>0</v>
      </c>
      <c r="Q119" s="43" t="n">
        <f aca="false">SUMIFS(Data_JobCost!$K:$K,Data_JobCost!$D:$D,$A119,Data_JobCost!$E:$E,$B119)</f>
        <v>0</v>
      </c>
      <c r="R119" s="43" t="n">
        <f aca="false">P119*J119</f>
        <v>0</v>
      </c>
    </row>
    <row r="120" customFormat="false" ht="15" hidden="false" customHeight="false" outlineLevel="0" collapsed="false">
      <c r="A120" s="37" t="s">
        <v>65</v>
      </c>
      <c r="B120" s="37" t="s">
        <v>110</v>
      </c>
      <c r="C120" s="37" t="str">
        <f aca="false">INDEX(Data_CostCodes!$B:$B,MATCH($B120,Data_CostCodes!$A:$A,0))</f>
        <v>Mechanical</v>
      </c>
      <c r="D120" s="37" t="str">
        <f aca="false">INDEX(Data_CostCodes!$D:$D,MATCH($B120,Data_CostCodes!$A:$A,0))</f>
        <v>Subcontract</v>
      </c>
      <c r="E120" s="38" t="n">
        <f aca="false">SUMIFS(Data_Budgets!$C:$C,Data_Budgets!$A:$A,$A120,Data_Budgets!$B:$B,$B120)</f>
        <v>2513100</v>
      </c>
      <c r="F120" s="38" t="n">
        <f aca="false">SUMIFS(Data_Budgets!$D:$D,Data_Budgets!$A:$A,$A120,Data_Budgets!$B:$B,$B120)</f>
        <v>150000</v>
      </c>
      <c r="G120" s="38" t="n">
        <f aca="false">E120+F120</f>
        <v>2663100</v>
      </c>
      <c r="H120" s="38" t="n">
        <f aca="false">SUMIFS(Data_JobCost!$L:$L,Data_JobCost!$D:$D,$A120,Data_JobCost!$E:$E,$B120)</f>
        <v>1740749.17</v>
      </c>
      <c r="I120" s="38" t="n">
        <f aca="false">SUMIFS(Data_Commitments!$E:$E,Data_Commitments!$B:$B,$A120,Data_Commitments!$C:$C,$B120)</f>
        <v>2709200</v>
      </c>
      <c r="J120" s="41" t="n">
        <f aca="false">SUMIFS(Data_Progress!$C:$C,Data_Progress!$A:$A,$A120,Data_Progress!$B:$B,$B120)</f>
        <v>0.648</v>
      </c>
      <c r="K120" s="38" t="n">
        <f aca="false">G120*J120</f>
        <v>1725688.8</v>
      </c>
      <c r="L120" s="42" t="n">
        <f aca="false">IF(H120&gt;0,K120/H120,"")</f>
        <v>0.991348339979389</v>
      </c>
      <c r="M120" s="38" t="n">
        <f aca="false">IF(I120&gt;0,MAX(I120,H120),IF(J120&gt;0,H120+(G120-K120)/L120,G120))</f>
        <v>2709200</v>
      </c>
      <c r="N120" s="38" t="n">
        <f aca="false">G120-M120</f>
        <v>-46100</v>
      </c>
      <c r="O120" s="38" t="n">
        <f aca="false">M120-H120</f>
        <v>968450.83</v>
      </c>
      <c r="P120" s="43" t="n">
        <f aca="false">SUMIFS(Data_Budgets!$F:$F,Data_Budgets!$A:$A,$A120,Data_Budgets!$B:$B,$B120)</f>
        <v>0</v>
      </c>
      <c r="Q120" s="43" t="n">
        <f aca="false">SUMIFS(Data_JobCost!$K:$K,Data_JobCost!$D:$D,$A120,Data_JobCost!$E:$E,$B120)</f>
        <v>0</v>
      </c>
      <c r="R120" s="43" t="n">
        <f aca="false">P120*J120</f>
        <v>0</v>
      </c>
    </row>
    <row r="121" customFormat="false" ht="15" hidden="false" customHeight="false" outlineLevel="0" collapsed="false">
      <c r="A121" s="37" t="s">
        <v>65</v>
      </c>
      <c r="B121" s="37" t="s">
        <v>111</v>
      </c>
      <c r="C121" s="37" t="str">
        <f aca="false">INDEX(Data_CostCodes!$B:$B,MATCH($B121,Data_CostCodes!$A:$A,0))</f>
        <v>Electrical</v>
      </c>
      <c r="D121" s="37" t="str">
        <f aca="false">INDEX(Data_CostCodes!$D:$D,MATCH($B121,Data_CostCodes!$A:$A,0))</f>
        <v>Subcontract</v>
      </c>
      <c r="E121" s="38" t="n">
        <f aca="false">SUMIFS(Data_Budgets!$C:$C,Data_Budgets!$A:$A,$A121,Data_Budgets!$B:$B,$B121)</f>
        <v>1960400</v>
      </c>
      <c r="F121" s="38" t="n">
        <f aca="false">SUMIFS(Data_Budgets!$D:$D,Data_Budgets!$A:$A,$A121,Data_Budgets!$B:$B,$B121)</f>
        <v>0</v>
      </c>
      <c r="G121" s="38" t="n">
        <f aca="false">E121+F121</f>
        <v>1960400</v>
      </c>
      <c r="H121" s="38" t="n">
        <f aca="false">SUMIFS(Data_JobCost!$L:$L,Data_JobCost!$D:$D,$A121,Data_JobCost!$E:$E,$B121)</f>
        <v>1181480.68</v>
      </c>
      <c r="I121" s="38" t="n">
        <f aca="false">SUMIFS(Data_Commitments!$E:$E,Data_Commitments!$B:$B,$A121,Data_Commitments!$C:$C,$B121)</f>
        <v>1931200</v>
      </c>
      <c r="J121" s="41" t="n">
        <f aca="false">SUMIFS(Data_Progress!$C:$C,Data_Progress!$A:$A,$A121,Data_Progress!$B:$B,$B121)</f>
        <v>0.619</v>
      </c>
      <c r="K121" s="38" t="n">
        <f aca="false">G121*J121</f>
        <v>1213487.6</v>
      </c>
      <c r="L121" s="42" t="n">
        <f aca="false">IF(H121&gt;0,K121/H121,"")</f>
        <v>1.02709051492911</v>
      </c>
      <c r="M121" s="38" t="n">
        <f aca="false">IF(I121&gt;0,MAX(I121,H121),IF(J121&gt;0,H121+(G121-K121)/L121,G121))</f>
        <v>1931200</v>
      </c>
      <c r="N121" s="38" t="n">
        <f aca="false">G121-M121</f>
        <v>29200</v>
      </c>
      <c r="O121" s="38" t="n">
        <f aca="false">M121-H121</f>
        <v>749719.32</v>
      </c>
      <c r="P121" s="43" t="n">
        <f aca="false">SUMIFS(Data_Budgets!$F:$F,Data_Budgets!$A:$A,$A121,Data_Budgets!$B:$B,$B121)</f>
        <v>0</v>
      </c>
      <c r="Q121" s="43" t="n">
        <f aca="false">SUMIFS(Data_JobCost!$K:$K,Data_JobCost!$D:$D,$A121,Data_JobCost!$E:$E,$B121)</f>
        <v>0</v>
      </c>
      <c r="R121" s="43" t="n">
        <f aca="false">P121*J121</f>
        <v>0</v>
      </c>
    </row>
    <row r="122" customFormat="false" ht="15" hidden="false" customHeight="false" outlineLevel="0" collapsed="false">
      <c r="A122" s="37" t="s">
        <v>66</v>
      </c>
      <c r="B122" s="37" t="s">
        <v>97</v>
      </c>
      <c r="C122" s="37" t="str">
        <f aca="false">INDEX(Data_CostCodes!$B:$B,MATCH($B122,Data_CostCodes!$A:$A,0))</f>
        <v>General Conditions - Supervision</v>
      </c>
      <c r="D122" s="37" t="str">
        <f aca="false">INDEX(Data_CostCodes!$D:$D,MATCH($B122,Data_CostCodes!$A:$A,0))</f>
        <v>Labour</v>
      </c>
      <c r="E122" s="38" t="n">
        <f aca="false">SUMIFS(Data_Budgets!$C:$C,Data_Budgets!$A:$A,$A122,Data_Budgets!$B:$B,$B122)</f>
        <v>1400200</v>
      </c>
      <c r="F122" s="38" t="n">
        <f aca="false">SUMIFS(Data_Budgets!$D:$D,Data_Budgets!$A:$A,$A122,Data_Budgets!$B:$B,$B122)</f>
        <v>0</v>
      </c>
      <c r="G122" s="38" t="n">
        <f aca="false">E122+F122</f>
        <v>1400200</v>
      </c>
      <c r="H122" s="38" t="n">
        <f aca="false">SUMIFS(Data_JobCost!$L:$L,Data_JobCost!$D:$D,$A122,Data_JobCost!$E:$E,$B122)</f>
        <v>555469.42</v>
      </c>
      <c r="I122" s="38" t="n">
        <f aca="false">SUMIFS(Data_Commitments!$E:$E,Data_Commitments!$B:$B,$A122,Data_Commitments!$C:$C,$B122)</f>
        <v>0</v>
      </c>
      <c r="J122" s="41" t="n">
        <f aca="false">SUMIFS(Data_Progress!$C:$C,Data_Progress!$A:$A,$A122,Data_Progress!$B:$B,$B122)</f>
        <v>0.405</v>
      </c>
      <c r="K122" s="38" t="n">
        <f aca="false">G122*J122</f>
        <v>567081</v>
      </c>
      <c r="L122" s="42" t="n">
        <f aca="false">IF(H122&gt;0,K122/H122,"")</f>
        <v>1.02090408505296</v>
      </c>
      <c r="M122" s="38" t="n">
        <f aca="false">IF(I122&gt;0,MAX(I122,H122),IF(J122&gt;0,H122+(G122-K122)/L122,G122))</f>
        <v>1371529.43209877</v>
      </c>
      <c r="N122" s="38" t="n">
        <f aca="false">G122-M122</f>
        <v>28670.5679012346</v>
      </c>
      <c r="O122" s="38" t="n">
        <f aca="false">M122-H122</f>
        <v>816060.012098765</v>
      </c>
      <c r="P122" s="43" t="n">
        <f aca="false">SUMIFS(Data_Budgets!$F:$F,Data_Budgets!$A:$A,$A122,Data_Budgets!$B:$B,$B122)</f>
        <v>15220</v>
      </c>
      <c r="Q122" s="43" t="n">
        <f aca="false">SUMIFS(Data_JobCost!$K:$K,Data_JobCost!$D:$D,$A122,Data_JobCost!$E:$E,$B122)</f>
        <v>6037.6</v>
      </c>
      <c r="R122" s="43" t="n">
        <f aca="false">P122*J122</f>
        <v>6164.1</v>
      </c>
    </row>
    <row r="123" customFormat="false" ht="15" hidden="false" customHeight="false" outlineLevel="0" collapsed="false">
      <c r="A123" s="37" t="s">
        <v>66</v>
      </c>
      <c r="B123" s="37" t="s">
        <v>98</v>
      </c>
      <c r="C123" s="37" t="str">
        <f aca="false">INDEX(Data_CostCodes!$B:$B,MATCH($B123,Data_CostCodes!$A:$A,0))</f>
        <v>Site Facilities &amp; Temp Services</v>
      </c>
      <c r="D123" s="37" t="str">
        <f aca="false">INDEX(Data_CostCodes!$D:$D,MATCH($B123,Data_CostCodes!$A:$A,0))</f>
        <v>Other</v>
      </c>
      <c r="E123" s="38" t="n">
        <f aca="false">SUMIFS(Data_Budgets!$C:$C,Data_Budgets!$A:$A,$A123,Data_Budgets!$B:$B,$B123)</f>
        <v>588300</v>
      </c>
      <c r="F123" s="38" t="n">
        <f aca="false">SUMIFS(Data_Budgets!$D:$D,Data_Budgets!$A:$A,$A123,Data_Budgets!$B:$B,$B123)</f>
        <v>177100</v>
      </c>
      <c r="G123" s="38" t="n">
        <f aca="false">E123+F123</f>
        <v>765400</v>
      </c>
      <c r="H123" s="38" t="n">
        <f aca="false">SUMIFS(Data_JobCost!$L:$L,Data_JobCost!$D:$D,$A123,Data_JobCost!$E:$E,$B123)</f>
        <v>284869.62</v>
      </c>
      <c r="I123" s="38" t="n">
        <f aca="false">SUMIFS(Data_Commitments!$E:$E,Data_Commitments!$B:$B,$A123,Data_Commitments!$C:$C,$B123)</f>
        <v>0</v>
      </c>
      <c r="J123" s="41" t="n">
        <f aca="false">SUMIFS(Data_Progress!$C:$C,Data_Progress!$A:$A,$A123,Data_Progress!$B:$B,$B123)</f>
        <v>0.383</v>
      </c>
      <c r="K123" s="38" t="n">
        <f aca="false">G123*J123</f>
        <v>293148.2</v>
      </c>
      <c r="L123" s="42" t="n">
        <f aca="false">IF(H123&gt;0,K123/H123,"")</f>
        <v>1.02906094373981</v>
      </c>
      <c r="M123" s="38" t="n">
        <f aca="false">IF(I123&gt;0,MAX(I123,H123),IF(J123&gt;0,H123+(G123-K123)/L123,G123))</f>
        <v>743784.908616188</v>
      </c>
      <c r="N123" s="38" t="n">
        <f aca="false">G123-M123</f>
        <v>21615.091383812</v>
      </c>
      <c r="O123" s="38" t="n">
        <f aca="false">M123-H123</f>
        <v>458915.288616188</v>
      </c>
      <c r="P123" s="43" t="n">
        <f aca="false">SUMIFS(Data_Budgets!$F:$F,Data_Budgets!$A:$A,$A123,Data_Budgets!$B:$B,$B123)</f>
        <v>0</v>
      </c>
      <c r="Q123" s="43" t="n">
        <f aca="false">SUMIFS(Data_JobCost!$K:$K,Data_JobCost!$D:$D,$A123,Data_JobCost!$E:$E,$B123)</f>
        <v>0</v>
      </c>
      <c r="R123" s="43" t="n">
        <f aca="false">P123*J123</f>
        <v>0</v>
      </c>
    </row>
    <row r="124" customFormat="false" ht="15" hidden="false" customHeight="false" outlineLevel="0" collapsed="false">
      <c r="A124" s="37" t="s">
        <v>66</v>
      </c>
      <c r="B124" s="37" t="s">
        <v>99</v>
      </c>
      <c r="C124" s="37" t="str">
        <f aca="false">INDEX(Data_CostCodes!$B:$B,MATCH($B124,Data_CostCodes!$A:$A,0))</f>
        <v>Equipment Rental</v>
      </c>
      <c r="D124" s="37" t="str">
        <f aca="false">INDEX(Data_CostCodes!$D:$D,MATCH($B124,Data_CostCodes!$A:$A,0))</f>
        <v>Equipment</v>
      </c>
      <c r="E124" s="38" t="n">
        <f aca="false">SUMIFS(Data_Budgets!$C:$C,Data_Budgets!$A:$A,$A124,Data_Budgets!$B:$B,$B124)</f>
        <v>546800</v>
      </c>
      <c r="F124" s="38" t="n">
        <f aca="false">SUMIFS(Data_Budgets!$D:$D,Data_Budgets!$A:$A,$A124,Data_Budgets!$B:$B,$B124)</f>
        <v>0</v>
      </c>
      <c r="G124" s="38" t="n">
        <f aca="false">E124+F124</f>
        <v>546800</v>
      </c>
      <c r="H124" s="38" t="n">
        <f aca="false">SUMIFS(Data_JobCost!$L:$L,Data_JobCost!$D:$D,$A124,Data_JobCost!$E:$E,$B124)</f>
        <v>291131.92</v>
      </c>
      <c r="I124" s="38" t="n">
        <f aca="false">SUMIFS(Data_Commitments!$E:$E,Data_Commitments!$B:$B,$A124,Data_Commitments!$C:$C,$B124)</f>
        <v>0</v>
      </c>
      <c r="J124" s="41" t="n">
        <f aca="false">SUMIFS(Data_Progress!$C:$C,Data_Progress!$A:$A,$A124,Data_Progress!$B:$B,$B124)</f>
        <v>0.525</v>
      </c>
      <c r="K124" s="38" t="n">
        <f aca="false">G124*J124</f>
        <v>287070</v>
      </c>
      <c r="L124" s="42" t="n">
        <f aca="false">IF(H124&gt;0,K124/H124,"")</f>
        <v>0.986047837008048</v>
      </c>
      <c r="M124" s="38" t="n">
        <f aca="false">IF(I124&gt;0,MAX(I124,H124),IF(J124&gt;0,H124+(G124-K124)/L124,G124))</f>
        <v>554536.990476191</v>
      </c>
      <c r="N124" s="38" t="n">
        <f aca="false">G124-M124</f>
        <v>-7736.99047619046</v>
      </c>
      <c r="O124" s="38" t="n">
        <f aca="false">M124-H124</f>
        <v>263405.070476191</v>
      </c>
      <c r="P124" s="43" t="n">
        <f aca="false">SUMIFS(Data_Budgets!$F:$F,Data_Budgets!$A:$A,$A124,Data_Budgets!$B:$B,$B124)</f>
        <v>0</v>
      </c>
      <c r="Q124" s="43" t="n">
        <f aca="false">SUMIFS(Data_JobCost!$K:$K,Data_JobCost!$D:$D,$A124,Data_JobCost!$E:$E,$B124)</f>
        <v>0</v>
      </c>
      <c r="R124" s="43" t="n">
        <f aca="false">P124*J124</f>
        <v>0</v>
      </c>
    </row>
    <row r="125" customFormat="false" ht="15" hidden="false" customHeight="false" outlineLevel="0" collapsed="false">
      <c r="A125" s="37" t="s">
        <v>66</v>
      </c>
      <c r="B125" s="37" t="s">
        <v>100</v>
      </c>
      <c r="C125" s="37" t="str">
        <f aca="false">INDEX(Data_CostCodes!$B:$B,MATCH($B125,Data_CostCodes!$A:$A,0))</f>
        <v>Earthwork &amp; Excavation</v>
      </c>
      <c r="D125" s="37" t="str">
        <f aca="false">INDEX(Data_CostCodes!$D:$D,MATCH($B125,Data_CostCodes!$A:$A,0))</f>
        <v>Subcontract</v>
      </c>
      <c r="E125" s="38" t="n">
        <f aca="false">SUMIFS(Data_Budgets!$C:$C,Data_Budgets!$A:$A,$A125,Data_Budgets!$B:$B,$B125)</f>
        <v>705000</v>
      </c>
      <c r="F125" s="38" t="n">
        <f aca="false">SUMIFS(Data_Budgets!$D:$D,Data_Budgets!$A:$A,$A125,Data_Budgets!$B:$B,$B125)</f>
        <v>0</v>
      </c>
      <c r="G125" s="38" t="n">
        <f aca="false">E125+F125</f>
        <v>705000</v>
      </c>
      <c r="H125" s="38" t="n">
        <f aca="false">SUMIFS(Data_JobCost!$L:$L,Data_JobCost!$D:$D,$A125,Data_JobCost!$E:$E,$B125)</f>
        <v>708640.43</v>
      </c>
      <c r="I125" s="38" t="n">
        <f aca="false">SUMIFS(Data_Commitments!$E:$E,Data_Commitments!$B:$B,$A125,Data_Commitments!$C:$C,$B125)</f>
        <v>716500</v>
      </c>
      <c r="J125" s="41" t="n">
        <f aca="false">SUMIFS(Data_Progress!$C:$C,Data_Progress!$A:$A,$A125,Data_Progress!$B:$B,$B125)</f>
        <v>1</v>
      </c>
      <c r="K125" s="38" t="n">
        <f aca="false">G125*J125</f>
        <v>705000</v>
      </c>
      <c r="L125" s="42" t="n">
        <f aca="false">IF(H125&gt;0,K125/H125,"")</f>
        <v>0.994862796637217</v>
      </c>
      <c r="M125" s="38" t="n">
        <f aca="false">IF(I125&gt;0,MAX(I125,H125),IF(J125&gt;0,H125+(G125-K125)/L125,G125))</f>
        <v>716500</v>
      </c>
      <c r="N125" s="38" t="n">
        <f aca="false">G125-M125</f>
        <v>-11500</v>
      </c>
      <c r="O125" s="38" t="n">
        <f aca="false">M125-H125</f>
        <v>7859.57000000007</v>
      </c>
      <c r="P125" s="43" t="n">
        <f aca="false">SUMIFS(Data_Budgets!$F:$F,Data_Budgets!$A:$A,$A125,Data_Budgets!$B:$B,$B125)</f>
        <v>0</v>
      </c>
      <c r="Q125" s="43" t="n">
        <f aca="false">SUMIFS(Data_JobCost!$K:$K,Data_JobCost!$D:$D,$A125,Data_JobCost!$E:$E,$B125)</f>
        <v>0</v>
      </c>
      <c r="R125" s="43" t="n">
        <f aca="false">P125*J125</f>
        <v>0</v>
      </c>
    </row>
    <row r="126" customFormat="false" ht="15" hidden="false" customHeight="false" outlineLevel="0" collapsed="false">
      <c r="A126" s="37" t="s">
        <v>66</v>
      </c>
      <c r="B126" s="37" t="s">
        <v>101</v>
      </c>
      <c r="C126" s="37" t="str">
        <f aca="false">INDEX(Data_CostCodes!$B:$B,MATCH($B126,Data_CostCodes!$A:$A,0))</f>
        <v>Concrete Formwork</v>
      </c>
      <c r="D126" s="37" t="str">
        <f aca="false">INDEX(Data_CostCodes!$D:$D,MATCH($B126,Data_CostCodes!$A:$A,0))</f>
        <v>Labour</v>
      </c>
      <c r="E126" s="38" t="n">
        <f aca="false">SUMIFS(Data_Budgets!$C:$C,Data_Budgets!$A:$A,$A126,Data_Budgets!$B:$B,$B126)</f>
        <v>809400</v>
      </c>
      <c r="F126" s="38" t="n">
        <f aca="false">SUMIFS(Data_Budgets!$D:$D,Data_Budgets!$A:$A,$A126,Data_Budgets!$B:$B,$B126)</f>
        <v>0</v>
      </c>
      <c r="G126" s="38" t="n">
        <f aca="false">E126+F126</f>
        <v>809400</v>
      </c>
      <c r="H126" s="38" t="n">
        <f aca="false">SUMIFS(Data_JobCost!$L:$L,Data_JobCost!$D:$D,$A126,Data_JobCost!$E:$E,$B126)</f>
        <v>796447.18</v>
      </c>
      <c r="I126" s="38" t="n">
        <f aca="false">SUMIFS(Data_Commitments!$E:$E,Data_Commitments!$B:$B,$A126,Data_Commitments!$C:$C,$B126)</f>
        <v>0</v>
      </c>
      <c r="J126" s="41" t="n">
        <f aca="false">SUMIFS(Data_Progress!$C:$C,Data_Progress!$A:$A,$A126,Data_Progress!$B:$B,$B126)</f>
        <v>0.989</v>
      </c>
      <c r="K126" s="38" t="n">
        <f aca="false">G126*J126</f>
        <v>800496.6</v>
      </c>
      <c r="L126" s="42" t="n">
        <f aca="false">IF(H126&gt;0,K126/H126,"")</f>
        <v>1.00508435474654</v>
      </c>
      <c r="M126" s="38" t="n">
        <f aca="false">IF(I126&gt;0,MAX(I126,H126),IF(J126&gt;0,H126+(G126-K126)/L126,G126))</f>
        <v>805305.540950455</v>
      </c>
      <c r="N126" s="38" t="n">
        <f aca="false">G126-M126</f>
        <v>4094.45904954488</v>
      </c>
      <c r="O126" s="38" t="n">
        <f aca="false">M126-H126</f>
        <v>8858.36095045507</v>
      </c>
      <c r="P126" s="43" t="n">
        <f aca="false">SUMIFS(Data_Budgets!$F:$F,Data_Budgets!$A:$A,$A126,Data_Budgets!$B:$B,$B126)</f>
        <v>10938</v>
      </c>
      <c r="Q126" s="43" t="n">
        <f aca="false">SUMIFS(Data_JobCost!$K:$K,Data_JobCost!$D:$D,$A126,Data_JobCost!$E:$E,$B126)</f>
        <v>10762.8</v>
      </c>
      <c r="R126" s="43" t="n">
        <f aca="false">P126*J126</f>
        <v>10817.682</v>
      </c>
    </row>
    <row r="127" customFormat="false" ht="15" hidden="false" customHeight="false" outlineLevel="0" collapsed="false">
      <c r="A127" s="37" t="s">
        <v>66</v>
      </c>
      <c r="B127" s="37" t="s">
        <v>102</v>
      </c>
      <c r="C127" s="37" t="str">
        <f aca="false">INDEX(Data_CostCodes!$B:$B,MATCH($B127,Data_CostCodes!$A:$A,0))</f>
        <v>Reinforcing Steel</v>
      </c>
      <c r="D127" s="37" t="str">
        <f aca="false">INDEX(Data_CostCodes!$D:$D,MATCH($B127,Data_CostCodes!$A:$A,0))</f>
        <v>Material</v>
      </c>
      <c r="E127" s="38" t="n">
        <f aca="false">SUMIFS(Data_Budgets!$C:$C,Data_Budgets!$A:$A,$A127,Data_Budgets!$B:$B,$B127)</f>
        <v>546100</v>
      </c>
      <c r="F127" s="38" t="n">
        <f aca="false">SUMIFS(Data_Budgets!$D:$D,Data_Budgets!$A:$A,$A127,Data_Budgets!$B:$B,$B127)</f>
        <v>0</v>
      </c>
      <c r="G127" s="38" t="n">
        <f aca="false">E127+F127</f>
        <v>546100</v>
      </c>
      <c r="H127" s="38" t="n">
        <f aca="false">SUMIFS(Data_JobCost!$L:$L,Data_JobCost!$D:$D,$A127,Data_JobCost!$E:$E,$B127)</f>
        <v>530522.24</v>
      </c>
      <c r="I127" s="38" t="n">
        <f aca="false">SUMIFS(Data_Commitments!$E:$E,Data_Commitments!$B:$B,$A127,Data_Commitments!$C:$C,$B127)</f>
        <v>537500</v>
      </c>
      <c r="J127" s="41" t="n">
        <f aca="false">SUMIFS(Data_Progress!$C:$C,Data_Progress!$A:$A,$A127,Data_Progress!$B:$B,$B127)</f>
        <v>1</v>
      </c>
      <c r="K127" s="38" t="n">
        <f aca="false">G127*J127</f>
        <v>546100</v>
      </c>
      <c r="L127" s="42" t="n">
        <f aca="false">IF(H127&gt;0,K127/H127,"")</f>
        <v>1.02936306685277</v>
      </c>
      <c r="M127" s="38" t="n">
        <f aca="false">IF(I127&gt;0,MAX(I127,H127),IF(J127&gt;0,H127+(G127-K127)/L127,G127))</f>
        <v>537500</v>
      </c>
      <c r="N127" s="38" t="n">
        <f aca="false">G127-M127</f>
        <v>8600</v>
      </c>
      <c r="O127" s="38" t="n">
        <f aca="false">M127-H127</f>
        <v>6977.76000000001</v>
      </c>
      <c r="P127" s="43" t="n">
        <f aca="false">SUMIFS(Data_Budgets!$F:$F,Data_Budgets!$A:$A,$A127,Data_Budgets!$B:$B,$B127)</f>
        <v>0</v>
      </c>
      <c r="Q127" s="43" t="n">
        <f aca="false">SUMIFS(Data_JobCost!$K:$K,Data_JobCost!$D:$D,$A127,Data_JobCost!$E:$E,$B127)</f>
        <v>0</v>
      </c>
      <c r="R127" s="43" t="n">
        <f aca="false">P127*J127</f>
        <v>0</v>
      </c>
    </row>
    <row r="128" customFormat="false" ht="15" hidden="false" customHeight="false" outlineLevel="0" collapsed="false">
      <c r="A128" s="37" t="s">
        <v>66</v>
      </c>
      <c r="B128" s="37" t="s">
        <v>103</v>
      </c>
      <c r="C128" s="37" t="str">
        <f aca="false">INDEX(Data_CostCodes!$B:$B,MATCH($B128,Data_CostCodes!$A:$A,0))</f>
        <v>Cast-in-Place Concrete</v>
      </c>
      <c r="D128" s="37" t="str">
        <f aca="false">INDEX(Data_CostCodes!$D:$D,MATCH($B128,Data_CostCodes!$A:$A,0))</f>
        <v>Material</v>
      </c>
      <c r="E128" s="38" t="n">
        <f aca="false">SUMIFS(Data_Budgets!$C:$C,Data_Budgets!$A:$A,$A128,Data_Budgets!$B:$B,$B128)</f>
        <v>946000</v>
      </c>
      <c r="F128" s="38" t="n">
        <f aca="false">SUMIFS(Data_Budgets!$D:$D,Data_Budgets!$A:$A,$A128,Data_Budgets!$B:$B,$B128)</f>
        <v>0</v>
      </c>
      <c r="G128" s="38" t="n">
        <f aca="false">E128+F128</f>
        <v>946000</v>
      </c>
      <c r="H128" s="38" t="n">
        <f aca="false">SUMIFS(Data_JobCost!$L:$L,Data_JobCost!$D:$D,$A128,Data_JobCost!$E:$E,$B128)</f>
        <v>874565.45</v>
      </c>
      <c r="I128" s="38" t="n">
        <f aca="false">SUMIFS(Data_Commitments!$E:$E,Data_Commitments!$B:$B,$A128,Data_Commitments!$C:$C,$B128)</f>
        <v>933900</v>
      </c>
      <c r="J128" s="41" t="n">
        <f aca="false">SUMIFS(Data_Progress!$C:$C,Data_Progress!$A:$A,$A128,Data_Progress!$B:$B,$B128)</f>
        <v>0.941</v>
      </c>
      <c r="K128" s="38" t="n">
        <f aca="false">G128*J128</f>
        <v>890186</v>
      </c>
      <c r="L128" s="42" t="n">
        <f aca="false">IF(H128&gt;0,K128/H128,"")</f>
        <v>1.01786092738971</v>
      </c>
      <c r="M128" s="38" t="n">
        <f aca="false">IF(I128&gt;0,MAX(I128,H128),IF(J128&gt;0,H128+(G128-K128)/L128,G128))</f>
        <v>933900</v>
      </c>
      <c r="N128" s="38" t="n">
        <f aca="false">G128-M128</f>
        <v>12100</v>
      </c>
      <c r="O128" s="38" t="n">
        <f aca="false">M128-H128</f>
        <v>59334.5500000001</v>
      </c>
      <c r="P128" s="43" t="n">
        <f aca="false">SUMIFS(Data_Budgets!$F:$F,Data_Budgets!$A:$A,$A128,Data_Budgets!$B:$B,$B128)</f>
        <v>0</v>
      </c>
      <c r="Q128" s="43" t="n">
        <f aca="false">SUMIFS(Data_JobCost!$K:$K,Data_JobCost!$D:$D,$A128,Data_JobCost!$E:$E,$B128)</f>
        <v>0</v>
      </c>
      <c r="R128" s="43" t="n">
        <f aca="false">P128*J128</f>
        <v>0</v>
      </c>
    </row>
    <row r="129" customFormat="false" ht="15" hidden="false" customHeight="false" outlineLevel="0" collapsed="false">
      <c r="A129" s="37" t="s">
        <v>66</v>
      </c>
      <c r="B129" s="37" t="s">
        <v>104</v>
      </c>
      <c r="C129" s="37" t="str">
        <f aca="false">INDEX(Data_CostCodes!$B:$B,MATCH($B129,Data_CostCodes!$A:$A,0))</f>
        <v>Masonry</v>
      </c>
      <c r="D129" s="37" t="str">
        <f aca="false">INDEX(Data_CostCodes!$D:$D,MATCH($B129,Data_CostCodes!$A:$A,0))</f>
        <v>Subcontract</v>
      </c>
      <c r="E129" s="38" t="n">
        <f aca="false">SUMIFS(Data_Budgets!$C:$C,Data_Budgets!$A:$A,$A129,Data_Budgets!$B:$B,$B129)</f>
        <v>1108900</v>
      </c>
      <c r="F129" s="38" t="n">
        <f aca="false">SUMIFS(Data_Budgets!$D:$D,Data_Budgets!$A:$A,$A129,Data_Budgets!$B:$B,$B129)</f>
        <v>0</v>
      </c>
      <c r="G129" s="38" t="n">
        <f aca="false">E129+F129</f>
        <v>1108900</v>
      </c>
      <c r="H129" s="38" t="n">
        <f aca="false">SUMIFS(Data_JobCost!$L:$L,Data_JobCost!$D:$D,$A129,Data_JobCost!$E:$E,$B129)</f>
        <v>208485.85</v>
      </c>
      <c r="I129" s="38" t="n">
        <f aca="false">SUMIFS(Data_Commitments!$E:$E,Data_Commitments!$B:$B,$A129,Data_Commitments!$C:$C,$B129)</f>
        <v>1107700</v>
      </c>
      <c r="J129" s="41" t="n">
        <f aca="false">SUMIFS(Data_Progress!$C:$C,Data_Progress!$A:$A,$A129,Data_Progress!$B:$B,$B129)</f>
        <v>0.19</v>
      </c>
      <c r="K129" s="38" t="n">
        <f aca="false">G129*J129</f>
        <v>210691</v>
      </c>
      <c r="L129" s="42" t="n">
        <f aca="false">IF(H129&gt;0,K129/H129,"")</f>
        <v>1.01057697680682</v>
      </c>
      <c r="M129" s="38" t="n">
        <f aca="false">IF(I129&gt;0,MAX(I129,H129),IF(J129&gt;0,H129+(G129-K129)/L129,G129))</f>
        <v>1107700</v>
      </c>
      <c r="N129" s="38" t="n">
        <f aca="false">G129-M129</f>
        <v>1200</v>
      </c>
      <c r="O129" s="38" t="n">
        <f aca="false">M129-H129</f>
        <v>899214.15</v>
      </c>
      <c r="P129" s="43" t="n">
        <f aca="false">SUMIFS(Data_Budgets!$F:$F,Data_Budgets!$A:$A,$A129,Data_Budgets!$B:$B,$B129)</f>
        <v>0</v>
      </c>
      <c r="Q129" s="43" t="n">
        <f aca="false">SUMIFS(Data_JobCost!$K:$K,Data_JobCost!$D:$D,$A129,Data_JobCost!$E:$E,$B129)</f>
        <v>0</v>
      </c>
      <c r="R129" s="43" t="n">
        <f aca="false">P129*J129</f>
        <v>0</v>
      </c>
    </row>
    <row r="130" customFormat="false" ht="15" hidden="false" customHeight="false" outlineLevel="0" collapsed="false">
      <c r="A130" s="37" t="s">
        <v>66</v>
      </c>
      <c r="B130" s="37" t="s">
        <v>105</v>
      </c>
      <c r="C130" s="37" t="str">
        <f aca="false">INDEX(Data_CostCodes!$B:$B,MATCH($B130,Data_CostCodes!$A:$A,0))</f>
        <v>Structural Steel</v>
      </c>
      <c r="D130" s="37" t="str">
        <f aca="false">INDEX(Data_CostCodes!$D:$D,MATCH($B130,Data_CostCodes!$A:$A,0))</f>
        <v>Subcontract</v>
      </c>
      <c r="E130" s="38" t="n">
        <f aca="false">SUMIFS(Data_Budgets!$C:$C,Data_Budgets!$A:$A,$A130,Data_Budgets!$B:$B,$B130)</f>
        <v>833800</v>
      </c>
      <c r="F130" s="38" t="n">
        <f aca="false">SUMIFS(Data_Budgets!$D:$D,Data_Budgets!$A:$A,$A130,Data_Budgets!$B:$B,$B130)</f>
        <v>0</v>
      </c>
      <c r="G130" s="38" t="n">
        <f aca="false">E130+F130</f>
        <v>833800</v>
      </c>
      <c r="H130" s="38" t="n">
        <f aca="false">SUMIFS(Data_JobCost!$L:$L,Data_JobCost!$D:$D,$A130,Data_JobCost!$E:$E,$B130)</f>
        <v>568252.76</v>
      </c>
      <c r="I130" s="38" t="n">
        <f aca="false">SUMIFS(Data_Commitments!$E:$E,Data_Commitments!$B:$B,$A130,Data_Commitments!$C:$C,$B130)</f>
        <v>809400</v>
      </c>
      <c r="J130" s="41" t="n">
        <f aca="false">SUMIFS(Data_Progress!$C:$C,Data_Progress!$A:$A,$A130,Data_Progress!$B:$B,$B130)</f>
        <v>0.719</v>
      </c>
      <c r="K130" s="38" t="n">
        <f aca="false">G130*J130</f>
        <v>599502.2</v>
      </c>
      <c r="L130" s="42" t="n">
        <f aca="false">IF(H130&gt;0,K130/H130,"")</f>
        <v>1.05499214821236</v>
      </c>
      <c r="M130" s="38" t="n">
        <f aca="false">IF(I130&gt;0,MAX(I130,H130),IF(J130&gt;0,H130+(G130-K130)/L130,G130))</f>
        <v>809400</v>
      </c>
      <c r="N130" s="38" t="n">
        <f aca="false">G130-M130</f>
        <v>24400</v>
      </c>
      <c r="O130" s="38" t="n">
        <f aca="false">M130-H130</f>
        <v>241147.24</v>
      </c>
      <c r="P130" s="43" t="n">
        <f aca="false">SUMIFS(Data_Budgets!$F:$F,Data_Budgets!$A:$A,$A130,Data_Budgets!$B:$B,$B130)</f>
        <v>0</v>
      </c>
      <c r="Q130" s="43" t="n">
        <f aca="false">SUMIFS(Data_JobCost!$K:$K,Data_JobCost!$D:$D,$A130,Data_JobCost!$E:$E,$B130)</f>
        <v>0</v>
      </c>
      <c r="R130" s="43" t="n">
        <f aca="false">P130*J130</f>
        <v>0</v>
      </c>
    </row>
    <row r="131" customFormat="false" ht="15" hidden="false" customHeight="false" outlineLevel="0" collapsed="false">
      <c r="A131" s="37" t="s">
        <v>66</v>
      </c>
      <c r="B131" s="37" t="s">
        <v>106</v>
      </c>
      <c r="C131" s="37" t="str">
        <f aca="false">INDEX(Data_CostCodes!$B:$B,MATCH($B131,Data_CostCodes!$A:$A,0))</f>
        <v>Rough Carpentry</v>
      </c>
      <c r="D131" s="37" t="str">
        <f aca="false">INDEX(Data_CostCodes!$D:$D,MATCH($B131,Data_CostCodes!$A:$A,0))</f>
        <v>Labour</v>
      </c>
      <c r="E131" s="38" t="n">
        <f aca="false">SUMIFS(Data_Budgets!$C:$C,Data_Budgets!$A:$A,$A131,Data_Budgets!$B:$B,$B131)</f>
        <v>1847600</v>
      </c>
      <c r="F131" s="38" t="n">
        <f aca="false">SUMIFS(Data_Budgets!$D:$D,Data_Budgets!$A:$A,$A131,Data_Budgets!$B:$B,$B131)</f>
        <v>71500</v>
      </c>
      <c r="G131" s="38" t="n">
        <f aca="false">E131+F131</f>
        <v>1919100</v>
      </c>
      <c r="H131" s="38" t="n">
        <f aca="false">SUMIFS(Data_JobCost!$L:$L,Data_JobCost!$D:$D,$A131,Data_JobCost!$E:$E,$B131)</f>
        <v>68200.63</v>
      </c>
      <c r="I131" s="38" t="n">
        <f aca="false">SUMIFS(Data_Commitments!$E:$E,Data_Commitments!$B:$B,$A131,Data_Commitments!$C:$C,$B131)</f>
        <v>0</v>
      </c>
      <c r="J131" s="41" t="n">
        <f aca="false">SUMIFS(Data_Progress!$C:$C,Data_Progress!$A:$A,$A131,Data_Progress!$B:$B,$B131)</f>
        <v>0.036</v>
      </c>
      <c r="K131" s="38" t="n">
        <f aca="false">G131*J131</f>
        <v>69087.6</v>
      </c>
      <c r="L131" s="42" t="n">
        <f aca="false">IF(H131&gt;0,K131/H131,"")</f>
        <v>1.01300530508296</v>
      </c>
      <c r="M131" s="38" t="n">
        <f aca="false">IF(I131&gt;0,MAX(I131,H131),IF(J131&gt;0,H131+(G131-K131)/L131,G131))</f>
        <v>1894461.94444445</v>
      </c>
      <c r="N131" s="38" t="n">
        <f aca="false">G131-M131</f>
        <v>24638.055555555</v>
      </c>
      <c r="O131" s="38" t="n">
        <f aca="false">M131-H131</f>
        <v>1826261.31444445</v>
      </c>
      <c r="P131" s="43" t="n">
        <f aca="false">SUMIFS(Data_Budgets!$F:$F,Data_Budgets!$A:$A,$A131,Data_Budgets!$B:$B,$B131)</f>
        <v>27030</v>
      </c>
      <c r="Q131" s="43" t="n">
        <f aca="false">SUMIFS(Data_JobCost!$K:$K,Data_JobCost!$D:$D,$A131,Data_JobCost!$E:$E,$B131)</f>
        <v>960.5</v>
      </c>
      <c r="R131" s="43" t="n">
        <f aca="false">P131*J131</f>
        <v>973.08</v>
      </c>
    </row>
    <row r="132" customFormat="false" ht="15" hidden="false" customHeight="false" outlineLevel="0" collapsed="false">
      <c r="A132" s="37" t="s">
        <v>66</v>
      </c>
      <c r="B132" s="37" t="s">
        <v>107</v>
      </c>
      <c r="C132" s="37" t="str">
        <f aca="false">INDEX(Data_CostCodes!$B:$B,MATCH($B132,Data_CostCodes!$A:$A,0))</f>
        <v>Roofing &amp; Insulation</v>
      </c>
      <c r="D132" s="37" t="str">
        <f aca="false">INDEX(Data_CostCodes!$D:$D,MATCH($B132,Data_CostCodes!$A:$A,0))</f>
        <v>Subcontract</v>
      </c>
      <c r="E132" s="38" t="n">
        <f aca="false">SUMIFS(Data_Budgets!$C:$C,Data_Budgets!$A:$A,$A132,Data_Budgets!$B:$B,$B132)</f>
        <v>957700</v>
      </c>
      <c r="F132" s="38" t="n">
        <f aca="false">SUMIFS(Data_Budgets!$D:$D,Data_Budgets!$A:$A,$A132,Data_Budgets!$B:$B,$B132)</f>
        <v>0</v>
      </c>
      <c r="G132" s="38" t="n">
        <f aca="false">E132+F132</f>
        <v>957700</v>
      </c>
      <c r="H132" s="38" t="n">
        <f aca="false">SUMIFS(Data_JobCost!$L:$L,Data_JobCost!$D:$D,$A132,Data_JobCost!$E:$E,$B132)</f>
        <v>0</v>
      </c>
      <c r="I132" s="38" t="n">
        <f aca="false">SUMIFS(Data_Commitments!$E:$E,Data_Commitments!$B:$B,$A132,Data_Commitments!$C:$C,$B132)</f>
        <v>967100</v>
      </c>
      <c r="J132" s="41" t="n">
        <f aca="false">SUMIFS(Data_Progress!$C:$C,Data_Progress!$A:$A,$A132,Data_Progress!$B:$B,$B132)</f>
        <v>0</v>
      </c>
      <c r="K132" s="38" t="n">
        <f aca="false">G132*J132</f>
        <v>0</v>
      </c>
      <c r="L132" s="42" t="str">
        <f aca="false">IF(H132&gt;0,K132/H132,"")</f>
        <v/>
      </c>
      <c r="M132" s="38" t="n">
        <f aca="false">IF(I132&gt;0,MAX(I132,H132),IF(J132&gt;0,H132+(G132-K132)/L132,G132))</f>
        <v>967100</v>
      </c>
      <c r="N132" s="38" t="n">
        <f aca="false">G132-M132</f>
        <v>-9400</v>
      </c>
      <c r="O132" s="38" t="n">
        <f aca="false">M132-H132</f>
        <v>967100</v>
      </c>
      <c r="P132" s="43" t="n">
        <f aca="false">SUMIFS(Data_Budgets!$F:$F,Data_Budgets!$A:$A,$A132,Data_Budgets!$B:$B,$B132)</f>
        <v>0</v>
      </c>
      <c r="Q132" s="43" t="n">
        <f aca="false">SUMIFS(Data_JobCost!$K:$K,Data_JobCost!$D:$D,$A132,Data_JobCost!$E:$E,$B132)</f>
        <v>0</v>
      </c>
      <c r="R132" s="43" t="n">
        <f aca="false">P132*J132</f>
        <v>0</v>
      </c>
    </row>
    <row r="133" customFormat="false" ht="15" hidden="false" customHeight="false" outlineLevel="0" collapsed="false">
      <c r="A133" s="37" t="s">
        <v>66</v>
      </c>
      <c r="B133" s="37" t="s">
        <v>108</v>
      </c>
      <c r="C133" s="37" t="str">
        <f aca="false">INDEX(Data_CostCodes!$B:$B,MATCH($B133,Data_CostCodes!$A:$A,0))</f>
        <v>Doors, Frames &amp; Hardware</v>
      </c>
      <c r="D133" s="37" t="str">
        <f aca="false">INDEX(Data_CostCodes!$D:$D,MATCH($B133,Data_CostCodes!$A:$A,0))</f>
        <v>Material</v>
      </c>
      <c r="E133" s="38" t="n">
        <f aca="false">SUMIFS(Data_Budgets!$C:$C,Data_Budgets!$A:$A,$A133,Data_Budgets!$B:$B,$B133)</f>
        <v>991100</v>
      </c>
      <c r="F133" s="38" t="n">
        <f aca="false">SUMIFS(Data_Budgets!$D:$D,Data_Budgets!$A:$A,$A133,Data_Budgets!$B:$B,$B133)</f>
        <v>0</v>
      </c>
      <c r="G133" s="38" t="n">
        <f aca="false">E133+F133</f>
        <v>991100</v>
      </c>
      <c r="H133" s="38" t="n">
        <f aca="false">SUMIFS(Data_JobCost!$L:$L,Data_JobCost!$D:$D,$A133,Data_JobCost!$E:$E,$B133)</f>
        <v>0</v>
      </c>
      <c r="I133" s="38" t="n">
        <f aca="false">SUMIFS(Data_Commitments!$E:$E,Data_Commitments!$B:$B,$A133,Data_Commitments!$C:$C,$B133)</f>
        <v>973400</v>
      </c>
      <c r="J133" s="41" t="n">
        <f aca="false">SUMIFS(Data_Progress!$C:$C,Data_Progress!$A:$A,$A133,Data_Progress!$B:$B,$B133)</f>
        <v>0</v>
      </c>
      <c r="K133" s="38" t="n">
        <f aca="false">G133*J133</f>
        <v>0</v>
      </c>
      <c r="L133" s="42" t="str">
        <f aca="false">IF(H133&gt;0,K133/H133,"")</f>
        <v/>
      </c>
      <c r="M133" s="38" t="n">
        <f aca="false">IF(I133&gt;0,MAX(I133,H133),IF(J133&gt;0,H133+(G133-K133)/L133,G133))</f>
        <v>973400</v>
      </c>
      <c r="N133" s="38" t="n">
        <f aca="false">G133-M133</f>
        <v>17700</v>
      </c>
      <c r="O133" s="38" t="n">
        <f aca="false">M133-H133</f>
        <v>973400</v>
      </c>
      <c r="P133" s="43" t="n">
        <f aca="false">SUMIFS(Data_Budgets!$F:$F,Data_Budgets!$A:$A,$A133,Data_Budgets!$B:$B,$B133)</f>
        <v>0</v>
      </c>
      <c r="Q133" s="43" t="n">
        <f aca="false">SUMIFS(Data_JobCost!$K:$K,Data_JobCost!$D:$D,$A133,Data_JobCost!$E:$E,$B133)</f>
        <v>0</v>
      </c>
      <c r="R133" s="43" t="n">
        <f aca="false">P133*J133</f>
        <v>0</v>
      </c>
    </row>
    <row r="134" customFormat="false" ht="15" hidden="false" customHeight="false" outlineLevel="0" collapsed="false">
      <c r="A134" s="37" t="s">
        <v>66</v>
      </c>
      <c r="B134" s="37" t="s">
        <v>109</v>
      </c>
      <c r="C134" s="37" t="str">
        <f aca="false">INDEX(Data_CostCodes!$B:$B,MATCH($B134,Data_CostCodes!$A:$A,0))</f>
        <v>Drywall &amp; Finishes</v>
      </c>
      <c r="D134" s="37" t="str">
        <f aca="false">INDEX(Data_CostCodes!$D:$D,MATCH($B134,Data_CostCodes!$A:$A,0))</f>
        <v>Subcontract</v>
      </c>
      <c r="E134" s="38" t="n">
        <f aca="false">SUMIFS(Data_Budgets!$C:$C,Data_Budgets!$A:$A,$A134,Data_Budgets!$B:$B,$B134)</f>
        <v>2276000</v>
      </c>
      <c r="F134" s="38" t="n">
        <f aca="false">SUMIFS(Data_Budgets!$D:$D,Data_Budgets!$A:$A,$A134,Data_Budgets!$B:$B,$B134)</f>
        <v>0</v>
      </c>
      <c r="G134" s="38" t="n">
        <f aca="false">E134+F134</f>
        <v>2276000</v>
      </c>
      <c r="H134" s="38" t="n">
        <f aca="false">SUMIFS(Data_JobCost!$L:$L,Data_JobCost!$D:$D,$A134,Data_JobCost!$E:$E,$B134)</f>
        <v>0</v>
      </c>
      <c r="I134" s="38" t="n">
        <f aca="false">SUMIFS(Data_Commitments!$E:$E,Data_Commitments!$B:$B,$A134,Data_Commitments!$C:$C,$B134)</f>
        <v>2297400</v>
      </c>
      <c r="J134" s="41" t="n">
        <f aca="false">SUMIFS(Data_Progress!$C:$C,Data_Progress!$A:$A,$A134,Data_Progress!$B:$B,$B134)</f>
        <v>0</v>
      </c>
      <c r="K134" s="38" t="n">
        <f aca="false">G134*J134</f>
        <v>0</v>
      </c>
      <c r="L134" s="42" t="str">
        <f aca="false">IF(H134&gt;0,K134/H134,"")</f>
        <v/>
      </c>
      <c r="M134" s="38" t="n">
        <f aca="false">IF(I134&gt;0,MAX(I134,H134),IF(J134&gt;0,H134+(G134-K134)/L134,G134))</f>
        <v>2297400</v>
      </c>
      <c r="N134" s="38" t="n">
        <f aca="false">G134-M134</f>
        <v>-21400</v>
      </c>
      <c r="O134" s="38" t="n">
        <f aca="false">M134-H134</f>
        <v>2297400</v>
      </c>
      <c r="P134" s="43" t="n">
        <f aca="false">SUMIFS(Data_Budgets!$F:$F,Data_Budgets!$A:$A,$A134,Data_Budgets!$B:$B,$B134)</f>
        <v>0</v>
      </c>
      <c r="Q134" s="43" t="n">
        <f aca="false">SUMIFS(Data_JobCost!$K:$K,Data_JobCost!$D:$D,$A134,Data_JobCost!$E:$E,$B134)</f>
        <v>0</v>
      </c>
      <c r="R134" s="43" t="n">
        <f aca="false">P134*J134</f>
        <v>0</v>
      </c>
    </row>
    <row r="135" customFormat="false" ht="15" hidden="false" customHeight="false" outlineLevel="0" collapsed="false">
      <c r="A135" s="37" t="s">
        <v>66</v>
      </c>
      <c r="B135" s="37" t="s">
        <v>110</v>
      </c>
      <c r="C135" s="37" t="str">
        <f aca="false">INDEX(Data_CostCodes!$B:$B,MATCH($B135,Data_CostCodes!$A:$A,0))</f>
        <v>Mechanical</v>
      </c>
      <c r="D135" s="37" t="str">
        <f aca="false">INDEX(Data_CostCodes!$D:$D,MATCH($B135,Data_CostCodes!$A:$A,0))</f>
        <v>Subcontract</v>
      </c>
      <c r="E135" s="38" t="n">
        <f aca="false">SUMIFS(Data_Budgets!$C:$C,Data_Budgets!$A:$A,$A135,Data_Budgets!$B:$B,$B135)</f>
        <v>2300900</v>
      </c>
      <c r="F135" s="38" t="n">
        <f aca="false">SUMIFS(Data_Budgets!$D:$D,Data_Budgets!$A:$A,$A135,Data_Budgets!$B:$B,$B135)</f>
        <v>0</v>
      </c>
      <c r="G135" s="38" t="n">
        <f aca="false">E135+F135</f>
        <v>2300900</v>
      </c>
      <c r="H135" s="38" t="n">
        <f aca="false">SUMIFS(Data_JobCost!$L:$L,Data_JobCost!$D:$D,$A135,Data_JobCost!$E:$E,$B135)</f>
        <v>227233.87</v>
      </c>
      <c r="I135" s="38" t="n">
        <f aca="false">SUMIFS(Data_Commitments!$E:$E,Data_Commitments!$B:$B,$A135,Data_Commitments!$C:$C,$B135)</f>
        <v>2327200</v>
      </c>
      <c r="J135" s="41" t="n">
        <f aca="false">SUMIFS(Data_Progress!$C:$C,Data_Progress!$A:$A,$A135,Data_Progress!$B:$B,$B135)</f>
        <v>0.099</v>
      </c>
      <c r="K135" s="38" t="n">
        <f aca="false">G135*J135</f>
        <v>227789.1</v>
      </c>
      <c r="L135" s="42" t="n">
        <f aca="false">IF(H135&gt;0,K135/H135,"")</f>
        <v>1.00244342975807</v>
      </c>
      <c r="M135" s="38" t="n">
        <f aca="false">IF(I135&gt;0,MAX(I135,H135),IF(J135&gt;0,H135+(G135-K135)/L135,G135))</f>
        <v>2327200</v>
      </c>
      <c r="N135" s="38" t="n">
        <f aca="false">G135-M135</f>
        <v>-26300</v>
      </c>
      <c r="O135" s="38" t="n">
        <f aca="false">M135-H135</f>
        <v>2099966.13</v>
      </c>
      <c r="P135" s="43" t="n">
        <f aca="false">SUMIFS(Data_Budgets!$F:$F,Data_Budgets!$A:$A,$A135,Data_Budgets!$B:$B,$B135)</f>
        <v>0</v>
      </c>
      <c r="Q135" s="43" t="n">
        <f aca="false">SUMIFS(Data_JobCost!$K:$K,Data_JobCost!$D:$D,$A135,Data_JobCost!$E:$E,$B135)</f>
        <v>0</v>
      </c>
      <c r="R135" s="43" t="n">
        <f aca="false">P135*J135</f>
        <v>0</v>
      </c>
    </row>
    <row r="136" customFormat="false" ht="15" hidden="false" customHeight="false" outlineLevel="0" collapsed="false">
      <c r="A136" s="37" t="s">
        <v>66</v>
      </c>
      <c r="B136" s="37" t="s">
        <v>111</v>
      </c>
      <c r="C136" s="37" t="str">
        <f aca="false">INDEX(Data_CostCodes!$B:$B,MATCH($B136,Data_CostCodes!$A:$A,0))</f>
        <v>Electrical</v>
      </c>
      <c r="D136" s="37" t="str">
        <f aca="false">INDEX(Data_CostCodes!$D:$D,MATCH($B136,Data_CostCodes!$A:$A,0))</f>
        <v>Subcontract</v>
      </c>
      <c r="E136" s="38" t="n">
        <f aca="false">SUMIFS(Data_Budgets!$C:$C,Data_Budgets!$A:$A,$A136,Data_Budgets!$B:$B,$B136)</f>
        <v>2296800</v>
      </c>
      <c r="F136" s="38" t="n">
        <f aca="false">SUMIFS(Data_Budgets!$D:$D,Data_Budgets!$A:$A,$A136,Data_Budgets!$B:$B,$B136)</f>
        <v>138200</v>
      </c>
      <c r="G136" s="38" t="n">
        <f aca="false">E136+F136</f>
        <v>2435000</v>
      </c>
      <c r="H136" s="38" t="n">
        <f aca="false">SUMIFS(Data_JobCost!$L:$L,Data_JobCost!$D:$D,$A136,Data_JobCost!$E:$E,$B136)</f>
        <v>251060.15</v>
      </c>
      <c r="I136" s="38" t="n">
        <f aca="false">SUMIFS(Data_Commitments!$E:$E,Data_Commitments!$B:$B,$A136,Data_Commitments!$C:$C,$B136)</f>
        <v>2499100</v>
      </c>
      <c r="J136" s="41" t="n">
        <f aca="false">SUMIFS(Data_Progress!$C:$C,Data_Progress!$A:$A,$A136,Data_Progress!$B:$B,$B136)</f>
        <v>0.101</v>
      </c>
      <c r="K136" s="38" t="n">
        <f aca="false">G136*J136</f>
        <v>245935</v>
      </c>
      <c r="L136" s="42" t="n">
        <f aca="false">IF(H136&gt;0,K136/H136,"")</f>
        <v>0.97958596774518</v>
      </c>
      <c r="M136" s="38" t="n">
        <f aca="false">IF(I136&gt;0,MAX(I136,H136),IF(J136&gt;0,H136+(G136-K136)/L136,G136))</f>
        <v>2499100</v>
      </c>
      <c r="N136" s="38" t="n">
        <f aca="false">G136-M136</f>
        <v>-64100</v>
      </c>
      <c r="O136" s="38" t="n">
        <f aca="false">M136-H136</f>
        <v>2248039.85</v>
      </c>
      <c r="P136" s="43" t="n">
        <f aca="false">SUMIFS(Data_Budgets!$F:$F,Data_Budgets!$A:$A,$A136,Data_Budgets!$B:$B,$B136)</f>
        <v>0</v>
      </c>
      <c r="Q136" s="43" t="n">
        <f aca="false">SUMIFS(Data_JobCost!$K:$K,Data_JobCost!$D:$D,$A136,Data_JobCost!$E:$E,$B136)</f>
        <v>0</v>
      </c>
      <c r="R136" s="43" t="n">
        <f aca="false">P136*J136</f>
        <v>0</v>
      </c>
    </row>
    <row r="137" customFormat="false" ht="15" hidden="false" customHeight="false" outlineLevel="0" collapsed="false">
      <c r="A137" s="37" t="s">
        <v>67</v>
      </c>
      <c r="B137" s="37" t="s">
        <v>97</v>
      </c>
      <c r="C137" s="37" t="str">
        <f aca="false">INDEX(Data_CostCodes!$B:$B,MATCH($B137,Data_CostCodes!$A:$A,0))</f>
        <v>General Conditions - Supervision</v>
      </c>
      <c r="D137" s="37" t="str">
        <f aca="false">INDEX(Data_CostCodes!$D:$D,MATCH($B137,Data_CostCodes!$A:$A,0))</f>
        <v>Labour</v>
      </c>
      <c r="E137" s="38" t="n">
        <f aca="false">SUMIFS(Data_Budgets!$C:$C,Data_Budgets!$A:$A,$A137,Data_Budgets!$B:$B,$B137)</f>
        <v>938900</v>
      </c>
      <c r="F137" s="38" t="n">
        <f aca="false">SUMIFS(Data_Budgets!$D:$D,Data_Budgets!$A:$A,$A137,Data_Budgets!$B:$B,$B137)</f>
        <v>0</v>
      </c>
      <c r="G137" s="38" t="n">
        <f aca="false">E137+F137</f>
        <v>938900</v>
      </c>
      <c r="H137" s="38" t="n">
        <f aca="false">SUMIFS(Data_JobCost!$L:$L,Data_JobCost!$D:$D,$A137,Data_JobCost!$E:$E,$B137)</f>
        <v>355444.51</v>
      </c>
      <c r="I137" s="38" t="n">
        <f aca="false">SUMIFS(Data_Commitments!$E:$E,Data_Commitments!$B:$B,$A137,Data_Commitments!$C:$C,$B137)</f>
        <v>0</v>
      </c>
      <c r="J137" s="41" t="n">
        <f aca="false">SUMIFS(Data_Progress!$C:$C,Data_Progress!$A:$A,$A137,Data_Progress!$B:$B,$B137)</f>
        <v>0.388</v>
      </c>
      <c r="K137" s="38" t="n">
        <f aca="false">G137*J137</f>
        <v>364293.2</v>
      </c>
      <c r="L137" s="42" t="n">
        <f aca="false">IF(H137&gt;0,K137/H137,"")</f>
        <v>1.02489471563367</v>
      </c>
      <c r="M137" s="38" t="n">
        <f aca="false">IF(I137&gt;0,MAX(I137,H137),IF(J137&gt;0,H137+(G137-K137)/L137,G137))</f>
        <v>916094.097938144</v>
      </c>
      <c r="N137" s="38" t="n">
        <f aca="false">G137-M137</f>
        <v>22805.9020618557</v>
      </c>
      <c r="O137" s="38" t="n">
        <f aca="false">M137-H137</f>
        <v>560649.587938144</v>
      </c>
      <c r="P137" s="43" t="n">
        <f aca="false">SUMIFS(Data_Budgets!$F:$F,Data_Budgets!$A:$A,$A137,Data_Budgets!$B:$B,$B137)</f>
        <v>10205</v>
      </c>
      <c r="Q137" s="43" t="n">
        <f aca="false">SUMIFS(Data_JobCost!$K:$K,Data_JobCost!$D:$D,$A137,Data_JobCost!$E:$E,$B137)</f>
        <v>3863.5</v>
      </c>
      <c r="R137" s="43" t="n">
        <f aca="false">P137*J137</f>
        <v>3959.54</v>
      </c>
    </row>
    <row r="138" customFormat="false" ht="15" hidden="false" customHeight="false" outlineLevel="0" collapsed="false">
      <c r="A138" s="37" t="s">
        <v>67</v>
      </c>
      <c r="B138" s="37" t="s">
        <v>98</v>
      </c>
      <c r="C138" s="37" t="str">
        <f aca="false">INDEX(Data_CostCodes!$B:$B,MATCH($B138,Data_CostCodes!$A:$A,0))</f>
        <v>Site Facilities &amp; Temp Services</v>
      </c>
      <c r="D138" s="37" t="str">
        <f aca="false">INDEX(Data_CostCodes!$D:$D,MATCH($B138,Data_CostCodes!$A:$A,0))</f>
        <v>Other</v>
      </c>
      <c r="E138" s="38" t="n">
        <f aca="false">SUMIFS(Data_Budgets!$C:$C,Data_Budgets!$A:$A,$A138,Data_Budgets!$B:$B,$B138)</f>
        <v>328500</v>
      </c>
      <c r="F138" s="38" t="n">
        <f aca="false">SUMIFS(Data_Budgets!$D:$D,Data_Budgets!$A:$A,$A138,Data_Budgets!$B:$B,$B138)</f>
        <v>0</v>
      </c>
      <c r="G138" s="38" t="n">
        <f aca="false">E138+F138</f>
        <v>328500</v>
      </c>
      <c r="H138" s="38" t="n">
        <f aca="false">SUMIFS(Data_JobCost!$L:$L,Data_JobCost!$D:$D,$A138,Data_JobCost!$E:$E,$B138)</f>
        <v>128455.19</v>
      </c>
      <c r="I138" s="38" t="n">
        <f aca="false">SUMIFS(Data_Commitments!$E:$E,Data_Commitments!$B:$B,$A138,Data_Commitments!$C:$C,$B138)</f>
        <v>0</v>
      </c>
      <c r="J138" s="41" t="n">
        <f aca="false">SUMIFS(Data_Progress!$C:$C,Data_Progress!$A:$A,$A138,Data_Progress!$B:$B,$B138)</f>
        <v>0.402</v>
      </c>
      <c r="K138" s="38" t="n">
        <f aca="false">G138*J138</f>
        <v>132057</v>
      </c>
      <c r="L138" s="42" t="n">
        <f aca="false">IF(H138&gt;0,K138/H138,"")</f>
        <v>1.02803942760117</v>
      </c>
      <c r="M138" s="38" t="n">
        <f aca="false">IF(I138&gt;0,MAX(I138,H138),IF(J138&gt;0,H138+(G138-K138)/L138,G138))</f>
        <v>319540.273631841</v>
      </c>
      <c r="N138" s="38" t="n">
        <f aca="false">G138-M138</f>
        <v>8959.72636815917</v>
      </c>
      <c r="O138" s="38" t="n">
        <f aca="false">M138-H138</f>
        <v>191085.083631841</v>
      </c>
      <c r="P138" s="43" t="n">
        <f aca="false">SUMIFS(Data_Budgets!$F:$F,Data_Budgets!$A:$A,$A138,Data_Budgets!$B:$B,$B138)</f>
        <v>0</v>
      </c>
      <c r="Q138" s="43" t="n">
        <f aca="false">SUMIFS(Data_JobCost!$K:$K,Data_JobCost!$D:$D,$A138,Data_JobCost!$E:$E,$B138)</f>
        <v>0</v>
      </c>
      <c r="R138" s="43" t="n">
        <f aca="false">P138*J138</f>
        <v>0</v>
      </c>
    </row>
    <row r="139" customFormat="false" ht="15" hidden="false" customHeight="false" outlineLevel="0" collapsed="false">
      <c r="A139" s="37" t="s">
        <v>67</v>
      </c>
      <c r="B139" s="37" t="s">
        <v>99</v>
      </c>
      <c r="C139" s="37" t="str">
        <f aca="false">INDEX(Data_CostCodes!$B:$B,MATCH($B139,Data_CostCodes!$A:$A,0))</f>
        <v>Equipment Rental</v>
      </c>
      <c r="D139" s="37" t="str">
        <f aca="false">INDEX(Data_CostCodes!$D:$D,MATCH($B139,Data_CostCodes!$A:$A,0))</f>
        <v>Equipment</v>
      </c>
      <c r="E139" s="38" t="n">
        <f aca="false">SUMIFS(Data_Budgets!$C:$C,Data_Budgets!$A:$A,$A139,Data_Budgets!$B:$B,$B139)</f>
        <v>477600</v>
      </c>
      <c r="F139" s="38" t="n">
        <f aca="false">SUMIFS(Data_Budgets!$D:$D,Data_Budgets!$A:$A,$A139,Data_Budgets!$B:$B,$B139)</f>
        <v>0</v>
      </c>
      <c r="G139" s="38" t="n">
        <f aca="false">E139+F139</f>
        <v>477600</v>
      </c>
      <c r="H139" s="38" t="n">
        <f aca="false">SUMIFS(Data_JobCost!$L:$L,Data_JobCost!$D:$D,$A139,Data_JobCost!$E:$E,$B139)</f>
        <v>294796.88</v>
      </c>
      <c r="I139" s="38" t="n">
        <f aca="false">SUMIFS(Data_Commitments!$E:$E,Data_Commitments!$B:$B,$A139,Data_Commitments!$C:$C,$B139)</f>
        <v>0</v>
      </c>
      <c r="J139" s="41" t="n">
        <f aca="false">SUMIFS(Data_Progress!$C:$C,Data_Progress!$A:$A,$A139,Data_Progress!$B:$B,$B139)</f>
        <v>0.512</v>
      </c>
      <c r="K139" s="38" t="n">
        <f aca="false">G139*J139</f>
        <v>244531.2</v>
      </c>
      <c r="L139" s="42" t="n">
        <f aca="false">IF(H139&gt;0,K139/H139,"")</f>
        <v>0.829490461364449</v>
      </c>
      <c r="M139" s="38" t="n">
        <f aca="false">IF(I139&gt;0,MAX(I139,H139),IF(J139&gt;0,H139+(G139-K139)/L139,G139))</f>
        <v>575775.15625</v>
      </c>
      <c r="N139" s="38" t="n">
        <f aca="false">G139-M139</f>
        <v>-98175.15625</v>
      </c>
      <c r="O139" s="38" t="n">
        <f aca="false">M139-H139</f>
        <v>280978.27625</v>
      </c>
      <c r="P139" s="43" t="n">
        <f aca="false">SUMIFS(Data_Budgets!$F:$F,Data_Budgets!$A:$A,$A139,Data_Budgets!$B:$B,$B139)</f>
        <v>0</v>
      </c>
      <c r="Q139" s="43" t="n">
        <f aca="false">SUMIFS(Data_JobCost!$K:$K,Data_JobCost!$D:$D,$A139,Data_JobCost!$E:$E,$B139)</f>
        <v>0</v>
      </c>
      <c r="R139" s="43" t="n">
        <f aca="false">P139*J139</f>
        <v>0</v>
      </c>
    </row>
    <row r="140" customFormat="false" ht="15" hidden="false" customHeight="false" outlineLevel="0" collapsed="false">
      <c r="A140" s="37" t="s">
        <v>67</v>
      </c>
      <c r="B140" s="37" t="s">
        <v>100</v>
      </c>
      <c r="C140" s="37" t="str">
        <f aca="false">INDEX(Data_CostCodes!$B:$B,MATCH($B140,Data_CostCodes!$A:$A,0))</f>
        <v>Earthwork &amp; Excavation</v>
      </c>
      <c r="D140" s="37" t="str">
        <f aca="false">INDEX(Data_CostCodes!$D:$D,MATCH($B140,Data_CostCodes!$A:$A,0))</f>
        <v>Subcontract</v>
      </c>
      <c r="E140" s="38" t="n">
        <f aca="false">SUMIFS(Data_Budgets!$C:$C,Data_Budgets!$A:$A,$A140,Data_Budgets!$B:$B,$B140)</f>
        <v>878600</v>
      </c>
      <c r="F140" s="38" t="n">
        <f aca="false">SUMIFS(Data_Budgets!$D:$D,Data_Budgets!$A:$A,$A140,Data_Budgets!$B:$B,$B140)</f>
        <v>0</v>
      </c>
      <c r="G140" s="38" t="n">
        <f aca="false">E140+F140</f>
        <v>878600</v>
      </c>
      <c r="H140" s="38" t="n">
        <f aca="false">SUMIFS(Data_JobCost!$L:$L,Data_JobCost!$D:$D,$A140,Data_JobCost!$E:$E,$B140)</f>
        <v>887650.02</v>
      </c>
      <c r="I140" s="38" t="n">
        <f aca="false">SUMIFS(Data_Commitments!$E:$E,Data_Commitments!$B:$B,$A140,Data_Commitments!$C:$C,$B140)</f>
        <v>903400</v>
      </c>
      <c r="J140" s="41" t="n">
        <f aca="false">SUMIFS(Data_Progress!$C:$C,Data_Progress!$A:$A,$A140,Data_Progress!$B:$B,$B140)</f>
        <v>1</v>
      </c>
      <c r="K140" s="38" t="n">
        <f aca="false">G140*J140</f>
        <v>878600</v>
      </c>
      <c r="L140" s="42" t="n">
        <f aca="false">IF(H140&gt;0,K140/H140,"")</f>
        <v>0.989804517776049</v>
      </c>
      <c r="M140" s="38" t="n">
        <f aca="false">IF(I140&gt;0,MAX(I140,H140),IF(J140&gt;0,H140+(G140-K140)/L140,G140))</f>
        <v>903400</v>
      </c>
      <c r="N140" s="38" t="n">
        <f aca="false">G140-M140</f>
        <v>-24800</v>
      </c>
      <c r="O140" s="38" t="n">
        <f aca="false">M140-H140</f>
        <v>15749.98</v>
      </c>
      <c r="P140" s="43" t="n">
        <f aca="false">SUMIFS(Data_Budgets!$F:$F,Data_Budgets!$A:$A,$A140,Data_Budgets!$B:$B,$B140)</f>
        <v>0</v>
      </c>
      <c r="Q140" s="43" t="n">
        <f aca="false">SUMIFS(Data_JobCost!$K:$K,Data_JobCost!$D:$D,$A140,Data_JobCost!$E:$E,$B140)</f>
        <v>0</v>
      </c>
      <c r="R140" s="43" t="n">
        <f aca="false">P140*J140</f>
        <v>0</v>
      </c>
    </row>
    <row r="141" customFormat="false" ht="15" hidden="false" customHeight="false" outlineLevel="0" collapsed="false">
      <c r="A141" s="37" t="s">
        <v>67</v>
      </c>
      <c r="B141" s="37" t="s">
        <v>101</v>
      </c>
      <c r="C141" s="37" t="str">
        <f aca="false">INDEX(Data_CostCodes!$B:$B,MATCH($B141,Data_CostCodes!$A:$A,0))</f>
        <v>Concrete Formwork</v>
      </c>
      <c r="D141" s="37" t="str">
        <f aca="false">INDEX(Data_CostCodes!$D:$D,MATCH($B141,Data_CostCodes!$A:$A,0))</f>
        <v>Labour</v>
      </c>
      <c r="E141" s="38" t="n">
        <f aca="false">SUMIFS(Data_Budgets!$C:$C,Data_Budgets!$A:$A,$A141,Data_Budgets!$B:$B,$B141)</f>
        <v>634200</v>
      </c>
      <c r="F141" s="38" t="n">
        <f aca="false">SUMIFS(Data_Budgets!$D:$D,Data_Budgets!$A:$A,$A141,Data_Budgets!$B:$B,$B141)</f>
        <v>0</v>
      </c>
      <c r="G141" s="38" t="n">
        <f aca="false">E141+F141</f>
        <v>634200</v>
      </c>
      <c r="H141" s="38" t="n">
        <f aca="false">SUMIFS(Data_JobCost!$L:$L,Data_JobCost!$D:$D,$A141,Data_JobCost!$E:$E,$B141)</f>
        <v>621384.37</v>
      </c>
      <c r="I141" s="38" t="n">
        <f aca="false">SUMIFS(Data_Commitments!$E:$E,Data_Commitments!$B:$B,$A141,Data_Commitments!$C:$C,$B141)</f>
        <v>0</v>
      </c>
      <c r="J141" s="41" t="n">
        <f aca="false">SUMIFS(Data_Progress!$C:$C,Data_Progress!$A:$A,$A141,Data_Progress!$B:$B,$B141)</f>
        <v>0.955</v>
      </c>
      <c r="K141" s="38" t="n">
        <f aca="false">G141*J141</f>
        <v>605661</v>
      </c>
      <c r="L141" s="42" t="n">
        <f aca="false">IF(H141&gt;0,K141/H141,"")</f>
        <v>0.974696225461867</v>
      </c>
      <c r="M141" s="38" t="n">
        <f aca="false">IF(I141&gt;0,MAX(I141,H141),IF(J141&gt;0,H141+(G141-K141)/L141,G141))</f>
        <v>650664.261780105</v>
      </c>
      <c r="N141" s="38" t="n">
        <f aca="false">G141-M141</f>
        <v>-16464.2617801047</v>
      </c>
      <c r="O141" s="38" t="n">
        <f aca="false">M141-H141</f>
        <v>29279.8917801047</v>
      </c>
      <c r="P141" s="43" t="n">
        <f aca="false">SUMIFS(Data_Budgets!$F:$F,Data_Budgets!$A:$A,$A141,Data_Budgets!$B:$B,$B141)</f>
        <v>8570</v>
      </c>
      <c r="Q141" s="43" t="n">
        <f aca="false">SUMIFS(Data_JobCost!$K:$K,Data_JobCost!$D:$D,$A141,Data_JobCost!$E:$E,$B141)</f>
        <v>8397.2</v>
      </c>
      <c r="R141" s="43" t="n">
        <f aca="false">P141*J141</f>
        <v>8184.35</v>
      </c>
    </row>
    <row r="142" customFormat="false" ht="15" hidden="false" customHeight="false" outlineLevel="0" collapsed="false">
      <c r="A142" s="37" t="s">
        <v>67</v>
      </c>
      <c r="B142" s="37" t="s">
        <v>102</v>
      </c>
      <c r="C142" s="37" t="str">
        <f aca="false">INDEX(Data_CostCodes!$B:$B,MATCH($B142,Data_CostCodes!$A:$A,0))</f>
        <v>Reinforcing Steel</v>
      </c>
      <c r="D142" s="37" t="str">
        <f aca="false">INDEX(Data_CostCodes!$D:$D,MATCH($B142,Data_CostCodes!$A:$A,0))</f>
        <v>Material</v>
      </c>
      <c r="E142" s="38" t="n">
        <f aca="false">SUMIFS(Data_Budgets!$C:$C,Data_Budgets!$A:$A,$A142,Data_Budgets!$B:$B,$B142)</f>
        <v>687200</v>
      </c>
      <c r="F142" s="38" t="n">
        <f aca="false">SUMIFS(Data_Budgets!$D:$D,Data_Budgets!$A:$A,$A142,Data_Budgets!$B:$B,$B142)</f>
        <v>0</v>
      </c>
      <c r="G142" s="38" t="n">
        <f aca="false">E142+F142</f>
        <v>687200</v>
      </c>
      <c r="H142" s="38" t="n">
        <f aca="false">SUMIFS(Data_JobCost!$L:$L,Data_JobCost!$D:$D,$A142,Data_JobCost!$E:$E,$B142)</f>
        <v>702388.9</v>
      </c>
      <c r="I142" s="38" t="n">
        <f aca="false">SUMIFS(Data_Commitments!$E:$E,Data_Commitments!$B:$B,$A142,Data_Commitments!$C:$C,$B142)</f>
        <v>707200</v>
      </c>
      <c r="J142" s="41" t="n">
        <f aca="false">SUMIFS(Data_Progress!$C:$C,Data_Progress!$A:$A,$A142,Data_Progress!$B:$B,$B142)</f>
        <v>1</v>
      </c>
      <c r="K142" s="38" t="n">
        <f aca="false">G142*J142</f>
        <v>687200</v>
      </c>
      <c r="L142" s="42" t="n">
        <f aca="false">IF(H142&gt;0,K142/H142,"")</f>
        <v>0.978375370111914</v>
      </c>
      <c r="M142" s="38" t="n">
        <f aca="false">IF(I142&gt;0,MAX(I142,H142),IF(J142&gt;0,H142+(G142-K142)/L142,G142))</f>
        <v>707200</v>
      </c>
      <c r="N142" s="38" t="n">
        <f aca="false">G142-M142</f>
        <v>-20000</v>
      </c>
      <c r="O142" s="38" t="n">
        <f aca="false">M142-H142</f>
        <v>4811.09999999998</v>
      </c>
      <c r="P142" s="43" t="n">
        <f aca="false">SUMIFS(Data_Budgets!$F:$F,Data_Budgets!$A:$A,$A142,Data_Budgets!$B:$B,$B142)</f>
        <v>0</v>
      </c>
      <c r="Q142" s="43" t="n">
        <f aca="false">SUMIFS(Data_JobCost!$K:$K,Data_JobCost!$D:$D,$A142,Data_JobCost!$E:$E,$B142)</f>
        <v>0</v>
      </c>
      <c r="R142" s="43" t="n">
        <f aca="false">P142*J142</f>
        <v>0</v>
      </c>
    </row>
    <row r="143" customFormat="false" ht="15" hidden="false" customHeight="false" outlineLevel="0" collapsed="false">
      <c r="A143" s="37" t="s">
        <v>67</v>
      </c>
      <c r="B143" s="37" t="s">
        <v>103</v>
      </c>
      <c r="C143" s="37" t="str">
        <f aca="false">INDEX(Data_CostCodes!$B:$B,MATCH($B143,Data_CostCodes!$A:$A,0))</f>
        <v>Cast-in-Place Concrete</v>
      </c>
      <c r="D143" s="37" t="str">
        <f aca="false">INDEX(Data_CostCodes!$D:$D,MATCH($B143,Data_CostCodes!$A:$A,0))</f>
        <v>Material</v>
      </c>
      <c r="E143" s="38" t="n">
        <f aca="false">SUMIFS(Data_Budgets!$C:$C,Data_Budgets!$A:$A,$A143,Data_Budgets!$B:$B,$B143)</f>
        <v>921200</v>
      </c>
      <c r="F143" s="38" t="n">
        <f aca="false">SUMIFS(Data_Budgets!$D:$D,Data_Budgets!$A:$A,$A143,Data_Budgets!$B:$B,$B143)</f>
        <v>0</v>
      </c>
      <c r="G143" s="38" t="n">
        <f aca="false">E143+F143</f>
        <v>921200</v>
      </c>
      <c r="H143" s="38" t="n">
        <f aca="false">SUMIFS(Data_JobCost!$L:$L,Data_JobCost!$D:$D,$A143,Data_JobCost!$E:$E,$B143)</f>
        <v>834902.39</v>
      </c>
      <c r="I143" s="38" t="n">
        <f aca="false">SUMIFS(Data_Commitments!$E:$E,Data_Commitments!$B:$B,$A143,Data_Commitments!$C:$C,$B143)</f>
        <v>892000</v>
      </c>
      <c r="J143" s="41" t="n">
        <f aca="false">SUMIFS(Data_Progress!$C:$C,Data_Progress!$A:$A,$A143,Data_Progress!$B:$B,$B143)</f>
        <v>0.943</v>
      </c>
      <c r="K143" s="38" t="n">
        <f aca="false">G143*J143</f>
        <v>868691.6</v>
      </c>
      <c r="L143" s="42" t="n">
        <f aca="false">IF(H143&gt;0,K143/H143,"")</f>
        <v>1.04047085073023</v>
      </c>
      <c r="M143" s="38" t="n">
        <f aca="false">IF(I143&gt;0,MAX(I143,H143),IF(J143&gt;0,H143+(G143-K143)/L143,G143))</f>
        <v>892000</v>
      </c>
      <c r="N143" s="38" t="n">
        <f aca="false">G143-M143</f>
        <v>29200</v>
      </c>
      <c r="O143" s="38" t="n">
        <f aca="false">M143-H143</f>
        <v>57097.61</v>
      </c>
      <c r="P143" s="43" t="n">
        <f aca="false">SUMIFS(Data_Budgets!$F:$F,Data_Budgets!$A:$A,$A143,Data_Budgets!$B:$B,$B143)</f>
        <v>0</v>
      </c>
      <c r="Q143" s="43" t="n">
        <f aca="false">SUMIFS(Data_JobCost!$K:$K,Data_JobCost!$D:$D,$A143,Data_JobCost!$E:$E,$B143)</f>
        <v>0</v>
      </c>
      <c r="R143" s="43" t="n">
        <f aca="false">P143*J143</f>
        <v>0</v>
      </c>
    </row>
    <row r="144" customFormat="false" ht="15" hidden="false" customHeight="false" outlineLevel="0" collapsed="false">
      <c r="A144" s="37" t="s">
        <v>67</v>
      </c>
      <c r="B144" s="37" t="s">
        <v>105</v>
      </c>
      <c r="C144" s="37" t="str">
        <f aca="false">INDEX(Data_CostCodes!$B:$B,MATCH($B144,Data_CostCodes!$A:$A,0))</f>
        <v>Structural Steel</v>
      </c>
      <c r="D144" s="37" t="str">
        <f aca="false">INDEX(Data_CostCodes!$D:$D,MATCH($B144,Data_CostCodes!$A:$A,0))</f>
        <v>Subcontract</v>
      </c>
      <c r="E144" s="38" t="n">
        <f aca="false">SUMIFS(Data_Budgets!$C:$C,Data_Budgets!$A:$A,$A144,Data_Budgets!$B:$B,$B144)</f>
        <v>1650300</v>
      </c>
      <c r="F144" s="38" t="n">
        <f aca="false">SUMIFS(Data_Budgets!$D:$D,Data_Budgets!$A:$A,$A144,Data_Budgets!$B:$B,$B144)</f>
        <v>0</v>
      </c>
      <c r="G144" s="38" t="n">
        <f aca="false">E144+F144</f>
        <v>1650300</v>
      </c>
      <c r="H144" s="38" t="n">
        <f aca="false">SUMIFS(Data_JobCost!$L:$L,Data_JobCost!$D:$D,$A144,Data_JobCost!$E:$E,$B144)</f>
        <v>1170075.47</v>
      </c>
      <c r="I144" s="38" t="n">
        <f aca="false">SUMIFS(Data_Commitments!$E:$E,Data_Commitments!$B:$B,$A144,Data_Commitments!$C:$C,$B144)</f>
        <v>1648500</v>
      </c>
      <c r="J144" s="41" t="n">
        <f aca="false">SUMIFS(Data_Progress!$C:$C,Data_Progress!$A:$A,$A144,Data_Progress!$B:$B,$B144)</f>
        <v>0.719</v>
      </c>
      <c r="K144" s="38" t="n">
        <f aca="false">G144*J144</f>
        <v>1186565.7</v>
      </c>
      <c r="L144" s="42" t="n">
        <f aca="false">IF(H144&gt;0,K144/H144,"")</f>
        <v>1.01409330459684</v>
      </c>
      <c r="M144" s="38" t="n">
        <f aca="false">IF(I144&gt;0,MAX(I144,H144),IF(J144&gt;0,H144+(G144-K144)/L144,G144))</f>
        <v>1648500</v>
      </c>
      <c r="N144" s="38" t="n">
        <f aca="false">G144-M144</f>
        <v>1800</v>
      </c>
      <c r="O144" s="38" t="n">
        <f aca="false">M144-H144</f>
        <v>478424.53</v>
      </c>
      <c r="P144" s="43" t="n">
        <f aca="false">SUMIFS(Data_Budgets!$F:$F,Data_Budgets!$A:$A,$A144,Data_Budgets!$B:$B,$B144)</f>
        <v>0</v>
      </c>
      <c r="Q144" s="43" t="n">
        <f aca="false">SUMIFS(Data_JobCost!$K:$K,Data_JobCost!$D:$D,$A144,Data_JobCost!$E:$E,$B144)</f>
        <v>0</v>
      </c>
      <c r="R144" s="43" t="n">
        <f aca="false">P144*J144</f>
        <v>0</v>
      </c>
    </row>
    <row r="145" customFormat="false" ht="15" hidden="false" customHeight="false" outlineLevel="0" collapsed="false">
      <c r="A145" s="37" t="s">
        <v>67</v>
      </c>
      <c r="B145" s="37" t="s">
        <v>106</v>
      </c>
      <c r="C145" s="37" t="str">
        <f aca="false">INDEX(Data_CostCodes!$B:$B,MATCH($B145,Data_CostCodes!$A:$A,0))</f>
        <v>Rough Carpentry</v>
      </c>
      <c r="D145" s="37" t="str">
        <f aca="false">INDEX(Data_CostCodes!$D:$D,MATCH($B145,Data_CostCodes!$A:$A,0))</f>
        <v>Labour</v>
      </c>
      <c r="E145" s="38" t="n">
        <f aca="false">SUMIFS(Data_Budgets!$C:$C,Data_Budgets!$A:$A,$A145,Data_Budgets!$B:$B,$B145)</f>
        <v>275000</v>
      </c>
      <c r="F145" s="38" t="n">
        <f aca="false">SUMIFS(Data_Budgets!$D:$D,Data_Budgets!$A:$A,$A145,Data_Budgets!$B:$B,$B145)</f>
        <v>0</v>
      </c>
      <c r="G145" s="38" t="n">
        <f aca="false">E145+F145</f>
        <v>275000</v>
      </c>
      <c r="H145" s="38" t="n">
        <f aca="false">SUMIFS(Data_JobCost!$L:$L,Data_JobCost!$D:$D,$A145,Data_JobCost!$E:$E,$B145)</f>
        <v>9729.02</v>
      </c>
      <c r="I145" s="38" t="n">
        <f aca="false">SUMIFS(Data_Commitments!$E:$E,Data_Commitments!$B:$B,$A145,Data_Commitments!$C:$C,$B145)</f>
        <v>0</v>
      </c>
      <c r="J145" s="41" t="n">
        <f aca="false">SUMIFS(Data_Progress!$C:$C,Data_Progress!$A:$A,$A145,Data_Progress!$B:$B,$B145)</f>
        <v>0.035</v>
      </c>
      <c r="K145" s="38" t="n">
        <f aca="false">G145*J145</f>
        <v>9625</v>
      </c>
      <c r="L145" s="42" t="n">
        <f aca="false">IF(H145&gt;0,K145/H145,"")</f>
        <v>0.989308275653663</v>
      </c>
      <c r="M145" s="38" t="n">
        <f aca="false">IF(I145&gt;0,MAX(I145,H145),IF(J145&gt;0,H145+(G145-K145)/L145,G145))</f>
        <v>277972</v>
      </c>
      <c r="N145" s="38" t="n">
        <f aca="false">G145-M145</f>
        <v>-2972</v>
      </c>
      <c r="O145" s="38" t="n">
        <f aca="false">M145-H145</f>
        <v>268242.98</v>
      </c>
      <c r="P145" s="43" t="n">
        <f aca="false">SUMIFS(Data_Budgets!$F:$F,Data_Budgets!$A:$A,$A145,Data_Budgets!$B:$B,$B145)</f>
        <v>3873</v>
      </c>
      <c r="Q145" s="43" t="n">
        <f aca="false">SUMIFS(Data_JobCost!$K:$K,Data_JobCost!$D:$D,$A145,Data_JobCost!$E:$E,$B145)</f>
        <v>137.1</v>
      </c>
      <c r="R145" s="43" t="n">
        <f aca="false">P145*J145</f>
        <v>135.555</v>
      </c>
    </row>
    <row r="146" customFormat="false" ht="15" hidden="false" customHeight="false" outlineLevel="0" collapsed="false">
      <c r="A146" s="37" t="s">
        <v>67</v>
      </c>
      <c r="B146" s="37" t="s">
        <v>107</v>
      </c>
      <c r="C146" s="37" t="str">
        <f aca="false">INDEX(Data_CostCodes!$B:$B,MATCH($B146,Data_CostCodes!$A:$A,0))</f>
        <v>Roofing &amp; Insulation</v>
      </c>
      <c r="D146" s="37" t="str">
        <f aca="false">INDEX(Data_CostCodes!$D:$D,MATCH($B146,Data_CostCodes!$A:$A,0))</f>
        <v>Subcontract</v>
      </c>
      <c r="E146" s="38" t="n">
        <f aca="false">SUMIFS(Data_Budgets!$C:$C,Data_Budgets!$A:$A,$A146,Data_Budgets!$B:$B,$B146)</f>
        <v>772800</v>
      </c>
      <c r="F146" s="38" t="n">
        <f aca="false">SUMIFS(Data_Budgets!$D:$D,Data_Budgets!$A:$A,$A146,Data_Budgets!$B:$B,$B146)</f>
        <v>0</v>
      </c>
      <c r="G146" s="38" t="n">
        <f aca="false">E146+F146</f>
        <v>772800</v>
      </c>
      <c r="H146" s="38" t="n">
        <f aca="false">SUMIFS(Data_JobCost!$L:$L,Data_JobCost!$D:$D,$A146,Data_JobCost!$E:$E,$B146)</f>
        <v>0</v>
      </c>
      <c r="I146" s="38" t="n">
        <f aca="false">SUMIFS(Data_Commitments!$E:$E,Data_Commitments!$B:$B,$A146,Data_Commitments!$C:$C,$B146)</f>
        <v>783300</v>
      </c>
      <c r="J146" s="41" t="n">
        <f aca="false">SUMIFS(Data_Progress!$C:$C,Data_Progress!$A:$A,$A146,Data_Progress!$B:$B,$B146)</f>
        <v>0</v>
      </c>
      <c r="K146" s="38" t="n">
        <f aca="false">G146*J146</f>
        <v>0</v>
      </c>
      <c r="L146" s="42" t="str">
        <f aca="false">IF(H146&gt;0,K146/H146,"")</f>
        <v/>
      </c>
      <c r="M146" s="38" t="n">
        <f aca="false">IF(I146&gt;0,MAX(I146,H146),IF(J146&gt;0,H146+(G146-K146)/L146,G146))</f>
        <v>783300</v>
      </c>
      <c r="N146" s="38" t="n">
        <f aca="false">G146-M146</f>
        <v>-10500</v>
      </c>
      <c r="O146" s="38" t="n">
        <f aca="false">M146-H146</f>
        <v>783300</v>
      </c>
      <c r="P146" s="43" t="n">
        <f aca="false">SUMIFS(Data_Budgets!$F:$F,Data_Budgets!$A:$A,$A146,Data_Budgets!$B:$B,$B146)</f>
        <v>0</v>
      </c>
      <c r="Q146" s="43" t="n">
        <f aca="false">SUMIFS(Data_JobCost!$K:$K,Data_JobCost!$D:$D,$A146,Data_JobCost!$E:$E,$B146)</f>
        <v>0</v>
      </c>
      <c r="R146" s="43" t="n">
        <f aca="false">P146*J146</f>
        <v>0</v>
      </c>
    </row>
    <row r="147" customFormat="false" ht="15" hidden="false" customHeight="false" outlineLevel="0" collapsed="false">
      <c r="A147" s="37" t="s">
        <v>67</v>
      </c>
      <c r="B147" s="37" t="s">
        <v>108</v>
      </c>
      <c r="C147" s="37" t="str">
        <f aca="false">INDEX(Data_CostCodes!$B:$B,MATCH($B147,Data_CostCodes!$A:$A,0))</f>
        <v>Doors, Frames &amp; Hardware</v>
      </c>
      <c r="D147" s="37" t="str">
        <f aca="false">INDEX(Data_CostCodes!$D:$D,MATCH($B147,Data_CostCodes!$A:$A,0))</f>
        <v>Material</v>
      </c>
      <c r="E147" s="38" t="n">
        <f aca="false">SUMIFS(Data_Budgets!$C:$C,Data_Budgets!$A:$A,$A147,Data_Budgets!$B:$B,$B147)</f>
        <v>216400</v>
      </c>
      <c r="F147" s="38" t="n">
        <f aca="false">SUMIFS(Data_Budgets!$D:$D,Data_Budgets!$A:$A,$A147,Data_Budgets!$B:$B,$B147)</f>
        <v>0</v>
      </c>
      <c r="G147" s="38" t="n">
        <f aca="false">E147+F147</f>
        <v>216400</v>
      </c>
      <c r="H147" s="38" t="n">
        <f aca="false">SUMIFS(Data_JobCost!$L:$L,Data_JobCost!$D:$D,$A147,Data_JobCost!$E:$E,$B147)</f>
        <v>0</v>
      </c>
      <c r="I147" s="38" t="n">
        <f aca="false">SUMIFS(Data_Commitments!$E:$E,Data_Commitments!$B:$B,$A147,Data_Commitments!$C:$C,$B147)</f>
        <v>222400</v>
      </c>
      <c r="J147" s="41" t="n">
        <f aca="false">SUMIFS(Data_Progress!$C:$C,Data_Progress!$A:$A,$A147,Data_Progress!$B:$B,$B147)</f>
        <v>0</v>
      </c>
      <c r="K147" s="38" t="n">
        <f aca="false">G147*J147</f>
        <v>0</v>
      </c>
      <c r="L147" s="42" t="str">
        <f aca="false">IF(H147&gt;0,K147/H147,"")</f>
        <v/>
      </c>
      <c r="M147" s="38" t="n">
        <f aca="false">IF(I147&gt;0,MAX(I147,H147),IF(J147&gt;0,H147+(G147-K147)/L147,G147))</f>
        <v>222400</v>
      </c>
      <c r="N147" s="38" t="n">
        <f aca="false">G147-M147</f>
        <v>-6000</v>
      </c>
      <c r="O147" s="38" t="n">
        <f aca="false">M147-H147</f>
        <v>222400</v>
      </c>
      <c r="P147" s="43" t="n">
        <f aca="false">SUMIFS(Data_Budgets!$F:$F,Data_Budgets!$A:$A,$A147,Data_Budgets!$B:$B,$B147)</f>
        <v>0</v>
      </c>
      <c r="Q147" s="43" t="n">
        <f aca="false">SUMIFS(Data_JobCost!$K:$K,Data_JobCost!$D:$D,$A147,Data_JobCost!$E:$E,$B147)</f>
        <v>0</v>
      </c>
      <c r="R147" s="43" t="n">
        <f aca="false">P147*J147</f>
        <v>0</v>
      </c>
    </row>
    <row r="148" customFormat="false" ht="15" hidden="false" customHeight="false" outlineLevel="0" collapsed="false">
      <c r="A148" s="37" t="s">
        <v>67</v>
      </c>
      <c r="B148" s="37" t="s">
        <v>109</v>
      </c>
      <c r="C148" s="37" t="str">
        <f aca="false">INDEX(Data_CostCodes!$B:$B,MATCH($B148,Data_CostCodes!$A:$A,0))</f>
        <v>Drywall &amp; Finishes</v>
      </c>
      <c r="D148" s="37" t="str">
        <f aca="false">INDEX(Data_CostCodes!$D:$D,MATCH($B148,Data_CostCodes!$A:$A,0))</f>
        <v>Subcontract</v>
      </c>
      <c r="E148" s="38" t="n">
        <f aca="false">SUMIFS(Data_Budgets!$C:$C,Data_Budgets!$A:$A,$A148,Data_Budgets!$B:$B,$B148)</f>
        <v>477400</v>
      </c>
      <c r="F148" s="38" t="n">
        <f aca="false">SUMIFS(Data_Budgets!$D:$D,Data_Budgets!$A:$A,$A148,Data_Budgets!$B:$B,$B148)</f>
        <v>0</v>
      </c>
      <c r="G148" s="38" t="n">
        <f aca="false">E148+F148</f>
        <v>477400</v>
      </c>
      <c r="H148" s="38" t="n">
        <f aca="false">SUMIFS(Data_JobCost!$L:$L,Data_JobCost!$D:$D,$A148,Data_JobCost!$E:$E,$B148)</f>
        <v>0</v>
      </c>
      <c r="I148" s="38" t="n">
        <f aca="false">SUMIFS(Data_Commitments!$E:$E,Data_Commitments!$B:$B,$A148,Data_Commitments!$C:$C,$B148)</f>
        <v>475400</v>
      </c>
      <c r="J148" s="41" t="n">
        <f aca="false">SUMIFS(Data_Progress!$C:$C,Data_Progress!$A:$A,$A148,Data_Progress!$B:$B,$B148)</f>
        <v>0</v>
      </c>
      <c r="K148" s="38" t="n">
        <f aca="false">G148*J148</f>
        <v>0</v>
      </c>
      <c r="L148" s="42" t="str">
        <f aca="false">IF(H148&gt;0,K148/H148,"")</f>
        <v/>
      </c>
      <c r="M148" s="38" t="n">
        <f aca="false">IF(I148&gt;0,MAX(I148,H148),IF(J148&gt;0,H148+(G148-K148)/L148,G148))</f>
        <v>475400</v>
      </c>
      <c r="N148" s="38" t="n">
        <f aca="false">G148-M148</f>
        <v>2000</v>
      </c>
      <c r="O148" s="38" t="n">
        <f aca="false">M148-H148</f>
        <v>475400</v>
      </c>
      <c r="P148" s="43" t="n">
        <f aca="false">SUMIFS(Data_Budgets!$F:$F,Data_Budgets!$A:$A,$A148,Data_Budgets!$B:$B,$B148)</f>
        <v>0</v>
      </c>
      <c r="Q148" s="43" t="n">
        <f aca="false">SUMIFS(Data_JobCost!$K:$K,Data_JobCost!$D:$D,$A148,Data_JobCost!$E:$E,$B148)</f>
        <v>0</v>
      </c>
      <c r="R148" s="43" t="n">
        <f aca="false">P148*J148</f>
        <v>0</v>
      </c>
    </row>
    <row r="149" customFormat="false" ht="15" hidden="false" customHeight="false" outlineLevel="0" collapsed="false">
      <c r="A149" s="37" t="s">
        <v>67</v>
      </c>
      <c r="B149" s="37" t="s">
        <v>110</v>
      </c>
      <c r="C149" s="37" t="str">
        <f aca="false">INDEX(Data_CostCodes!$B:$B,MATCH($B149,Data_CostCodes!$A:$A,0))</f>
        <v>Mechanical</v>
      </c>
      <c r="D149" s="37" t="str">
        <f aca="false">INDEX(Data_CostCodes!$D:$D,MATCH($B149,Data_CostCodes!$A:$A,0))</f>
        <v>Subcontract</v>
      </c>
      <c r="E149" s="38" t="n">
        <f aca="false">SUMIFS(Data_Budgets!$C:$C,Data_Budgets!$A:$A,$A149,Data_Budgets!$B:$B,$B149)</f>
        <v>1717600</v>
      </c>
      <c r="F149" s="38" t="n">
        <f aca="false">SUMIFS(Data_Budgets!$D:$D,Data_Budgets!$A:$A,$A149,Data_Budgets!$B:$B,$B149)</f>
        <v>0</v>
      </c>
      <c r="G149" s="38" t="n">
        <f aca="false">E149+F149</f>
        <v>1717600</v>
      </c>
      <c r="H149" s="38" t="n">
        <f aca="false">SUMIFS(Data_JobCost!$L:$L,Data_JobCost!$D:$D,$A149,Data_JobCost!$E:$E,$B149)</f>
        <v>182644.69</v>
      </c>
      <c r="I149" s="38" t="n">
        <f aca="false">SUMIFS(Data_Commitments!$E:$E,Data_Commitments!$B:$B,$A149,Data_Commitments!$C:$C,$B149)</f>
        <v>1765400</v>
      </c>
      <c r="J149" s="41" t="n">
        <f aca="false">SUMIFS(Data_Progress!$C:$C,Data_Progress!$A:$A,$A149,Data_Progress!$B:$B,$B149)</f>
        <v>0.105</v>
      </c>
      <c r="K149" s="38" t="n">
        <f aca="false">G149*J149</f>
        <v>180348</v>
      </c>
      <c r="L149" s="42" t="n">
        <f aca="false">IF(H149&gt;0,K149/H149,"")</f>
        <v>0.987425366705159</v>
      </c>
      <c r="M149" s="38" t="n">
        <f aca="false">IF(I149&gt;0,MAX(I149,H149),IF(J149&gt;0,H149+(G149-K149)/L149,G149))</f>
        <v>1765400</v>
      </c>
      <c r="N149" s="38" t="n">
        <f aca="false">G149-M149</f>
        <v>-47800</v>
      </c>
      <c r="O149" s="38" t="n">
        <f aca="false">M149-H149</f>
        <v>1582755.31</v>
      </c>
      <c r="P149" s="43" t="n">
        <f aca="false">SUMIFS(Data_Budgets!$F:$F,Data_Budgets!$A:$A,$A149,Data_Budgets!$B:$B,$B149)</f>
        <v>0</v>
      </c>
      <c r="Q149" s="43" t="n">
        <f aca="false">SUMIFS(Data_JobCost!$K:$K,Data_JobCost!$D:$D,$A149,Data_JobCost!$E:$E,$B149)</f>
        <v>0</v>
      </c>
      <c r="R149" s="43" t="n">
        <f aca="false">P149*J149</f>
        <v>0</v>
      </c>
    </row>
    <row r="150" customFormat="false" ht="15" hidden="false" customHeight="false" outlineLevel="0" collapsed="false">
      <c r="A150" s="37" t="s">
        <v>67</v>
      </c>
      <c r="B150" s="37" t="s">
        <v>111</v>
      </c>
      <c r="C150" s="37" t="str">
        <f aca="false">INDEX(Data_CostCodes!$B:$B,MATCH($B150,Data_CostCodes!$A:$A,0))</f>
        <v>Electrical</v>
      </c>
      <c r="D150" s="37" t="str">
        <f aca="false">INDEX(Data_CostCodes!$D:$D,MATCH($B150,Data_CostCodes!$A:$A,0))</f>
        <v>Subcontract</v>
      </c>
      <c r="E150" s="38" t="n">
        <f aca="false">SUMIFS(Data_Budgets!$C:$C,Data_Budgets!$A:$A,$A150,Data_Budgets!$B:$B,$B150)</f>
        <v>1883200</v>
      </c>
      <c r="F150" s="38" t="n">
        <f aca="false">SUMIFS(Data_Budgets!$D:$D,Data_Budgets!$A:$A,$A150,Data_Budgets!$B:$B,$B150)</f>
        <v>0</v>
      </c>
      <c r="G150" s="38" t="n">
        <f aca="false">E150+F150</f>
        <v>1883200</v>
      </c>
      <c r="H150" s="38" t="n">
        <f aca="false">SUMIFS(Data_JobCost!$L:$L,Data_JobCost!$D:$D,$A150,Data_JobCost!$E:$E,$B150)</f>
        <v>184739.4</v>
      </c>
      <c r="I150" s="38" t="n">
        <f aca="false">SUMIFS(Data_Commitments!$E:$E,Data_Commitments!$B:$B,$A150,Data_Commitments!$C:$C,$B150)</f>
        <v>1813600</v>
      </c>
      <c r="J150" s="41" t="n">
        <f aca="false">SUMIFS(Data_Progress!$C:$C,Data_Progress!$A:$A,$A150,Data_Progress!$B:$B,$B150)</f>
        <v>0.105</v>
      </c>
      <c r="K150" s="38" t="n">
        <f aca="false">G150*J150</f>
        <v>197736</v>
      </c>
      <c r="L150" s="42" t="n">
        <f aca="false">IF(H150&gt;0,K150/H150,"")</f>
        <v>1.07035099172131</v>
      </c>
      <c r="M150" s="38" t="n">
        <f aca="false">IF(I150&gt;0,MAX(I150,H150),IF(J150&gt;0,H150+(G150-K150)/L150,G150))</f>
        <v>1813600</v>
      </c>
      <c r="N150" s="38" t="n">
        <f aca="false">G150-M150</f>
        <v>69600</v>
      </c>
      <c r="O150" s="38" t="n">
        <f aca="false">M150-H150</f>
        <v>1628860.6</v>
      </c>
      <c r="P150" s="43" t="n">
        <f aca="false">SUMIFS(Data_Budgets!$F:$F,Data_Budgets!$A:$A,$A150,Data_Budgets!$B:$B,$B150)</f>
        <v>0</v>
      </c>
      <c r="Q150" s="43" t="n">
        <f aca="false">SUMIFS(Data_JobCost!$K:$K,Data_JobCost!$D:$D,$A150,Data_JobCost!$E:$E,$B150)</f>
        <v>0</v>
      </c>
      <c r="R150" s="43" t="n">
        <f aca="false">P150*J150</f>
        <v>0</v>
      </c>
    </row>
    <row r="151" customFormat="false" ht="15" hidden="false" customHeight="false" outlineLevel="0" collapsed="false">
      <c r="A151" s="37" t="s">
        <v>68</v>
      </c>
      <c r="B151" s="37" t="s">
        <v>97</v>
      </c>
      <c r="C151" s="37" t="str">
        <f aca="false">INDEX(Data_CostCodes!$B:$B,MATCH($B151,Data_CostCodes!$A:$A,0))</f>
        <v>General Conditions - Supervision</v>
      </c>
      <c r="D151" s="37" t="str">
        <f aca="false">INDEX(Data_CostCodes!$D:$D,MATCH($B151,Data_CostCodes!$A:$A,0))</f>
        <v>Labour</v>
      </c>
      <c r="E151" s="38" t="n">
        <f aca="false">SUMIFS(Data_Budgets!$C:$C,Data_Budgets!$A:$A,$A151,Data_Budgets!$B:$B,$B151)</f>
        <v>609600</v>
      </c>
      <c r="F151" s="38" t="n">
        <f aca="false">SUMIFS(Data_Budgets!$D:$D,Data_Budgets!$A:$A,$A151,Data_Budgets!$B:$B,$B151)</f>
        <v>0</v>
      </c>
      <c r="G151" s="38" t="n">
        <f aca="false">E151+F151</f>
        <v>609600</v>
      </c>
      <c r="H151" s="38" t="n">
        <f aca="false">SUMIFS(Data_JobCost!$L:$L,Data_JobCost!$D:$D,$A151,Data_JobCost!$E:$E,$B151)</f>
        <v>205553.93</v>
      </c>
      <c r="I151" s="38" t="n">
        <f aca="false">SUMIFS(Data_Commitments!$E:$E,Data_Commitments!$B:$B,$A151,Data_Commitments!$C:$C,$B151)</f>
        <v>0</v>
      </c>
      <c r="J151" s="41" t="n">
        <f aca="false">SUMIFS(Data_Progress!$C:$C,Data_Progress!$A:$A,$A151,Data_Progress!$B:$B,$B151)</f>
        <v>0.34</v>
      </c>
      <c r="K151" s="38" t="n">
        <f aca="false">G151*J151</f>
        <v>207264</v>
      </c>
      <c r="L151" s="42" t="n">
        <f aca="false">IF(H151&gt;0,K151/H151,"")</f>
        <v>1.00831932524958</v>
      </c>
      <c r="M151" s="38" t="n">
        <f aca="false">IF(I151&gt;0,MAX(I151,H151),IF(J151&gt;0,H151+(G151-K151)/L151,G151))</f>
        <v>604570.382352941</v>
      </c>
      <c r="N151" s="38" t="n">
        <f aca="false">G151-M151</f>
        <v>5029.6176470588</v>
      </c>
      <c r="O151" s="38" t="n">
        <f aca="false">M151-H151</f>
        <v>399016.452352941</v>
      </c>
      <c r="P151" s="43" t="n">
        <f aca="false">SUMIFS(Data_Budgets!$F:$F,Data_Budgets!$A:$A,$A151,Data_Budgets!$B:$B,$B151)</f>
        <v>6626</v>
      </c>
      <c r="Q151" s="43" t="n">
        <f aca="false">SUMIFS(Data_JobCost!$K:$K,Data_JobCost!$D:$D,$A151,Data_JobCost!$E:$E,$B151)</f>
        <v>2234.3</v>
      </c>
      <c r="R151" s="43" t="n">
        <f aca="false">P151*J151</f>
        <v>2252.84</v>
      </c>
    </row>
    <row r="152" customFormat="false" ht="15" hidden="false" customHeight="false" outlineLevel="0" collapsed="false">
      <c r="A152" s="37" t="s">
        <v>68</v>
      </c>
      <c r="B152" s="37" t="s">
        <v>98</v>
      </c>
      <c r="C152" s="37" t="str">
        <f aca="false">INDEX(Data_CostCodes!$B:$B,MATCH($B152,Data_CostCodes!$A:$A,0))</f>
        <v>Site Facilities &amp; Temp Services</v>
      </c>
      <c r="D152" s="37" t="str">
        <f aca="false">INDEX(Data_CostCodes!$D:$D,MATCH($B152,Data_CostCodes!$A:$A,0))</f>
        <v>Other</v>
      </c>
      <c r="E152" s="38" t="n">
        <f aca="false">SUMIFS(Data_Budgets!$C:$C,Data_Budgets!$A:$A,$A152,Data_Budgets!$B:$B,$B152)</f>
        <v>183200</v>
      </c>
      <c r="F152" s="38" t="n">
        <f aca="false">SUMIFS(Data_Budgets!$D:$D,Data_Budgets!$A:$A,$A152,Data_Budgets!$B:$B,$B152)</f>
        <v>0</v>
      </c>
      <c r="G152" s="38" t="n">
        <f aca="false">E152+F152</f>
        <v>183200</v>
      </c>
      <c r="H152" s="38" t="n">
        <f aca="false">SUMIFS(Data_JobCost!$L:$L,Data_JobCost!$D:$D,$A152,Data_JobCost!$E:$E,$B152)</f>
        <v>63602.54</v>
      </c>
      <c r="I152" s="38" t="n">
        <f aca="false">SUMIFS(Data_Commitments!$E:$E,Data_Commitments!$B:$B,$A152,Data_Commitments!$C:$C,$B152)</f>
        <v>0</v>
      </c>
      <c r="J152" s="41" t="n">
        <f aca="false">SUMIFS(Data_Progress!$C:$C,Data_Progress!$A:$A,$A152,Data_Progress!$B:$B,$B152)</f>
        <v>0.356</v>
      </c>
      <c r="K152" s="38" t="n">
        <f aca="false">G152*J152</f>
        <v>65219.2</v>
      </c>
      <c r="L152" s="42" t="n">
        <f aca="false">IF(H152&gt;0,K152/H152,"")</f>
        <v>1.02541816726187</v>
      </c>
      <c r="M152" s="38" t="n">
        <f aca="false">IF(I152&gt;0,MAX(I152,H152),IF(J152&gt;0,H152+(G152-K152)/L152,G152))</f>
        <v>178658.820224719</v>
      </c>
      <c r="N152" s="38" t="n">
        <f aca="false">G152-M152</f>
        <v>4541.17977528088</v>
      </c>
      <c r="O152" s="38" t="n">
        <f aca="false">M152-H152</f>
        <v>115056.280224719</v>
      </c>
      <c r="P152" s="43" t="n">
        <f aca="false">SUMIFS(Data_Budgets!$F:$F,Data_Budgets!$A:$A,$A152,Data_Budgets!$B:$B,$B152)</f>
        <v>0</v>
      </c>
      <c r="Q152" s="43" t="n">
        <f aca="false">SUMIFS(Data_JobCost!$K:$K,Data_JobCost!$D:$D,$A152,Data_JobCost!$E:$E,$B152)</f>
        <v>0</v>
      </c>
      <c r="R152" s="43" t="n">
        <f aca="false">P152*J152</f>
        <v>0</v>
      </c>
    </row>
    <row r="153" customFormat="false" ht="15" hidden="false" customHeight="false" outlineLevel="0" collapsed="false">
      <c r="A153" s="37" t="s">
        <v>68</v>
      </c>
      <c r="B153" s="37" t="s">
        <v>99</v>
      </c>
      <c r="C153" s="37" t="str">
        <f aca="false">INDEX(Data_CostCodes!$B:$B,MATCH($B153,Data_CostCodes!$A:$A,0))</f>
        <v>Equipment Rental</v>
      </c>
      <c r="D153" s="37" t="str">
        <f aca="false">INDEX(Data_CostCodes!$D:$D,MATCH($B153,Data_CostCodes!$A:$A,0))</f>
        <v>Equipment</v>
      </c>
      <c r="E153" s="38" t="n">
        <f aca="false">SUMIFS(Data_Budgets!$C:$C,Data_Budgets!$A:$A,$A153,Data_Budgets!$B:$B,$B153)</f>
        <v>226400</v>
      </c>
      <c r="F153" s="38" t="n">
        <f aca="false">SUMIFS(Data_Budgets!$D:$D,Data_Budgets!$A:$A,$A153,Data_Budgets!$B:$B,$B153)</f>
        <v>0</v>
      </c>
      <c r="G153" s="38" t="n">
        <f aca="false">E153+F153</f>
        <v>226400</v>
      </c>
      <c r="H153" s="38" t="n">
        <f aca="false">SUMIFS(Data_JobCost!$L:$L,Data_JobCost!$D:$D,$A153,Data_JobCost!$E:$E,$B153)</f>
        <v>103189.39</v>
      </c>
      <c r="I153" s="38" t="n">
        <f aca="false">SUMIFS(Data_Commitments!$E:$E,Data_Commitments!$B:$B,$A153,Data_Commitments!$C:$C,$B153)</f>
        <v>0</v>
      </c>
      <c r="J153" s="41" t="n">
        <f aca="false">SUMIFS(Data_Progress!$C:$C,Data_Progress!$A:$A,$A153,Data_Progress!$B:$B,$B153)</f>
        <v>0.462</v>
      </c>
      <c r="K153" s="38" t="n">
        <f aca="false">G153*J153</f>
        <v>104596.8</v>
      </c>
      <c r="L153" s="42" t="n">
        <f aca="false">IF(H153&gt;0,K153/H153,"")</f>
        <v>1.01363909603497</v>
      </c>
      <c r="M153" s="38" t="n">
        <f aca="false">IF(I153&gt;0,MAX(I153,H153),IF(J153&gt;0,H153+(G153-K153)/L153,G153))</f>
        <v>223353.658008658</v>
      </c>
      <c r="N153" s="38" t="n">
        <f aca="false">G153-M153</f>
        <v>3046.34199134202</v>
      </c>
      <c r="O153" s="38" t="n">
        <f aca="false">M153-H153</f>
        <v>120164.268008658</v>
      </c>
      <c r="P153" s="43" t="n">
        <f aca="false">SUMIFS(Data_Budgets!$F:$F,Data_Budgets!$A:$A,$A153,Data_Budgets!$B:$B,$B153)</f>
        <v>0</v>
      </c>
      <c r="Q153" s="43" t="n">
        <f aca="false">SUMIFS(Data_JobCost!$K:$K,Data_JobCost!$D:$D,$A153,Data_JobCost!$E:$E,$B153)</f>
        <v>0</v>
      </c>
      <c r="R153" s="43" t="n">
        <f aca="false">P153*J153</f>
        <v>0</v>
      </c>
    </row>
    <row r="154" customFormat="false" ht="15" hidden="false" customHeight="false" outlineLevel="0" collapsed="false">
      <c r="A154" s="37" t="s">
        <v>68</v>
      </c>
      <c r="B154" s="37" t="s">
        <v>100</v>
      </c>
      <c r="C154" s="37" t="str">
        <f aca="false">INDEX(Data_CostCodes!$B:$B,MATCH($B154,Data_CostCodes!$A:$A,0))</f>
        <v>Earthwork &amp; Excavation</v>
      </c>
      <c r="D154" s="37" t="str">
        <f aca="false">INDEX(Data_CostCodes!$D:$D,MATCH($B154,Data_CostCodes!$A:$A,0))</f>
        <v>Subcontract</v>
      </c>
      <c r="E154" s="38" t="n">
        <f aca="false">SUMIFS(Data_Budgets!$C:$C,Data_Budgets!$A:$A,$A154,Data_Budgets!$B:$B,$B154)</f>
        <v>334700</v>
      </c>
      <c r="F154" s="38" t="n">
        <f aca="false">SUMIFS(Data_Budgets!$D:$D,Data_Budgets!$A:$A,$A154,Data_Budgets!$B:$B,$B154)</f>
        <v>0</v>
      </c>
      <c r="G154" s="38" t="n">
        <f aca="false">E154+F154</f>
        <v>334700</v>
      </c>
      <c r="H154" s="38" t="n">
        <f aca="false">SUMIFS(Data_JobCost!$L:$L,Data_JobCost!$D:$D,$A154,Data_JobCost!$E:$E,$B154)</f>
        <v>317917.75</v>
      </c>
      <c r="I154" s="38" t="n">
        <f aca="false">SUMIFS(Data_Commitments!$E:$E,Data_Commitments!$B:$B,$A154,Data_Commitments!$C:$C,$B154)</f>
        <v>327000</v>
      </c>
      <c r="J154" s="41" t="n">
        <f aca="false">SUMIFS(Data_Progress!$C:$C,Data_Progress!$A:$A,$A154,Data_Progress!$B:$B,$B154)</f>
        <v>1</v>
      </c>
      <c r="K154" s="38" t="n">
        <f aca="false">G154*J154</f>
        <v>334700</v>
      </c>
      <c r="L154" s="42" t="n">
        <f aca="false">IF(H154&gt;0,K154/H154,"")</f>
        <v>1.05278802457554</v>
      </c>
      <c r="M154" s="38" t="n">
        <f aca="false">IF(I154&gt;0,MAX(I154,H154),IF(J154&gt;0,H154+(G154-K154)/L154,G154))</f>
        <v>327000</v>
      </c>
      <c r="N154" s="38" t="n">
        <f aca="false">G154-M154</f>
        <v>7700</v>
      </c>
      <c r="O154" s="38" t="n">
        <f aca="false">M154-H154</f>
        <v>9082.25</v>
      </c>
      <c r="P154" s="43" t="n">
        <f aca="false">SUMIFS(Data_Budgets!$F:$F,Data_Budgets!$A:$A,$A154,Data_Budgets!$B:$B,$B154)</f>
        <v>0</v>
      </c>
      <c r="Q154" s="43" t="n">
        <f aca="false">SUMIFS(Data_JobCost!$K:$K,Data_JobCost!$D:$D,$A154,Data_JobCost!$E:$E,$B154)</f>
        <v>0</v>
      </c>
      <c r="R154" s="43" t="n">
        <f aca="false">P154*J154</f>
        <v>0</v>
      </c>
    </row>
    <row r="155" customFormat="false" ht="15" hidden="false" customHeight="false" outlineLevel="0" collapsed="false">
      <c r="A155" s="37" t="s">
        <v>68</v>
      </c>
      <c r="B155" s="37" t="s">
        <v>101</v>
      </c>
      <c r="C155" s="37" t="str">
        <f aca="false">INDEX(Data_CostCodes!$B:$B,MATCH($B155,Data_CostCodes!$A:$A,0))</f>
        <v>Concrete Formwork</v>
      </c>
      <c r="D155" s="37" t="str">
        <f aca="false">INDEX(Data_CostCodes!$D:$D,MATCH($B155,Data_CostCodes!$A:$A,0))</f>
        <v>Labour</v>
      </c>
      <c r="E155" s="38" t="n">
        <f aca="false">SUMIFS(Data_Budgets!$C:$C,Data_Budgets!$A:$A,$A155,Data_Budgets!$B:$B,$B155)</f>
        <v>346800</v>
      </c>
      <c r="F155" s="38" t="n">
        <f aca="false">SUMIFS(Data_Budgets!$D:$D,Data_Budgets!$A:$A,$A155,Data_Budgets!$B:$B,$B155)</f>
        <v>0</v>
      </c>
      <c r="G155" s="38" t="n">
        <f aca="false">E155+F155</f>
        <v>346800</v>
      </c>
      <c r="H155" s="38" t="n">
        <f aca="false">SUMIFS(Data_JobCost!$L:$L,Data_JobCost!$D:$D,$A155,Data_JobCost!$E:$E,$B155)</f>
        <v>312995.42</v>
      </c>
      <c r="I155" s="38" t="n">
        <f aca="false">SUMIFS(Data_Commitments!$E:$E,Data_Commitments!$B:$B,$A155,Data_Commitments!$C:$C,$B155)</f>
        <v>0</v>
      </c>
      <c r="J155" s="41" t="n">
        <f aca="false">SUMIFS(Data_Progress!$C:$C,Data_Progress!$A:$A,$A155,Data_Progress!$B:$B,$B155)</f>
        <v>0.952</v>
      </c>
      <c r="K155" s="38" t="n">
        <f aca="false">G155*J155</f>
        <v>330153.6</v>
      </c>
      <c r="L155" s="42" t="n">
        <f aca="false">IF(H155&gt;0,K155/H155,"")</f>
        <v>1.05481926860144</v>
      </c>
      <c r="M155" s="38" t="n">
        <f aca="false">IF(I155&gt;0,MAX(I155,H155),IF(J155&gt;0,H155+(G155-K155)/L155,G155))</f>
        <v>328776.701680672</v>
      </c>
      <c r="N155" s="38" t="n">
        <f aca="false">G155-M155</f>
        <v>18023.2983193277</v>
      </c>
      <c r="O155" s="38" t="n">
        <f aca="false">M155-H155</f>
        <v>15781.2816806723</v>
      </c>
      <c r="P155" s="43" t="n">
        <f aca="false">SUMIFS(Data_Budgets!$F:$F,Data_Budgets!$A:$A,$A155,Data_Budgets!$B:$B,$B155)</f>
        <v>4686</v>
      </c>
      <c r="Q155" s="43" t="n">
        <f aca="false">SUMIFS(Data_JobCost!$K:$K,Data_JobCost!$D:$D,$A155,Data_JobCost!$E:$E,$B155)</f>
        <v>4229.5</v>
      </c>
      <c r="R155" s="43" t="n">
        <f aca="false">P155*J155</f>
        <v>4461.072</v>
      </c>
    </row>
    <row r="156" customFormat="false" ht="15" hidden="false" customHeight="false" outlineLevel="0" collapsed="false">
      <c r="A156" s="37" t="s">
        <v>68</v>
      </c>
      <c r="B156" s="37" t="s">
        <v>102</v>
      </c>
      <c r="C156" s="37" t="str">
        <f aca="false">INDEX(Data_CostCodes!$B:$B,MATCH($B156,Data_CostCodes!$A:$A,0))</f>
        <v>Reinforcing Steel</v>
      </c>
      <c r="D156" s="37" t="str">
        <f aca="false">INDEX(Data_CostCodes!$D:$D,MATCH($B156,Data_CostCodes!$A:$A,0))</f>
        <v>Material</v>
      </c>
      <c r="E156" s="38" t="n">
        <f aca="false">SUMIFS(Data_Budgets!$C:$C,Data_Budgets!$A:$A,$A156,Data_Budgets!$B:$B,$B156)</f>
        <v>234500</v>
      </c>
      <c r="F156" s="38" t="n">
        <f aca="false">SUMIFS(Data_Budgets!$D:$D,Data_Budgets!$A:$A,$A156,Data_Budgets!$B:$B,$B156)</f>
        <v>0</v>
      </c>
      <c r="G156" s="38" t="n">
        <f aca="false">E156+F156</f>
        <v>234500</v>
      </c>
      <c r="H156" s="38" t="n">
        <f aca="false">SUMIFS(Data_JobCost!$L:$L,Data_JobCost!$D:$D,$A156,Data_JobCost!$E:$E,$B156)</f>
        <v>230704.62</v>
      </c>
      <c r="I156" s="38" t="n">
        <f aca="false">SUMIFS(Data_Commitments!$E:$E,Data_Commitments!$B:$B,$A156,Data_Commitments!$C:$C,$B156)</f>
        <v>236000</v>
      </c>
      <c r="J156" s="41" t="n">
        <f aca="false">SUMIFS(Data_Progress!$C:$C,Data_Progress!$A:$A,$A156,Data_Progress!$B:$B,$B156)</f>
        <v>1</v>
      </c>
      <c r="K156" s="38" t="n">
        <f aca="false">G156*J156</f>
        <v>234500</v>
      </c>
      <c r="L156" s="42" t="n">
        <f aca="false">IF(H156&gt;0,K156/H156,"")</f>
        <v>1.01645125268839</v>
      </c>
      <c r="M156" s="38" t="n">
        <f aca="false">IF(I156&gt;0,MAX(I156,H156),IF(J156&gt;0,H156+(G156-K156)/L156,G156))</f>
        <v>236000</v>
      </c>
      <c r="N156" s="38" t="n">
        <f aca="false">G156-M156</f>
        <v>-1500</v>
      </c>
      <c r="O156" s="38" t="n">
        <f aca="false">M156-H156</f>
        <v>5295.38000000001</v>
      </c>
      <c r="P156" s="43" t="n">
        <f aca="false">SUMIFS(Data_Budgets!$F:$F,Data_Budgets!$A:$A,$A156,Data_Budgets!$B:$B,$B156)</f>
        <v>0</v>
      </c>
      <c r="Q156" s="43" t="n">
        <f aca="false">SUMIFS(Data_JobCost!$K:$K,Data_JobCost!$D:$D,$A156,Data_JobCost!$E:$E,$B156)</f>
        <v>0</v>
      </c>
      <c r="R156" s="43" t="n">
        <f aca="false">P156*J156</f>
        <v>0</v>
      </c>
    </row>
    <row r="157" customFormat="false" ht="15" hidden="false" customHeight="false" outlineLevel="0" collapsed="false">
      <c r="A157" s="37" t="s">
        <v>68</v>
      </c>
      <c r="B157" s="37" t="s">
        <v>103</v>
      </c>
      <c r="C157" s="37" t="str">
        <f aca="false">INDEX(Data_CostCodes!$B:$B,MATCH($B157,Data_CostCodes!$A:$A,0))</f>
        <v>Cast-in-Place Concrete</v>
      </c>
      <c r="D157" s="37" t="str">
        <f aca="false">INDEX(Data_CostCodes!$D:$D,MATCH($B157,Data_CostCodes!$A:$A,0))</f>
        <v>Material</v>
      </c>
      <c r="E157" s="38" t="n">
        <f aca="false">SUMIFS(Data_Budgets!$C:$C,Data_Budgets!$A:$A,$A157,Data_Budgets!$B:$B,$B157)</f>
        <v>528400</v>
      </c>
      <c r="F157" s="38" t="n">
        <f aca="false">SUMIFS(Data_Budgets!$D:$D,Data_Budgets!$A:$A,$A157,Data_Budgets!$B:$B,$B157)</f>
        <v>0</v>
      </c>
      <c r="G157" s="38" t="n">
        <f aca="false">E157+F157</f>
        <v>528400</v>
      </c>
      <c r="H157" s="38" t="n">
        <f aca="false">SUMIFS(Data_JobCost!$L:$L,Data_JobCost!$D:$D,$A157,Data_JobCost!$E:$E,$B157)</f>
        <v>469679.48</v>
      </c>
      <c r="I157" s="38" t="n">
        <f aca="false">SUMIFS(Data_Commitments!$E:$E,Data_Commitments!$B:$B,$A157,Data_Commitments!$C:$C,$B157)</f>
        <v>530300</v>
      </c>
      <c r="J157" s="41" t="n">
        <f aca="false">SUMIFS(Data_Progress!$C:$C,Data_Progress!$A:$A,$A157,Data_Progress!$B:$B,$B157)</f>
        <v>0.907</v>
      </c>
      <c r="K157" s="38" t="n">
        <f aca="false">G157*J157</f>
        <v>479258.8</v>
      </c>
      <c r="L157" s="42" t="n">
        <f aca="false">IF(H157&gt;0,K157/H157,"")</f>
        <v>1.02039544073759</v>
      </c>
      <c r="M157" s="38" t="n">
        <f aca="false">IF(I157&gt;0,MAX(I157,H157),IF(J157&gt;0,H157+(G157-K157)/L157,G157))</f>
        <v>530300</v>
      </c>
      <c r="N157" s="38" t="n">
        <f aca="false">G157-M157</f>
        <v>-1900</v>
      </c>
      <c r="O157" s="38" t="n">
        <f aca="false">M157-H157</f>
        <v>60620.52</v>
      </c>
      <c r="P157" s="43" t="n">
        <f aca="false">SUMIFS(Data_Budgets!$F:$F,Data_Budgets!$A:$A,$A157,Data_Budgets!$B:$B,$B157)</f>
        <v>0</v>
      </c>
      <c r="Q157" s="43" t="n">
        <f aca="false">SUMIFS(Data_JobCost!$K:$K,Data_JobCost!$D:$D,$A157,Data_JobCost!$E:$E,$B157)</f>
        <v>0</v>
      </c>
      <c r="R157" s="43" t="n">
        <f aca="false">P157*J157</f>
        <v>0</v>
      </c>
    </row>
    <row r="158" customFormat="false" ht="15" hidden="false" customHeight="false" outlineLevel="0" collapsed="false">
      <c r="A158" s="37" t="s">
        <v>68</v>
      </c>
      <c r="B158" s="37" t="s">
        <v>104</v>
      </c>
      <c r="C158" s="37" t="str">
        <f aca="false">INDEX(Data_CostCodes!$B:$B,MATCH($B158,Data_CostCodes!$A:$A,0))</f>
        <v>Masonry</v>
      </c>
      <c r="D158" s="37" t="str">
        <f aca="false">INDEX(Data_CostCodes!$D:$D,MATCH($B158,Data_CostCodes!$A:$A,0))</f>
        <v>Subcontract</v>
      </c>
      <c r="E158" s="38" t="n">
        <f aca="false">SUMIFS(Data_Budgets!$C:$C,Data_Budgets!$A:$A,$A158,Data_Budgets!$B:$B,$B158)</f>
        <v>299100</v>
      </c>
      <c r="F158" s="38" t="n">
        <f aca="false">SUMIFS(Data_Budgets!$D:$D,Data_Budgets!$A:$A,$A158,Data_Budgets!$B:$B,$B158)</f>
        <v>0</v>
      </c>
      <c r="G158" s="38" t="n">
        <f aca="false">E158+F158</f>
        <v>299100</v>
      </c>
      <c r="H158" s="38" t="n">
        <f aca="false">SUMIFS(Data_JobCost!$L:$L,Data_JobCost!$D:$D,$A158,Data_JobCost!$E:$E,$B158)</f>
        <v>28087.4</v>
      </c>
      <c r="I158" s="38" t="n">
        <f aca="false">SUMIFS(Data_Commitments!$E:$E,Data_Commitments!$B:$B,$A158,Data_Commitments!$C:$C,$B158)</f>
        <v>287800</v>
      </c>
      <c r="J158" s="41" t="n">
        <f aca="false">SUMIFS(Data_Progress!$C:$C,Data_Progress!$A:$A,$A158,Data_Progress!$B:$B,$B158)</f>
        <v>0.1</v>
      </c>
      <c r="K158" s="38" t="n">
        <f aca="false">G158*J158</f>
        <v>29910</v>
      </c>
      <c r="L158" s="42" t="n">
        <f aca="false">IF(H158&gt;0,K158/H158,"")</f>
        <v>1.06489030668556</v>
      </c>
      <c r="M158" s="38" t="n">
        <f aca="false">IF(I158&gt;0,MAX(I158,H158),IF(J158&gt;0,H158+(G158-K158)/L158,G158))</f>
        <v>287800</v>
      </c>
      <c r="N158" s="38" t="n">
        <f aca="false">G158-M158</f>
        <v>11300</v>
      </c>
      <c r="O158" s="38" t="n">
        <f aca="false">M158-H158</f>
        <v>259712.6</v>
      </c>
      <c r="P158" s="43" t="n">
        <f aca="false">SUMIFS(Data_Budgets!$F:$F,Data_Budgets!$A:$A,$A158,Data_Budgets!$B:$B,$B158)</f>
        <v>0</v>
      </c>
      <c r="Q158" s="43" t="n">
        <f aca="false">SUMIFS(Data_JobCost!$K:$K,Data_JobCost!$D:$D,$A158,Data_JobCost!$E:$E,$B158)</f>
        <v>0</v>
      </c>
      <c r="R158" s="43" t="n">
        <f aca="false">P158*J158</f>
        <v>0</v>
      </c>
    </row>
    <row r="159" customFormat="false" ht="15" hidden="false" customHeight="false" outlineLevel="0" collapsed="false">
      <c r="A159" s="37" t="s">
        <v>68</v>
      </c>
      <c r="B159" s="37" t="s">
        <v>105</v>
      </c>
      <c r="C159" s="37" t="str">
        <f aca="false">INDEX(Data_CostCodes!$B:$B,MATCH($B159,Data_CostCodes!$A:$A,0))</f>
        <v>Structural Steel</v>
      </c>
      <c r="D159" s="37" t="str">
        <f aca="false">INDEX(Data_CostCodes!$D:$D,MATCH($B159,Data_CostCodes!$A:$A,0))</f>
        <v>Subcontract</v>
      </c>
      <c r="E159" s="38" t="n">
        <f aca="false">SUMIFS(Data_Budgets!$C:$C,Data_Budgets!$A:$A,$A159,Data_Budgets!$B:$B,$B159)</f>
        <v>656400</v>
      </c>
      <c r="F159" s="38" t="n">
        <f aca="false">SUMIFS(Data_Budgets!$D:$D,Data_Budgets!$A:$A,$A159,Data_Budgets!$B:$B,$B159)</f>
        <v>0</v>
      </c>
      <c r="G159" s="38" t="n">
        <f aca="false">E159+F159</f>
        <v>656400</v>
      </c>
      <c r="H159" s="38" t="n">
        <f aca="false">SUMIFS(Data_JobCost!$L:$L,Data_JobCost!$D:$D,$A159,Data_JobCost!$E:$E,$B159)</f>
        <v>356006.11</v>
      </c>
      <c r="I159" s="38" t="n">
        <f aca="false">SUMIFS(Data_Commitments!$E:$E,Data_Commitments!$B:$B,$A159,Data_Commitments!$C:$C,$B159)</f>
        <v>642300</v>
      </c>
      <c r="J159" s="41" t="n">
        <f aca="false">SUMIFS(Data_Progress!$C:$C,Data_Progress!$A:$A,$A159,Data_Progress!$B:$B,$B159)</f>
        <v>0.571</v>
      </c>
      <c r="K159" s="38" t="n">
        <f aca="false">G159*J159</f>
        <v>374804.4</v>
      </c>
      <c r="L159" s="42" t="n">
        <f aca="false">IF(H159&gt;0,K159/H159,"")</f>
        <v>1.05280327913473</v>
      </c>
      <c r="M159" s="38" t="n">
        <f aca="false">IF(I159&gt;0,MAX(I159,H159),IF(J159&gt;0,H159+(G159-K159)/L159,G159))</f>
        <v>642300</v>
      </c>
      <c r="N159" s="38" t="n">
        <f aca="false">G159-M159</f>
        <v>14100</v>
      </c>
      <c r="O159" s="38" t="n">
        <f aca="false">M159-H159</f>
        <v>286293.89</v>
      </c>
      <c r="P159" s="43" t="n">
        <f aca="false">SUMIFS(Data_Budgets!$F:$F,Data_Budgets!$A:$A,$A159,Data_Budgets!$B:$B,$B159)</f>
        <v>0</v>
      </c>
      <c r="Q159" s="43" t="n">
        <f aca="false">SUMIFS(Data_JobCost!$K:$K,Data_JobCost!$D:$D,$A159,Data_JobCost!$E:$E,$B159)</f>
        <v>0</v>
      </c>
      <c r="R159" s="43" t="n">
        <f aca="false">P159*J159</f>
        <v>0</v>
      </c>
    </row>
    <row r="160" customFormat="false" ht="15" hidden="false" customHeight="false" outlineLevel="0" collapsed="false">
      <c r="A160" s="37" t="s">
        <v>68</v>
      </c>
      <c r="B160" s="37" t="s">
        <v>106</v>
      </c>
      <c r="C160" s="37" t="str">
        <f aca="false">INDEX(Data_CostCodes!$B:$B,MATCH($B160,Data_CostCodes!$A:$A,0))</f>
        <v>Rough Carpentry</v>
      </c>
      <c r="D160" s="37" t="str">
        <f aca="false">INDEX(Data_CostCodes!$D:$D,MATCH($B160,Data_CostCodes!$A:$A,0))</f>
        <v>Labour</v>
      </c>
      <c r="E160" s="38" t="n">
        <f aca="false">SUMIFS(Data_Budgets!$C:$C,Data_Budgets!$A:$A,$A160,Data_Budgets!$B:$B,$B160)</f>
        <v>268600</v>
      </c>
      <c r="F160" s="38" t="n">
        <f aca="false">SUMIFS(Data_Budgets!$D:$D,Data_Budgets!$A:$A,$A160,Data_Budgets!$B:$B,$B160)</f>
        <v>0</v>
      </c>
      <c r="G160" s="38" t="n">
        <f aca="false">E160+F160</f>
        <v>268600</v>
      </c>
      <c r="H160" s="38" t="n">
        <f aca="false">SUMIFS(Data_JobCost!$L:$L,Data_JobCost!$D:$D,$A160,Data_JobCost!$E:$E,$B160)</f>
        <v>2440.5</v>
      </c>
      <c r="I160" s="38" t="n">
        <f aca="false">SUMIFS(Data_Commitments!$E:$E,Data_Commitments!$B:$B,$A160,Data_Commitments!$C:$C,$B160)</f>
        <v>0</v>
      </c>
      <c r="J160" s="41" t="n">
        <f aca="false">SUMIFS(Data_Progress!$C:$C,Data_Progress!$A:$A,$A160,Data_Progress!$B:$B,$B160)</f>
        <v>0.009</v>
      </c>
      <c r="K160" s="38" t="n">
        <f aca="false">G160*J160</f>
        <v>2417.4</v>
      </c>
      <c r="L160" s="42" t="n">
        <f aca="false">IF(H160&gt;0,K160/H160,"")</f>
        <v>0.990534726490473</v>
      </c>
      <c r="M160" s="38" t="n">
        <f aca="false">IF(I160&gt;0,MAX(I160,H160),IF(J160&gt;0,H160+(G160-K160)/L160,G160))</f>
        <v>271166.666666667</v>
      </c>
      <c r="N160" s="38" t="n">
        <f aca="false">G160-M160</f>
        <v>-2566.66666666669</v>
      </c>
      <c r="O160" s="38" t="n">
        <f aca="false">M160-H160</f>
        <v>268726.166666667</v>
      </c>
      <c r="P160" s="43" t="n">
        <f aca="false">SUMIFS(Data_Budgets!$F:$F,Data_Budgets!$A:$A,$A160,Data_Budgets!$B:$B,$B160)</f>
        <v>3783</v>
      </c>
      <c r="Q160" s="43" t="n">
        <f aca="false">SUMIFS(Data_JobCost!$K:$K,Data_JobCost!$D:$D,$A160,Data_JobCost!$E:$E,$B160)</f>
        <v>34.4</v>
      </c>
      <c r="R160" s="43" t="n">
        <f aca="false">P160*J160</f>
        <v>34.047</v>
      </c>
    </row>
    <row r="161" customFormat="false" ht="15" hidden="false" customHeight="false" outlineLevel="0" collapsed="false">
      <c r="A161" s="37" t="s">
        <v>68</v>
      </c>
      <c r="B161" s="37" t="s">
        <v>107</v>
      </c>
      <c r="C161" s="37" t="str">
        <f aca="false">INDEX(Data_CostCodes!$B:$B,MATCH($B161,Data_CostCodes!$A:$A,0))</f>
        <v>Roofing &amp; Insulation</v>
      </c>
      <c r="D161" s="37" t="str">
        <f aca="false">INDEX(Data_CostCodes!$D:$D,MATCH($B161,Data_CostCodes!$A:$A,0))</f>
        <v>Subcontract</v>
      </c>
      <c r="E161" s="38" t="n">
        <f aca="false">SUMIFS(Data_Budgets!$C:$C,Data_Budgets!$A:$A,$A161,Data_Budgets!$B:$B,$B161)</f>
        <v>541300</v>
      </c>
      <c r="F161" s="38" t="n">
        <f aca="false">SUMIFS(Data_Budgets!$D:$D,Data_Budgets!$A:$A,$A161,Data_Budgets!$B:$B,$B161)</f>
        <v>0</v>
      </c>
      <c r="G161" s="38" t="n">
        <f aca="false">E161+F161</f>
        <v>541300</v>
      </c>
      <c r="H161" s="38" t="n">
        <f aca="false">SUMIFS(Data_JobCost!$L:$L,Data_JobCost!$D:$D,$A161,Data_JobCost!$E:$E,$B161)</f>
        <v>0</v>
      </c>
      <c r="I161" s="38" t="n">
        <f aca="false">SUMIFS(Data_Commitments!$E:$E,Data_Commitments!$B:$B,$A161,Data_Commitments!$C:$C,$B161)</f>
        <v>527900</v>
      </c>
      <c r="J161" s="41" t="n">
        <f aca="false">SUMIFS(Data_Progress!$C:$C,Data_Progress!$A:$A,$A161,Data_Progress!$B:$B,$B161)</f>
        <v>0</v>
      </c>
      <c r="K161" s="38" t="n">
        <f aca="false">G161*J161</f>
        <v>0</v>
      </c>
      <c r="L161" s="42" t="str">
        <f aca="false">IF(H161&gt;0,K161/H161,"")</f>
        <v/>
      </c>
      <c r="M161" s="38" t="n">
        <f aca="false">IF(I161&gt;0,MAX(I161,H161),IF(J161&gt;0,H161+(G161-K161)/L161,G161))</f>
        <v>527900</v>
      </c>
      <c r="N161" s="38" t="n">
        <f aca="false">G161-M161</f>
        <v>13400</v>
      </c>
      <c r="O161" s="38" t="n">
        <f aca="false">M161-H161</f>
        <v>527900</v>
      </c>
      <c r="P161" s="43" t="n">
        <f aca="false">SUMIFS(Data_Budgets!$F:$F,Data_Budgets!$A:$A,$A161,Data_Budgets!$B:$B,$B161)</f>
        <v>0</v>
      </c>
      <c r="Q161" s="43" t="n">
        <f aca="false">SUMIFS(Data_JobCost!$K:$K,Data_JobCost!$D:$D,$A161,Data_JobCost!$E:$E,$B161)</f>
        <v>0</v>
      </c>
      <c r="R161" s="43" t="n">
        <f aca="false">P161*J161</f>
        <v>0</v>
      </c>
    </row>
    <row r="162" customFormat="false" ht="15" hidden="false" customHeight="false" outlineLevel="0" collapsed="false">
      <c r="A162" s="37" t="s">
        <v>68</v>
      </c>
      <c r="B162" s="37" t="s">
        <v>108</v>
      </c>
      <c r="C162" s="37" t="str">
        <f aca="false">INDEX(Data_CostCodes!$B:$B,MATCH($B162,Data_CostCodes!$A:$A,0))</f>
        <v>Doors, Frames &amp; Hardware</v>
      </c>
      <c r="D162" s="37" t="str">
        <f aca="false">INDEX(Data_CostCodes!$D:$D,MATCH($B162,Data_CostCodes!$A:$A,0))</f>
        <v>Material</v>
      </c>
      <c r="E162" s="38" t="n">
        <f aca="false">SUMIFS(Data_Budgets!$C:$C,Data_Budgets!$A:$A,$A162,Data_Budgets!$B:$B,$B162)</f>
        <v>306300</v>
      </c>
      <c r="F162" s="38" t="n">
        <f aca="false">SUMIFS(Data_Budgets!$D:$D,Data_Budgets!$A:$A,$A162,Data_Budgets!$B:$B,$B162)</f>
        <v>0</v>
      </c>
      <c r="G162" s="38" t="n">
        <f aca="false">E162+F162</f>
        <v>306300</v>
      </c>
      <c r="H162" s="38" t="n">
        <f aca="false">SUMIFS(Data_JobCost!$L:$L,Data_JobCost!$D:$D,$A162,Data_JobCost!$E:$E,$B162)</f>
        <v>0</v>
      </c>
      <c r="I162" s="38" t="n">
        <f aca="false">SUMIFS(Data_Commitments!$E:$E,Data_Commitments!$B:$B,$A162,Data_Commitments!$C:$C,$B162)</f>
        <v>305400</v>
      </c>
      <c r="J162" s="41" t="n">
        <f aca="false">SUMIFS(Data_Progress!$C:$C,Data_Progress!$A:$A,$A162,Data_Progress!$B:$B,$B162)</f>
        <v>0</v>
      </c>
      <c r="K162" s="38" t="n">
        <f aca="false">G162*J162</f>
        <v>0</v>
      </c>
      <c r="L162" s="42" t="str">
        <f aca="false">IF(H162&gt;0,K162/H162,"")</f>
        <v/>
      </c>
      <c r="M162" s="38" t="n">
        <f aca="false">IF(I162&gt;0,MAX(I162,H162),IF(J162&gt;0,H162+(G162-K162)/L162,G162))</f>
        <v>305400</v>
      </c>
      <c r="N162" s="38" t="n">
        <f aca="false">G162-M162</f>
        <v>900</v>
      </c>
      <c r="O162" s="38" t="n">
        <f aca="false">M162-H162</f>
        <v>305400</v>
      </c>
      <c r="P162" s="43" t="n">
        <f aca="false">SUMIFS(Data_Budgets!$F:$F,Data_Budgets!$A:$A,$A162,Data_Budgets!$B:$B,$B162)</f>
        <v>0</v>
      </c>
      <c r="Q162" s="43" t="n">
        <f aca="false">SUMIFS(Data_JobCost!$K:$K,Data_JobCost!$D:$D,$A162,Data_JobCost!$E:$E,$B162)</f>
        <v>0</v>
      </c>
      <c r="R162" s="43" t="n">
        <f aca="false">P162*J162</f>
        <v>0</v>
      </c>
    </row>
    <row r="163" customFormat="false" ht="15" hidden="false" customHeight="false" outlineLevel="0" collapsed="false">
      <c r="A163" s="37" t="s">
        <v>68</v>
      </c>
      <c r="B163" s="37" t="s">
        <v>109</v>
      </c>
      <c r="C163" s="37" t="str">
        <f aca="false">INDEX(Data_CostCodes!$B:$B,MATCH($B163,Data_CostCodes!$A:$A,0))</f>
        <v>Drywall &amp; Finishes</v>
      </c>
      <c r="D163" s="37" t="str">
        <f aca="false">INDEX(Data_CostCodes!$D:$D,MATCH($B163,Data_CostCodes!$A:$A,0))</f>
        <v>Subcontract</v>
      </c>
      <c r="E163" s="38" t="n">
        <f aca="false">SUMIFS(Data_Budgets!$C:$C,Data_Budgets!$A:$A,$A163,Data_Budgets!$B:$B,$B163)</f>
        <v>530900</v>
      </c>
      <c r="F163" s="38" t="n">
        <f aca="false">SUMIFS(Data_Budgets!$D:$D,Data_Budgets!$A:$A,$A163,Data_Budgets!$B:$B,$B163)</f>
        <v>0</v>
      </c>
      <c r="G163" s="38" t="n">
        <f aca="false">E163+F163</f>
        <v>530900</v>
      </c>
      <c r="H163" s="38" t="n">
        <f aca="false">SUMIFS(Data_JobCost!$L:$L,Data_JobCost!$D:$D,$A163,Data_JobCost!$E:$E,$B163)</f>
        <v>0</v>
      </c>
      <c r="I163" s="38" t="n">
        <f aca="false">SUMIFS(Data_Commitments!$E:$E,Data_Commitments!$B:$B,$A163,Data_Commitments!$C:$C,$B163)</f>
        <v>527200</v>
      </c>
      <c r="J163" s="41" t="n">
        <f aca="false">SUMIFS(Data_Progress!$C:$C,Data_Progress!$A:$A,$A163,Data_Progress!$B:$B,$B163)</f>
        <v>0</v>
      </c>
      <c r="K163" s="38" t="n">
        <f aca="false">G163*J163</f>
        <v>0</v>
      </c>
      <c r="L163" s="42" t="str">
        <f aca="false">IF(H163&gt;0,K163/H163,"")</f>
        <v/>
      </c>
      <c r="M163" s="38" t="n">
        <f aca="false">IF(I163&gt;0,MAX(I163,H163),IF(J163&gt;0,H163+(G163-K163)/L163,G163))</f>
        <v>527200</v>
      </c>
      <c r="N163" s="38" t="n">
        <f aca="false">G163-M163</f>
        <v>3700</v>
      </c>
      <c r="O163" s="38" t="n">
        <f aca="false">M163-H163</f>
        <v>527200</v>
      </c>
      <c r="P163" s="43" t="n">
        <f aca="false">SUMIFS(Data_Budgets!$F:$F,Data_Budgets!$A:$A,$A163,Data_Budgets!$B:$B,$B163)</f>
        <v>0</v>
      </c>
      <c r="Q163" s="43" t="n">
        <f aca="false">SUMIFS(Data_JobCost!$K:$K,Data_JobCost!$D:$D,$A163,Data_JobCost!$E:$E,$B163)</f>
        <v>0</v>
      </c>
      <c r="R163" s="43" t="n">
        <f aca="false">P163*J163</f>
        <v>0</v>
      </c>
    </row>
    <row r="164" customFormat="false" ht="15" hidden="false" customHeight="false" outlineLevel="0" collapsed="false">
      <c r="A164" s="37" t="s">
        <v>68</v>
      </c>
      <c r="B164" s="37" t="s">
        <v>110</v>
      </c>
      <c r="C164" s="37" t="str">
        <f aca="false">INDEX(Data_CostCodes!$B:$B,MATCH($B164,Data_CostCodes!$A:$A,0))</f>
        <v>Mechanical</v>
      </c>
      <c r="D164" s="37" t="str">
        <f aca="false">INDEX(Data_CostCodes!$D:$D,MATCH($B164,Data_CostCodes!$A:$A,0))</f>
        <v>Subcontract</v>
      </c>
      <c r="E164" s="38" t="n">
        <f aca="false">SUMIFS(Data_Budgets!$C:$C,Data_Budgets!$A:$A,$A164,Data_Budgets!$B:$B,$B164)</f>
        <v>907400</v>
      </c>
      <c r="F164" s="38" t="n">
        <f aca="false">SUMIFS(Data_Budgets!$D:$D,Data_Budgets!$A:$A,$A164,Data_Budgets!$B:$B,$B164)</f>
        <v>0</v>
      </c>
      <c r="G164" s="38" t="n">
        <f aca="false">E164+F164</f>
        <v>907400</v>
      </c>
      <c r="H164" s="38" t="n">
        <f aca="false">SUMIFS(Data_JobCost!$L:$L,Data_JobCost!$D:$D,$A164,Data_JobCost!$E:$E,$B164)</f>
        <v>63561.47</v>
      </c>
      <c r="I164" s="38" t="n">
        <f aca="false">SUMIFS(Data_Commitments!$E:$E,Data_Commitments!$B:$B,$A164,Data_Commitments!$C:$C,$B164)</f>
        <v>918500</v>
      </c>
      <c r="J164" s="41" t="n">
        <f aca="false">SUMIFS(Data_Progress!$C:$C,Data_Progress!$A:$A,$A164,Data_Progress!$B:$B,$B164)</f>
        <v>0.071</v>
      </c>
      <c r="K164" s="38" t="n">
        <f aca="false">G164*J164</f>
        <v>64425.4</v>
      </c>
      <c r="L164" s="42" t="n">
        <f aca="false">IF(H164&gt;0,K164/H164,"")</f>
        <v>1.01359203932823</v>
      </c>
      <c r="M164" s="38" t="n">
        <f aca="false">IF(I164&gt;0,MAX(I164,H164),IF(J164&gt;0,H164+(G164-K164)/L164,G164))</f>
        <v>918500</v>
      </c>
      <c r="N164" s="38" t="n">
        <f aca="false">G164-M164</f>
        <v>-11100</v>
      </c>
      <c r="O164" s="38" t="n">
        <f aca="false">M164-H164</f>
        <v>854938.53</v>
      </c>
      <c r="P164" s="43" t="n">
        <f aca="false">SUMIFS(Data_Budgets!$F:$F,Data_Budgets!$A:$A,$A164,Data_Budgets!$B:$B,$B164)</f>
        <v>0</v>
      </c>
      <c r="Q164" s="43" t="n">
        <f aca="false">SUMIFS(Data_JobCost!$K:$K,Data_JobCost!$D:$D,$A164,Data_JobCost!$E:$E,$B164)</f>
        <v>0</v>
      </c>
      <c r="R164" s="43" t="n">
        <f aca="false">P164*J164</f>
        <v>0</v>
      </c>
    </row>
    <row r="165" customFormat="false" ht="15" hidden="false" customHeight="false" outlineLevel="0" collapsed="false">
      <c r="A165" s="37" t="s">
        <v>68</v>
      </c>
      <c r="B165" s="37" t="s">
        <v>111</v>
      </c>
      <c r="C165" s="37" t="str">
        <f aca="false">INDEX(Data_CostCodes!$B:$B,MATCH($B165,Data_CostCodes!$A:$A,0))</f>
        <v>Electrical</v>
      </c>
      <c r="D165" s="37" t="str">
        <f aca="false">INDEX(Data_CostCodes!$D:$D,MATCH($B165,Data_CostCodes!$A:$A,0))</f>
        <v>Subcontract</v>
      </c>
      <c r="E165" s="38" t="n">
        <f aca="false">SUMIFS(Data_Budgets!$C:$C,Data_Budgets!$A:$A,$A165,Data_Budgets!$B:$B,$B165)</f>
        <v>720200</v>
      </c>
      <c r="F165" s="38" t="n">
        <f aca="false">SUMIFS(Data_Budgets!$D:$D,Data_Budgets!$A:$A,$A165,Data_Budgets!$B:$B,$B165)</f>
        <v>0</v>
      </c>
      <c r="G165" s="38" t="n">
        <f aca="false">E165+F165</f>
        <v>720200</v>
      </c>
      <c r="H165" s="38" t="n">
        <f aca="false">SUMIFS(Data_JobCost!$L:$L,Data_JobCost!$D:$D,$A165,Data_JobCost!$E:$E,$B165)</f>
        <v>47549.92</v>
      </c>
      <c r="I165" s="38" t="n">
        <f aca="false">SUMIFS(Data_Commitments!$E:$E,Data_Commitments!$B:$B,$A165,Data_Commitments!$C:$C,$B165)</f>
        <v>698500</v>
      </c>
      <c r="J165" s="41" t="n">
        <f aca="false">SUMIFS(Data_Progress!$C:$C,Data_Progress!$A:$A,$A165,Data_Progress!$B:$B,$B165)</f>
        <v>0.07</v>
      </c>
      <c r="K165" s="38" t="n">
        <f aca="false">G165*J165</f>
        <v>50414</v>
      </c>
      <c r="L165" s="42" t="n">
        <f aca="false">IF(H165&gt;0,K165/H165,"")</f>
        <v>1.0602331192145</v>
      </c>
      <c r="M165" s="38" t="n">
        <f aca="false">IF(I165&gt;0,MAX(I165,H165),IF(J165&gt;0,H165+(G165-K165)/L165,G165))</f>
        <v>698500</v>
      </c>
      <c r="N165" s="38" t="n">
        <f aca="false">G165-M165</f>
        <v>21700</v>
      </c>
      <c r="O165" s="38" t="n">
        <f aca="false">M165-H165</f>
        <v>650950.08</v>
      </c>
      <c r="P165" s="43" t="n">
        <f aca="false">SUMIFS(Data_Budgets!$F:$F,Data_Budgets!$A:$A,$A165,Data_Budgets!$B:$B,$B165)</f>
        <v>0</v>
      </c>
      <c r="Q165" s="43" t="n">
        <f aca="false">SUMIFS(Data_JobCost!$K:$K,Data_JobCost!$D:$D,$A165,Data_JobCost!$E:$E,$B165)</f>
        <v>0</v>
      </c>
      <c r="R165" s="43" t="n">
        <f aca="false">P165*J165</f>
        <v>0</v>
      </c>
    </row>
    <row r="166" customFormat="false" ht="15" hidden="false" customHeight="false" outlineLevel="0" collapsed="false">
      <c r="A166" s="37" t="s">
        <v>69</v>
      </c>
      <c r="B166" s="37" t="s">
        <v>97</v>
      </c>
      <c r="C166" s="37" t="str">
        <f aca="false">INDEX(Data_CostCodes!$B:$B,MATCH($B166,Data_CostCodes!$A:$A,0))</f>
        <v>General Conditions - Supervision</v>
      </c>
      <c r="D166" s="37" t="str">
        <f aca="false">INDEX(Data_CostCodes!$D:$D,MATCH($B166,Data_CostCodes!$A:$A,0))</f>
        <v>Labour</v>
      </c>
      <c r="E166" s="38" t="n">
        <f aca="false">SUMIFS(Data_Budgets!$C:$C,Data_Budgets!$A:$A,$A166,Data_Budgets!$B:$B,$B166)</f>
        <v>547900</v>
      </c>
      <c r="F166" s="38" t="n">
        <f aca="false">SUMIFS(Data_Budgets!$D:$D,Data_Budgets!$A:$A,$A166,Data_Budgets!$B:$B,$B166)</f>
        <v>0</v>
      </c>
      <c r="G166" s="38" t="n">
        <f aca="false">E166+F166</f>
        <v>547900</v>
      </c>
      <c r="H166" s="38" t="n">
        <f aca="false">SUMIFS(Data_JobCost!$L:$L,Data_JobCost!$D:$D,$A166,Data_JobCost!$E:$E,$B166)</f>
        <v>62005.88</v>
      </c>
      <c r="I166" s="38" t="n">
        <f aca="false">SUMIFS(Data_Commitments!$E:$E,Data_Commitments!$B:$B,$A166,Data_Commitments!$C:$C,$B166)</f>
        <v>0</v>
      </c>
      <c r="J166" s="41" t="n">
        <f aca="false">SUMIFS(Data_Progress!$C:$C,Data_Progress!$A:$A,$A166,Data_Progress!$B:$B,$B166)</f>
        <v>0.114</v>
      </c>
      <c r="K166" s="38" t="n">
        <f aca="false">G166*J166</f>
        <v>62460.6</v>
      </c>
      <c r="L166" s="42" t="n">
        <f aca="false">IF(H166&gt;0,K166/H166,"")</f>
        <v>1.00733349804889</v>
      </c>
      <c r="M166" s="38" t="n">
        <f aca="false">IF(I166&gt;0,MAX(I166,H166),IF(J166&gt;0,H166+(G166-K166)/L166,G166))</f>
        <v>543911.228070175</v>
      </c>
      <c r="N166" s="38" t="n">
        <f aca="false">G166-M166</f>
        <v>3988.77192982461</v>
      </c>
      <c r="O166" s="38" t="n">
        <f aca="false">M166-H166</f>
        <v>481905.348070175</v>
      </c>
      <c r="P166" s="43" t="n">
        <f aca="false">SUMIFS(Data_Budgets!$F:$F,Data_Budgets!$A:$A,$A166,Data_Budgets!$B:$B,$B166)</f>
        <v>5955</v>
      </c>
      <c r="Q166" s="43" t="n">
        <f aca="false">SUMIFS(Data_JobCost!$K:$K,Data_JobCost!$D:$D,$A166,Data_JobCost!$E:$E,$B166)</f>
        <v>673.8</v>
      </c>
      <c r="R166" s="43" t="n">
        <f aca="false">P166*J166</f>
        <v>678.87</v>
      </c>
    </row>
    <row r="167" customFormat="false" ht="15" hidden="false" customHeight="false" outlineLevel="0" collapsed="false">
      <c r="A167" s="37" t="s">
        <v>69</v>
      </c>
      <c r="B167" s="37" t="s">
        <v>98</v>
      </c>
      <c r="C167" s="37" t="str">
        <f aca="false">INDEX(Data_CostCodes!$B:$B,MATCH($B167,Data_CostCodes!$A:$A,0))</f>
        <v>Site Facilities &amp; Temp Services</v>
      </c>
      <c r="D167" s="37" t="str">
        <f aca="false">INDEX(Data_CostCodes!$D:$D,MATCH($B167,Data_CostCodes!$A:$A,0))</f>
        <v>Other</v>
      </c>
      <c r="E167" s="38" t="n">
        <f aca="false">SUMIFS(Data_Budgets!$C:$C,Data_Budgets!$A:$A,$A167,Data_Budgets!$B:$B,$B167)</f>
        <v>177400</v>
      </c>
      <c r="F167" s="38" t="n">
        <f aca="false">SUMIFS(Data_Budgets!$D:$D,Data_Budgets!$A:$A,$A167,Data_Budgets!$B:$B,$B167)</f>
        <v>0</v>
      </c>
      <c r="G167" s="38" t="n">
        <f aca="false">E167+F167</f>
        <v>177400</v>
      </c>
      <c r="H167" s="38" t="n">
        <f aca="false">SUMIFS(Data_JobCost!$L:$L,Data_JobCost!$D:$D,$A167,Data_JobCost!$E:$E,$B167)</f>
        <v>19387.93</v>
      </c>
      <c r="I167" s="38" t="n">
        <f aca="false">SUMIFS(Data_Commitments!$E:$E,Data_Commitments!$B:$B,$A167,Data_Commitments!$C:$C,$B167)</f>
        <v>0</v>
      </c>
      <c r="J167" s="41" t="n">
        <f aca="false">SUMIFS(Data_Progress!$C:$C,Data_Progress!$A:$A,$A167,Data_Progress!$B:$B,$B167)</f>
        <v>0.109</v>
      </c>
      <c r="K167" s="38" t="n">
        <f aca="false">G167*J167</f>
        <v>19336.6</v>
      </c>
      <c r="L167" s="42" t="n">
        <f aca="false">IF(H167&gt;0,K167/H167,"")</f>
        <v>0.997352476515028</v>
      </c>
      <c r="M167" s="38" t="n">
        <f aca="false">IF(I167&gt;0,MAX(I167,H167),IF(J167&gt;0,H167+(G167-K167)/L167,G167))</f>
        <v>177870.917431193</v>
      </c>
      <c r="N167" s="38" t="n">
        <f aca="false">G167-M167</f>
        <v>-470.917431192647</v>
      </c>
      <c r="O167" s="38" t="n">
        <f aca="false">M167-H167</f>
        <v>158482.987431193</v>
      </c>
      <c r="P167" s="43" t="n">
        <f aca="false">SUMIFS(Data_Budgets!$F:$F,Data_Budgets!$A:$A,$A167,Data_Budgets!$B:$B,$B167)</f>
        <v>0</v>
      </c>
      <c r="Q167" s="43" t="n">
        <f aca="false">SUMIFS(Data_JobCost!$K:$K,Data_JobCost!$D:$D,$A167,Data_JobCost!$E:$E,$B167)</f>
        <v>0</v>
      </c>
      <c r="R167" s="43" t="n">
        <f aca="false">P167*J167</f>
        <v>0</v>
      </c>
    </row>
    <row r="168" customFormat="false" ht="15" hidden="false" customHeight="false" outlineLevel="0" collapsed="false">
      <c r="A168" s="37" t="s">
        <v>69</v>
      </c>
      <c r="B168" s="37" t="s">
        <v>99</v>
      </c>
      <c r="C168" s="37" t="str">
        <f aca="false">INDEX(Data_CostCodes!$B:$B,MATCH($B168,Data_CostCodes!$A:$A,0))</f>
        <v>Equipment Rental</v>
      </c>
      <c r="D168" s="37" t="str">
        <f aca="false">INDEX(Data_CostCodes!$D:$D,MATCH($B168,Data_CostCodes!$A:$A,0))</f>
        <v>Equipment</v>
      </c>
      <c r="E168" s="38" t="n">
        <f aca="false">SUMIFS(Data_Budgets!$C:$C,Data_Budgets!$A:$A,$A168,Data_Budgets!$B:$B,$B168)</f>
        <v>141200</v>
      </c>
      <c r="F168" s="38" t="n">
        <f aca="false">SUMIFS(Data_Budgets!$D:$D,Data_Budgets!$A:$A,$A168,Data_Budgets!$B:$B,$B168)</f>
        <v>0</v>
      </c>
      <c r="G168" s="38" t="n">
        <f aca="false">E168+F168</f>
        <v>141200</v>
      </c>
      <c r="H168" s="38" t="n">
        <f aca="false">SUMIFS(Data_JobCost!$L:$L,Data_JobCost!$D:$D,$A168,Data_JobCost!$E:$E,$B168)</f>
        <v>18335.99</v>
      </c>
      <c r="I168" s="38" t="n">
        <f aca="false">SUMIFS(Data_Commitments!$E:$E,Data_Commitments!$B:$B,$A168,Data_Commitments!$C:$C,$B168)</f>
        <v>0</v>
      </c>
      <c r="J168" s="41" t="n">
        <f aca="false">SUMIFS(Data_Progress!$C:$C,Data_Progress!$A:$A,$A168,Data_Progress!$B:$B,$B168)</f>
        <v>0.131</v>
      </c>
      <c r="K168" s="38" t="n">
        <f aca="false">G168*J168</f>
        <v>18497.2</v>
      </c>
      <c r="L168" s="42" t="n">
        <f aca="false">IF(H168&gt;0,K168/H168,"")</f>
        <v>1.00879199868674</v>
      </c>
      <c r="M168" s="38" t="n">
        <f aca="false">IF(I168&gt;0,MAX(I168,H168),IF(J168&gt;0,H168+(G168-K168)/L168,G168))</f>
        <v>139969.389312977</v>
      </c>
      <c r="N168" s="38" t="n">
        <f aca="false">G168-M168</f>
        <v>1230.61068702291</v>
      </c>
      <c r="O168" s="38" t="n">
        <f aca="false">M168-H168</f>
        <v>121633.399312977</v>
      </c>
      <c r="P168" s="43" t="n">
        <f aca="false">SUMIFS(Data_Budgets!$F:$F,Data_Budgets!$A:$A,$A168,Data_Budgets!$B:$B,$B168)</f>
        <v>0</v>
      </c>
      <c r="Q168" s="43" t="n">
        <f aca="false">SUMIFS(Data_JobCost!$K:$K,Data_JobCost!$D:$D,$A168,Data_JobCost!$E:$E,$B168)</f>
        <v>0</v>
      </c>
      <c r="R168" s="43" t="n">
        <f aca="false">P168*J168</f>
        <v>0</v>
      </c>
    </row>
    <row r="169" customFormat="false" ht="15" hidden="false" customHeight="false" outlineLevel="0" collapsed="false">
      <c r="A169" s="37" t="s">
        <v>69</v>
      </c>
      <c r="B169" s="37" t="s">
        <v>100</v>
      </c>
      <c r="C169" s="37" t="str">
        <f aca="false">INDEX(Data_CostCodes!$B:$B,MATCH($B169,Data_CostCodes!$A:$A,0))</f>
        <v>Earthwork &amp; Excavation</v>
      </c>
      <c r="D169" s="37" t="str">
        <f aca="false">INDEX(Data_CostCodes!$D:$D,MATCH($B169,Data_CostCodes!$A:$A,0))</f>
        <v>Subcontract</v>
      </c>
      <c r="E169" s="38" t="n">
        <f aca="false">SUMIFS(Data_Budgets!$C:$C,Data_Budgets!$A:$A,$A169,Data_Budgets!$B:$B,$B169)</f>
        <v>223200</v>
      </c>
      <c r="F169" s="38" t="n">
        <f aca="false">SUMIFS(Data_Budgets!$D:$D,Data_Budgets!$A:$A,$A169,Data_Budgets!$B:$B,$B169)</f>
        <v>0</v>
      </c>
      <c r="G169" s="38" t="n">
        <f aca="false">E169+F169</f>
        <v>223200</v>
      </c>
      <c r="H169" s="38" t="n">
        <f aca="false">SUMIFS(Data_JobCost!$L:$L,Data_JobCost!$D:$D,$A169,Data_JobCost!$E:$E,$B169)</f>
        <v>197258.66</v>
      </c>
      <c r="I169" s="38" t="n">
        <f aca="false">SUMIFS(Data_Commitments!$E:$E,Data_Commitments!$B:$B,$A169,Data_Commitments!$C:$C,$B169)</f>
        <v>215500</v>
      </c>
      <c r="J169" s="41" t="n">
        <f aca="false">SUMIFS(Data_Progress!$C:$C,Data_Progress!$A:$A,$A169,Data_Progress!$B:$B,$B169)</f>
        <v>0.938</v>
      </c>
      <c r="K169" s="38" t="n">
        <f aca="false">G169*J169</f>
        <v>209361.6</v>
      </c>
      <c r="L169" s="42" t="n">
        <f aca="false">IF(H169&gt;0,K169/H169,"")</f>
        <v>1.06135568395324</v>
      </c>
      <c r="M169" s="38" t="n">
        <f aca="false">IF(I169&gt;0,MAX(I169,H169),IF(J169&gt;0,H169+(G169-K169)/L169,G169))</f>
        <v>215500</v>
      </c>
      <c r="N169" s="38" t="n">
        <f aca="false">G169-M169</f>
        <v>7700</v>
      </c>
      <c r="O169" s="38" t="n">
        <f aca="false">M169-H169</f>
        <v>18241.34</v>
      </c>
      <c r="P169" s="43" t="n">
        <f aca="false">SUMIFS(Data_Budgets!$F:$F,Data_Budgets!$A:$A,$A169,Data_Budgets!$B:$B,$B169)</f>
        <v>0</v>
      </c>
      <c r="Q169" s="43" t="n">
        <f aca="false">SUMIFS(Data_JobCost!$K:$K,Data_JobCost!$D:$D,$A169,Data_JobCost!$E:$E,$B169)</f>
        <v>0</v>
      </c>
      <c r="R169" s="43" t="n">
        <f aca="false">P169*J169</f>
        <v>0</v>
      </c>
    </row>
    <row r="170" customFormat="false" ht="15" hidden="false" customHeight="false" outlineLevel="0" collapsed="false">
      <c r="A170" s="37" t="s">
        <v>69</v>
      </c>
      <c r="B170" s="37" t="s">
        <v>101</v>
      </c>
      <c r="C170" s="37" t="str">
        <f aca="false">INDEX(Data_CostCodes!$B:$B,MATCH($B170,Data_CostCodes!$A:$A,0))</f>
        <v>Concrete Formwork</v>
      </c>
      <c r="D170" s="37" t="str">
        <f aca="false">INDEX(Data_CostCodes!$D:$D,MATCH($B170,Data_CostCodes!$A:$A,0))</f>
        <v>Labour</v>
      </c>
      <c r="E170" s="38" t="n">
        <f aca="false">SUMIFS(Data_Budgets!$C:$C,Data_Budgets!$A:$A,$A170,Data_Budgets!$B:$B,$B170)</f>
        <v>292200</v>
      </c>
      <c r="F170" s="38" t="n">
        <f aca="false">SUMIFS(Data_Budgets!$D:$D,Data_Budgets!$A:$A,$A170,Data_Budgets!$B:$B,$B170)</f>
        <v>0</v>
      </c>
      <c r="G170" s="38" t="n">
        <f aca="false">E170+F170</f>
        <v>292200</v>
      </c>
      <c r="H170" s="38" t="n">
        <f aca="false">SUMIFS(Data_JobCost!$L:$L,Data_JobCost!$D:$D,$A170,Data_JobCost!$E:$E,$B170)</f>
        <v>87859.26</v>
      </c>
      <c r="I170" s="38" t="n">
        <f aca="false">SUMIFS(Data_Commitments!$E:$E,Data_Commitments!$B:$B,$A170,Data_Commitments!$C:$C,$B170)</f>
        <v>0</v>
      </c>
      <c r="J170" s="41" t="n">
        <f aca="false">SUMIFS(Data_Progress!$C:$C,Data_Progress!$A:$A,$A170,Data_Progress!$B:$B,$B170)</f>
        <v>0.304</v>
      </c>
      <c r="K170" s="38" t="n">
        <f aca="false">G170*J170</f>
        <v>88828.8</v>
      </c>
      <c r="L170" s="42" t="n">
        <f aca="false">IF(H170&gt;0,K170/H170,"")</f>
        <v>1.01103514871398</v>
      </c>
      <c r="M170" s="38" t="n">
        <f aca="false">IF(I170&gt;0,MAX(I170,H170),IF(J170&gt;0,H170+(G170-K170)/L170,G170))</f>
        <v>289010.723684211</v>
      </c>
      <c r="N170" s="38" t="n">
        <f aca="false">G170-M170</f>
        <v>3189.2763157895</v>
      </c>
      <c r="O170" s="38" t="n">
        <f aca="false">M170-H170</f>
        <v>201151.463684211</v>
      </c>
      <c r="P170" s="43" t="n">
        <f aca="false">SUMIFS(Data_Budgets!$F:$F,Data_Budgets!$A:$A,$A170,Data_Budgets!$B:$B,$B170)</f>
        <v>3949</v>
      </c>
      <c r="Q170" s="43" t="n">
        <f aca="false">SUMIFS(Data_JobCost!$K:$K,Data_JobCost!$D:$D,$A170,Data_JobCost!$E:$E,$B170)</f>
        <v>1187.3</v>
      </c>
      <c r="R170" s="43" t="n">
        <f aca="false">P170*J170</f>
        <v>1200.496</v>
      </c>
    </row>
    <row r="171" customFormat="false" ht="15" hidden="false" customHeight="false" outlineLevel="0" collapsed="false">
      <c r="A171" s="37" t="s">
        <v>69</v>
      </c>
      <c r="B171" s="37" t="s">
        <v>102</v>
      </c>
      <c r="C171" s="37" t="str">
        <f aca="false">INDEX(Data_CostCodes!$B:$B,MATCH($B171,Data_CostCodes!$A:$A,0))</f>
        <v>Reinforcing Steel</v>
      </c>
      <c r="D171" s="37" t="str">
        <f aca="false">INDEX(Data_CostCodes!$D:$D,MATCH($B171,Data_CostCodes!$A:$A,0))</f>
        <v>Material</v>
      </c>
      <c r="E171" s="38" t="n">
        <f aca="false">SUMIFS(Data_Budgets!$C:$C,Data_Budgets!$A:$A,$A171,Data_Budgets!$B:$B,$B171)</f>
        <v>229900</v>
      </c>
      <c r="F171" s="38" t="n">
        <f aca="false">SUMIFS(Data_Budgets!$D:$D,Data_Budgets!$A:$A,$A171,Data_Budgets!$B:$B,$B171)</f>
        <v>0</v>
      </c>
      <c r="G171" s="38" t="n">
        <f aca="false">E171+F171</f>
        <v>229900</v>
      </c>
      <c r="H171" s="38" t="n">
        <f aca="false">SUMIFS(Data_JobCost!$L:$L,Data_JobCost!$D:$D,$A171,Data_JobCost!$E:$E,$B171)</f>
        <v>79312.22</v>
      </c>
      <c r="I171" s="38" t="n">
        <f aca="false">SUMIFS(Data_Commitments!$E:$E,Data_Commitments!$B:$B,$A171,Data_Commitments!$C:$C,$B171)</f>
        <v>231200</v>
      </c>
      <c r="J171" s="41" t="n">
        <f aca="false">SUMIFS(Data_Progress!$C:$C,Data_Progress!$A:$A,$A171,Data_Progress!$B:$B,$B171)</f>
        <v>0.344</v>
      </c>
      <c r="K171" s="38" t="n">
        <f aca="false">G171*J171</f>
        <v>79085.6</v>
      </c>
      <c r="L171" s="42" t="n">
        <f aca="false">IF(H171&gt;0,K171/H171,"")</f>
        <v>0.997142684948171</v>
      </c>
      <c r="M171" s="38" t="n">
        <f aca="false">IF(I171&gt;0,MAX(I171,H171),IF(J171&gt;0,H171+(G171-K171)/L171,G171))</f>
        <v>231200</v>
      </c>
      <c r="N171" s="38" t="n">
        <f aca="false">G171-M171</f>
        <v>-1300</v>
      </c>
      <c r="O171" s="38" t="n">
        <f aca="false">M171-H171</f>
        <v>151887.78</v>
      </c>
      <c r="P171" s="43" t="n">
        <f aca="false">SUMIFS(Data_Budgets!$F:$F,Data_Budgets!$A:$A,$A171,Data_Budgets!$B:$B,$B171)</f>
        <v>0</v>
      </c>
      <c r="Q171" s="43" t="n">
        <f aca="false">SUMIFS(Data_JobCost!$K:$K,Data_JobCost!$D:$D,$A171,Data_JobCost!$E:$E,$B171)</f>
        <v>0</v>
      </c>
      <c r="R171" s="43" t="n">
        <f aca="false">P171*J171</f>
        <v>0</v>
      </c>
    </row>
    <row r="172" customFormat="false" ht="15" hidden="false" customHeight="false" outlineLevel="0" collapsed="false">
      <c r="A172" s="37" t="s">
        <v>69</v>
      </c>
      <c r="B172" s="37" t="s">
        <v>103</v>
      </c>
      <c r="C172" s="37" t="str">
        <f aca="false">INDEX(Data_CostCodes!$B:$B,MATCH($B172,Data_CostCodes!$A:$A,0))</f>
        <v>Cast-in-Place Concrete</v>
      </c>
      <c r="D172" s="37" t="str">
        <f aca="false">INDEX(Data_CostCodes!$D:$D,MATCH($B172,Data_CostCodes!$A:$A,0))</f>
        <v>Material</v>
      </c>
      <c r="E172" s="38" t="n">
        <f aca="false">SUMIFS(Data_Budgets!$C:$C,Data_Budgets!$A:$A,$A172,Data_Budgets!$B:$B,$B172)</f>
        <v>346900</v>
      </c>
      <c r="F172" s="38" t="n">
        <f aca="false">SUMIFS(Data_Budgets!$D:$D,Data_Budgets!$A:$A,$A172,Data_Budgets!$B:$B,$B172)</f>
        <v>0</v>
      </c>
      <c r="G172" s="38" t="n">
        <f aca="false">E172+F172</f>
        <v>346900</v>
      </c>
      <c r="H172" s="38" t="n">
        <f aca="false">SUMIFS(Data_JobCost!$L:$L,Data_JobCost!$D:$D,$A172,Data_JobCost!$E:$E,$B172)</f>
        <v>76577.64</v>
      </c>
      <c r="I172" s="38" t="n">
        <f aca="false">SUMIFS(Data_Commitments!$E:$E,Data_Commitments!$B:$B,$A172,Data_Commitments!$C:$C,$B172)</f>
        <v>354700</v>
      </c>
      <c r="J172" s="41" t="n">
        <f aca="false">SUMIFS(Data_Progress!$C:$C,Data_Progress!$A:$A,$A172,Data_Progress!$B:$B,$B172)</f>
        <v>0.219</v>
      </c>
      <c r="K172" s="38" t="n">
        <f aca="false">G172*J172</f>
        <v>75971.1</v>
      </c>
      <c r="L172" s="42" t="n">
        <f aca="false">IF(H172&gt;0,K172/H172,"")</f>
        <v>0.992079411170154</v>
      </c>
      <c r="M172" s="38" t="n">
        <f aca="false">IF(I172&gt;0,MAX(I172,H172),IF(J172&gt;0,H172+(G172-K172)/L172,G172))</f>
        <v>354700</v>
      </c>
      <c r="N172" s="38" t="n">
        <f aca="false">G172-M172</f>
        <v>-7800</v>
      </c>
      <c r="O172" s="38" t="n">
        <f aca="false">M172-H172</f>
        <v>278122.36</v>
      </c>
      <c r="P172" s="43" t="n">
        <f aca="false">SUMIFS(Data_Budgets!$F:$F,Data_Budgets!$A:$A,$A172,Data_Budgets!$B:$B,$B172)</f>
        <v>0</v>
      </c>
      <c r="Q172" s="43" t="n">
        <f aca="false">SUMIFS(Data_JobCost!$K:$K,Data_JobCost!$D:$D,$A172,Data_JobCost!$E:$E,$B172)</f>
        <v>0</v>
      </c>
      <c r="R172" s="43" t="n">
        <f aca="false">P172*J172</f>
        <v>0</v>
      </c>
    </row>
    <row r="173" customFormat="false" ht="15" hidden="false" customHeight="false" outlineLevel="0" collapsed="false">
      <c r="A173" s="37" t="s">
        <v>69</v>
      </c>
      <c r="B173" s="37" t="s">
        <v>104</v>
      </c>
      <c r="C173" s="37" t="str">
        <f aca="false">INDEX(Data_CostCodes!$B:$B,MATCH($B173,Data_CostCodes!$A:$A,0))</f>
        <v>Masonry</v>
      </c>
      <c r="D173" s="37" t="str">
        <f aca="false">INDEX(Data_CostCodes!$D:$D,MATCH($B173,Data_CostCodes!$A:$A,0))</f>
        <v>Subcontract</v>
      </c>
      <c r="E173" s="38" t="n">
        <f aca="false">SUMIFS(Data_Budgets!$C:$C,Data_Budgets!$A:$A,$A173,Data_Budgets!$B:$B,$B173)</f>
        <v>428600</v>
      </c>
      <c r="F173" s="38" t="n">
        <f aca="false">SUMIFS(Data_Budgets!$D:$D,Data_Budgets!$A:$A,$A173,Data_Budgets!$B:$B,$B173)</f>
        <v>0</v>
      </c>
      <c r="G173" s="38" t="n">
        <f aca="false">E173+F173</f>
        <v>428600</v>
      </c>
      <c r="H173" s="38" t="n">
        <f aca="false">SUMIFS(Data_JobCost!$L:$L,Data_JobCost!$D:$D,$A173,Data_JobCost!$E:$E,$B173)</f>
        <v>0</v>
      </c>
      <c r="I173" s="38" t="n">
        <f aca="false">SUMIFS(Data_Commitments!$E:$E,Data_Commitments!$B:$B,$A173,Data_Commitments!$C:$C,$B173)</f>
        <v>423200</v>
      </c>
      <c r="J173" s="41" t="n">
        <f aca="false">SUMIFS(Data_Progress!$C:$C,Data_Progress!$A:$A,$A173,Data_Progress!$B:$B,$B173)</f>
        <v>0</v>
      </c>
      <c r="K173" s="38" t="n">
        <f aca="false">G173*J173</f>
        <v>0</v>
      </c>
      <c r="L173" s="42" t="str">
        <f aca="false">IF(H173&gt;0,K173/H173,"")</f>
        <v/>
      </c>
      <c r="M173" s="38" t="n">
        <f aca="false">IF(I173&gt;0,MAX(I173,H173),IF(J173&gt;0,H173+(G173-K173)/L173,G173))</f>
        <v>423200</v>
      </c>
      <c r="N173" s="38" t="n">
        <f aca="false">G173-M173</f>
        <v>5400</v>
      </c>
      <c r="O173" s="38" t="n">
        <f aca="false">M173-H173</f>
        <v>423200</v>
      </c>
      <c r="P173" s="43" t="n">
        <f aca="false">SUMIFS(Data_Budgets!$F:$F,Data_Budgets!$A:$A,$A173,Data_Budgets!$B:$B,$B173)</f>
        <v>0</v>
      </c>
      <c r="Q173" s="43" t="n">
        <f aca="false">SUMIFS(Data_JobCost!$K:$K,Data_JobCost!$D:$D,$A173,Data_JobCost!$E:$E,$B173)</f>
        <v>0</v>
      </c>
      <c r="R173" s="43" t="n">
        <f aca="false">P173*J173</f>
        <v>0</v>
      </c>
    </row>
    <row r="174" customFormat="false" ht="15" hidden="false" customHeight="false" outlineLevel="0" collapsed="false">
      <c r="A174" s="37" t="s">
        <v>69</v>
      </c>
      <c r="B174" s="37" t="s">
        <v>105</v>
      </c>
      <c r="C174" s="37" t="str">
        <f aca="false">INDEX(Data_CostCodes!$B:$B,MATCH($B174,Data_CostCodes!$A:$A,0))</f>
        <v>Structural Steel</v>
      </c>
      <c r="D174" s="37" t="str">
        <f aca="false">INDEX(Data_CostCodes!$D:$D,MATCH($B174,Data_CostCodes!$A:$A,0))</f>
        <v>Subcontract</v>
      </c>
      <c r="E174" s="38" t="n">
        <f aca="false">SUMIFS(Data_Budgets!$C:$C,Data_Budgets!$A:$A,$A174,Data_Budgets!$B:$B,$B174)</f>
        <v>397200</v>
      </c>
      <c r="F174" s="38" t="n">
        <f aca="false">SUMIFS(Data_Budgets!$D:$D,Data_Budgets!$A:$A,$A174,Data_Budgets!$B:$B,$B174)</f>
        <v>0</v>
      </c>
      <c r="G174" s="38" t="n">
        <f aca="false">E174+F174</f>
        <v>397200</v>
      </c>
      <c r="H174" s="38" t="n">
        <f aca="false">SUMIFS(Data_JobCost!$L:$L,Data_JobCost!$D:$D,$A174,Data_JobCost!$E:$E,$B174)</f>
        <v>0</v>
      </c>
      <c r="I174" s="38" t="n">
        <f aca="false">SUMIFS(Data_Commitments!$E:$E,Data_Commitments!$B:$B,$A174,Data_Commitments!$C:$C,$B174)</f>
        <v>396800</v>
      </c>
      <c r="J174" s="41" t="n">
        <f aca="false">SUMIFS(Data_Progress!$C:$C,Data_Progress!$A:$A,$A174,Data_Progress!$B:$B,$B174)</f>
        <v>0</v>
      </c>
      <c r="K174" s="38" t="n">
        <f aca="false">G174*J174</f>
        <v>0</v>
      </c>
      <c r="L174" s="42" t="str">
        <f aca="false">IF(H174&gt;0,K174/H174,"")</f>
        <v/>
      </c>
      <c r="M174" s="38" t="n">
        <f aca="false">IF(I174&gt;0,MAX(I174,H174),IF(J174&gt;0,H174+(G174-K174)/L174,G174))</f>
        <v>396800</v>
      </c>
      <c r="N174" s="38" t="n">
        <f aca="false">G174-M174</f>
        <v>400</v>
      </c>
      <c r="O174" s="38" t="n">
        <f aca="false">M174-H174</f>
        <v>396800</v>
      </c>
      <c r="P174" s="43" t="n">
        <f aca="false">SUMIFS(Data_Budgets!$F:$F,Data_Budgets!$A:$A,$A174,Data_Budgets!$B:$B,$B174)</f>
        <v>0</v>
      </c>
      <c r="Q174" s="43" t="n">
        <f aca="false">SUMIFS(Data_JobCost!$K:$K,Data_JobCost!$D:$D,$A174,Data_JobCost!$E:$E,$B174)</f>
        <v>0</v>
      </c>
      <c r="R174" s="43" t="n">
        <f aca="false">P174*J174</f>
        <v>0</v>
      </c>
    </row>
    <row r="175" customFormat="false" ht="15" hidden="false" customHeight="false" outlineLevel="0" collapsed="false">
      <c r="A175" s="37" t="s">
        <v>69</v>
      </c>
      <c r="B175" s="37" t="s">
        <v>106</v>
      </c>
      <c r="C175" s="37" t="str">
        <f aca="false">INDEX(Data_CostCodes!$B:$B,MATCH($B175,Data_CostCodes!$A:$A,0))</f>
        <v>Rough Carpentry</v>
      </c>
      <c r="D175" s="37" t="str">
        <f aca="false">INDEX(Data_CostCodes!$D:$D,MATCH($B175,Data_CostCodes!$A:$A,0))</f>
        <v>Labour</v>
      </c>
      <c r="E175" s="38" t="n">
        <f aca="false">SUMIFS(Data_Budgets!$C:$C,Data_Budgets!$A:$A,$A175,Data_Budgets!$B:$B,$B175)</f>
        <v>242600</v>
      </c>
      <c r="F175" s="38" t="n">
        <f aca="false">SUMIFS(Data_Budgets!$D:$D,Data_Budgets!$A:$A,$A175,Data_Budgets!$B:$B,$B175)</f>
        <v>0</v>
      </c>
      <c r="G175" s="38" t="n">
        <f aca="false">E175+F175</f>
        <v>242600</v>
      </c>
      <c r="H175" s="38" t="n">
        <f aca="false">SUMIFS(Data_JobCost!$L:$L,Data_JobCost!$D:$D,$A175,Data_JobCost!$E:$E,$B175)</f>
        <v>0</v>
      </c>
      <c r="I175" s="38" t="n">
        <f aca="false">SUMIFS(Data_Commitments!$E:$E,Data_Commitments!$B:$B,$A175,Data_Commitments!$C:$C,$B175)</f>
        <v>0</v>
      </c>
      <c r="J175" s="41" t="n">
        <f aca="false">SUMIFS(Data_Progress!$C:$C,Data_Progress!$A:$A,$A175,Data_Progress!$B:$B,$B175)</f>
        <v>0</v>
      </c>
      <c r="K175" s="38" t="n">
        <f aca="false">G175*J175</f>
        <v>0</v>
      </c>
      <c r="L175" s="42" t="str">
        <f aca="false">IF(H175&gt;0,K175/H175,"")</f>
        <v/>
      </c>
      <c r="M175" s="38" t="n">
        <f aca="false">IF(I175&gt;0,MAX(I175,H175),IF(J175&gt;0,H175+(G175-K175)/L175,G175))</f>
        <v>242600</v>
      </c>
      <c r="N175" s="38" t="n">
        <f aca="false">G175-M175</f>
        <v>0</v>
      </c>
      <c r="O175" s="38" t="n">
        <f aca="false">M175-H175</f>
        <v>242600</v>
      </c>
      <c r="P175" s="43" t="n">
        <f aca="false">SUMIFS(Data_Budgets!$F:$F,Data_Budgets!$A:$A,$A175,Data_Budgets!$B:$B,$B175)</f>
        <v>3417</v>
      </c>
      <c r="Q175" s="43" t="n">
        <f aca="false">SUMIFS(Data_JobCost!$K:$K,Data_JobCost!$D:$D,$A175,Data_JobCost!$E:$E,$B175)</f>
        <v>0</v>
      </c>
      <c r="R175" s="43" t="n">
        <f aca="false">P175*J175</f>
        <v>0</v>
      </c>
    </row>
    <row r="176" customFormat="false" ht="15" hidden="false" customHeight="false" outlineLevel="0" collapsed="false">
      <c r="A176" s="37" t="s">
        <v>69</v>
      </c>
      <c r="B176" s="37" t="s">
        <v>107</v>
      </c>
      <c r="C176" s="37" t="str">
        <f aca="false">INDEX(Data_CostCodes!$B:$B,MATCH($B176,Data_CostCodes!$A:$A,0))</f>
        <v>Roofing &amp; Insulation</v>
      </c>
      <c r="D176" s="37" t="str">
        <f aca="false">INDEX(Data_CostCodes!$D:$D,MATCH($B176,Data_CostCodes!$A:$A,0))</f>
        <v>Subcontract</v>
      </c>
      <c r="E176" s="38" t="n">
        <f aca="false">SUMIFS(Data_Budgets!$C:$C,Data_Budgets!$A:$A,$A176,Data_Budgets!$B:$B,$B176)</f>
        <v>309600</v>
      </c>
      <c r="F176" s="38" t="n">
        <f aca="false">SUMIFS(Data_Budgets!$D:$D,Data_Budgets!$A:$A,$A176,Data_Budgets!$B:$B,$B176)</f>
        <v>0</v>
      </c>
      <c r="G176" s="38" t="n">
        <f aca="false">E176+F176</f>
        <v>309600</v>
      </c>
      <c r="H176" s="38" t="n">
        <f aca="false">SUMIFS(Data_JobCost!$L:$L,Data_JobCost!$D:$D,$A176,Data_JobCost!$E:$E,$B176)</f>
        <v>0</v>
      </c>
      <c r="I176" s="38" t="n">
        <f aca="false">SUMIFS(Data_Commitments!$E:$E,Data_Commitments!$B:$B,$A176,Data_Commitments!$C:$C,$B176)</f>
        <v>320500</v>
      </c>
      <c r="J176" s="41" t="n">
        <f aca="false">SUMIFS(Data_Progress!$C:$C,Data_Progress!$A:$A,$A176,Data_Progress!$B:$B,$B176)</f>
        <v>0</v>
      </c>
      <c r="K176" s="38" t="n">
        <f aca="false">G176*J176</f>
        <v>0</v>
      </c>
      <c r="L176" s="42" t="str">
        <f aca="false">IF(H176&gt;0,K176/H176,"")</f>
        <v/>
      </c>
      <c r="M176" s="38" t="n">
        <f aca="false">IF(I176&gt;0,MAX(I176,H176),IF(J176&gt;0,H176+(G176-K176)/L176,G176))</f>
        <v>320500</v>
      </c>
      <c r="N176" s="38" t="n">
        <f aca="false">G176-M176</f>
        <v>-10900</v>
      </c>
      <c r="O176" s="38" t="n">
        <f aca="false">M176-H176</f>
        <v>320500</v>
      </c>
      <c r="P176" s="43" t="n">
        <f aca="false">SUMIFS(Data_Budgets!$F:$F,Data_Budgets!$A:$A,$A176,Data_Budgets!$B:$B,$B176)</f>
        <v>0</v>
      </c>
      <c r="Q176" s="43" t="n">
        <f aca="false">SUMIFS(Data_JobCost!$K:$K,Data_JobCost!$D:$D,$A176,Data_JobCost!$E:$E,$B176)</f>
        <v>0</v>
      </c>
      <c r="R176" s="43" t="n">
        <f aca="false">P176*J176</f>
        <v>0</v>
      </c>
    </row>
    <row r="177" customFormat="false" ht="15" hidden="false" customHeight="false" outlineLevel="0" collapsed="false">
      <c r="A177" s="37" t="s">
        <v>69</v>
      </c>
      <c r="B177" s="37" t="s">
        <v>108</v>
      </c>
      <c r="C177" s="37" t="str">
        <f aca="false">INDEX(Data_CostCodes!$B:$B,MATCH($B177,Data_CostCodes!$A:$A,0))</f>
        <v>Doors, Frames &amp; Hardware</v>
      </c>
      <c r="D177" s="37" t="str">
        <f aca="false">INDEX(Data_CostCodes!$D:$D,MATCH($B177,Data_CostCodes!$A:$A,0))</f>
        <v>Material</v>
      </c>
      <c r="E177" s="38" t="n">
        <f aca="false">SUMIFS(Data_Budgets!$C:$C,Data_Budgets!$A:$A,$A177,Data_Budgets!$B:$B,$B177)</f>
        <v>206300</v>
      </c>
      <c r="F177" s="38" t="n">
        <f aca="false">SUMIFS(Data_Budgets!$D:$D,Data_Budgets!$A:$A,$A177,Data_Budgets!$B:$B,$B177)</f>
        <v>0</v>
      </c>
      <c r="G177" s="38" t="n">
        <f aca="false">E177+F177</f>
        <v>206300</v>
      </c>
      <c r="H177" s="38" t="n">
        <f aca="false">SUMIFS(Data_JobCost!$L:$L,Data_JobCost!$D:$D,$A177,Data_JobCost!$E:$E,$B177)</f>
        <v>0</v>
      </c>
      <c r="I177" s="38" t="n">
        <f aca="false">SUMIFS(Data_Commitments!$E:$E,Data_Commitments!$B:$B,$A177,Data_Commitments!$C:$C,$B177)</f>
        <v>0</v>
      </c>
      <c r="J177" s="41" t="n">
        <f aca="false">SUMIFS(Data_Progress!$C:$C,Data_Progress!$A:$A,$A177,Data_Progress!$B:$B,$B177)</f>
        <v>0</v>
      </c>
      <c r="K177" s="38" t="n">
        <f aca="false">G177*J177</f>
        <v>0</v>
      </c>
      <c r="L177" s="42" t="str">
        <f aca="false">IF(H177&gt;0,K177/H177,"")</f>
        <v/>
      </c>
      <c r="M177" s="38" t="n">
        <f aca="false">IF(I177&gt;0,MAX(I177,H177),IF(J177&gt;0,H177+(G177-K177)/L177,G177))</f>
        <v>206300</v>
      </c>
      <c r="N177" s="38" t="n">
        <f aca="false">G177-M177</f>
        <v>0</v>
      </c>
      <c r="O177" s="38" t="n">
        <f aca="false">M177-H177</f>
        <v>206300</v>
      </c>
      <c r="P177" s="43" t="n">
        <f aca="false">SUMIFS(Data_Budgets!$F:$F,Data_Budgets!$A:$A,$A177,Data_Budgets!$B:$B,$B177)</f>
        <v>0</v>
      </c>
      <c r="Q177" s="43" t="n">
        <f aca="false">SUMIFS(Data_JobCost!$K:$K,Data_JobCost!$D:$D,$A177,Data_JobCost!$E:$E,$B177)</f>
        <v>0</v>
      </c>
      <c r="R177" s="43" t="n">
        <f aca="false">P177*J177</f>
        <v>0</v>
      </c>
    </row>
    <row r="178" customFormat="false" ht="15" hidden="false" customHeight="false" outlineLevel="0" collapsed="false">
      <c r="A178" s="37" t="s">
        <v>69</v>
      </c>
      <c r="B178" s="37" t="s">
        <v>109</v>
      </c>
      <c r="C178" s="37" t="str">
        <f aca="false">INDEX(Data_CostCodes!$B:$B,MATCH($B178,Data_CostCodes!$A:$A,0))</f>
        <v>Drywall &amp; Finishes</v>
      </c>
      <c r="D178" s="37" t="str">
        <f aca="false">INDEX(Data_CostCodes!$D:$D,MATCH($B178,Data_CostCodes!$A:$A,0))</f>
        <v>Subcontract</v>
      </c>
      <c r="E178" s="38" t="n">
        <f aca="false">SUMIFS(Data_Budgets!$C:$C,Data_Budgets!$A:$A,$A178,Data_Budgets!$B:$B,$B178)</f>
        <v>512500</v>
      </c>
      <c r="F178" s="38" t="n">
        <f aca="false">SUMIFS(Data_Budgets!$D:$D,Data_Budgets!$A:$A,$A178,Data_Budgets!$B:$B,$B178)</f>
        <v>0</v>
      </c>
      <c r="G178" s="38" t="n">
        <f aca="false">E178+F178</f>
        <v>512500</v>
      </c>
      <c r="H178" s="38" t="n">
        <f aca="false">SUMIFS(Data_JobCost!$L:$L,Data_JobCost!$D:$D,$A178,Data_JobCost!$E:$E,$B178)</f>
        <v>0</v>
      </c>
      <c r="I178" s="38" t="n">
        <f aca="false">SUMIFS(Data_Commitments!$E:$E,Data_Commitments!$B:$B,$A178,Data_Commitments!$C:$C,$B178)</f>
        <v>0</v>
      </c>
      <c r="J178" s="41" t="n">
        <f aca="false">SUMIFS(Data_Progress!$C:$C,Data_Progress!$A:$A,$A178,Data_Progress!$B:$B,$B178)</f>
        <v>0</v>
      </c>
      <c r="K178" s="38" t="n">
        <f aca="false">G178*J178</f>
        <v>0</v>
      </c>
      <c r="L178" s="42" t="str">
        <f aca="false">IF(H178&gt;0,K178/H178,"")</f>
        <v/>
      </c>
      <c r="M178" s="38" t="n">
        <f aca="false">IF(I178&gt;0,MAX(I178,H178),IF(J178&gt;0,H178+(G178-K178)/L178,G178))</f>
        <v>512500</v>
      </c>
      <c r="N178" s="38" t="n">
        <f aca="false">G178-M178</f>
        <v>0</v>
      </c>
      <c r="O178" s="38" t="n">
        <f aca="false">M178-H178</f>
        <v>512500</v>
      </c>
      <c r="P178" s="43" t="n">
        <f aca="false">SUMIFS(Data_Budgets!$F:$F,Data_Budgets!$A:$A,$A178,Data_Budgets!$B:$B,$B178)</f>
        <v>0</v>
      </c>
      <c r="Q178" s="43" t="n">
        <f aca="false">SUMIFS(Data_JobCost!$K:$K,Data_JobCost!$D:$D,$A178,Data_JobCost!$E:$E,$B178)</f>
        <v>0</v>
      </c>
      <c r="R178" s="43" t="n">
        <f aca="false">P178*J178</f>
        <v>0</v>
      </c>
    </row>
    <row r="179" customFormat="false" ht="15" hidden="false" customHeight="false" outlineLevel="0" collapsed="false">
      <c r="A179" s="37" t="s">
        <v>69</v>
      </c>
      <c r="B179" s="37" t="s">
        <v>110</v>
      </c>
      <c r="C179" s="37" t="str">
        <f aca="false">INDEX(Data_CostCodes!$B:$B,MATCH($B179,Data_CostCodes!$A:$A,0))</f>
        <v>Mechanical</v>
      </c>
      <c r="D179" s="37" t="str">
        <f aca="false">INDEX(Data_CostCodes!$D:$D,MATCH($B179,Data_CostCodes!$A:$A,0))</f>
        <v>Subcontract</v>
      </c>
      <c r="E179" s="38" t="n">
        <f aca="false">SUMIFS(Data_Budgets!$C:$C,Data_Budgets!$A:$A,$A179,Data_Budgets!$B:$B,$B179)</f>
        <v>839000</v>
      </c>
      <c r="F179" s="38" t="n">
        <f aca="false">SUMIFS(Data_Budgets!$D:$D,Data_Budgets!$A:$A,$A179,Data_Budgets!$B:$B,$B179)</f>
        <v>0</v>
      </c>
      <c r="G179" s="38" t="n">
        <f aca="false">E179+F179</f>
        <v>839000</v>
      </c>
      <c r="H179" s="38" t="n">
        <f aca="false">SUMIFS(Data_JobCost!$L:$L,Data_JobCost!$D:$D,$A179,Data_JobCost!$E:$E,$B179)</f>
        <v>0</v>
      </c>
      <c r="I179" s="38" t="n">
        <f aca="false">SUMIFS(Data_Commitments!$E:$E,Data_Commitments!$B:$B,$A179,Data_Commitments!$C:$C,$B179)</f>
        <v>829600</v>
      </c>
      <c r="J179" s="41" t="n">
        <f aca="false">SUMIFS(Data_Progress!$C:$C,Data_Progress!$A:$A,$A179,Data_Progress!$B:$B,$B179)</f>
        <v>0</v>
      </c>
      <c r="K179" s="38" t="n">
        <f aca="false">G179*J179</f>
        <v>0</v>
      </c>
      <c r="L179" s="42" t="str">
        <f aca="false">IF(H179&gt;0,K179/H179,"")</f>
        <v/>
      </c>
      <c r="M179" s="38" t="n">
        <f aca="false">IF(I179&gt;0,MAX(I179,H179),IF(J179&gt;0,H179+(G179-K179)/L179,G179))</f>
        <v>829600</v>
      </c>
      <c r="N179" s="38" t="n">
        <f aca="false">G179-M179</f>
        <v>9400</v>
      </c>
      <c r="O179" s="38" t="n">
        <f aca="false">M179-H179</f>
        <v>829600</v>
      </c>
      <c r="P179" s="43" t="n">
        <f aca="false">SUMIFS(Data_Budgets!$F:$F,Data_Budgets!$A:$A,$A179,Data_Budgets!$B:$B,$B179)</f>
        <v>0</v>
      </c>
      <c r="Q179" s="43" t="n">
        <f aca="false">SUMIFS(Data_JobCost!$K:$K,Data_JobCost!$D:$D,$A179,Data_JobCost!$E:$E,$B179)</f>
        <v>0</v>
      </c>
      <c r="R179" s="43" t="n">
        <f aca="false">P179*J179</f>
        <v>0</v>
      </c>
    </row>
    <row r="180" customFormat="false" ht="15" hidden="false" customHeight="false" outlineLevel="0" collapsed="false">
      <c r="A180" s="37" t="s">
        <v>69</v>
      </c>
      <c r="B180" s="37" t="s">
        <v>111</v>
      </c>
      <c r="C180" s="37" t="str">
        <f aca="false">INDEX(Data_CostCodes!$B:$B,MATCH($B180,Data_CostCodes!$A:$A,0))</f>
        <v>Electrical</v>
      </c>
      <c r="D180" s="37" t="str">
        <f aca="false">INDEX(Data_CostCodes!$D:$D,MATCH($B180,Data_CostCodes!$A:$A,0))</f>
        <v>Subcontract</v>
      </c>
      <c r="E180" s="38" t="n">
        <f aca="false">SUMIFS(Data_Budgets!$C:$C,Data_Budgets!$A:$A,$A180,Data_Budgets!$B:$B,$B180)</f>
        <v>712600</v>
      </c>
      <c r="F180" s="38" t="n">
        <f aca="false">SUMIFS(Data_Budgets!$D:$D,Data_Budgets!$A:$A,$A180,Data_Budgets!$B:$B,$B180)</f>
        <v>0</v>
      </c>
      <c r="G180" s="38" t="n">
        <f aca="false">E180+F180</f>
        <v>712600</v>
      </c>
      <c r="H180" s="38" t="n">
        <f aca="false">SUMIFS(Data_JobCost!$L:$L,Data_JobCost!$D:$D,$A180,Data_JobCost!$E:$E,$B180)</f>
        <v>0</v>
      </c>
      <c r="I180" s="38" t="n">
        <f aca="false">SUMIFS(Data_Commitments!$E:$E,Data_Commitments!$B:$B,$A180,Data_Commitments!$C:$C,$B180)</f>
        <v>715300</v>
      </c>
      <c r="J180" s="41" t="n">
        <f aca="false">SUMIFS(Data_Progress!$C:$C,Data_Progress!$A:$A,$A180,Data_Progress!$B:$B,$B180)</f>
        <v>0</v>
      </c>
      <c r="K180" s="38" t="n">
        <f aca="false">G180*J180</f>
        <v>0</v>
      </c>
      <c r="L180" s="42" t="str">
        <f aca="false">IF(H180&gt;0,K180/H180,"")</f>
        <v/>
      </c>
      <c r="M180" s="38" t="n">
        <f aca="false">IF(I180&gt;0,MAX(I180,H180),IF(J180&gt;0,H180+(G180-K180)/L180,G180))</f>
        <v>715300</v>
      </c>
      <c r="N180" s="38" t="n">
        <f aca="false">G180-M180</f>
        <v>-2700</v>
      </c>
      <c r="O180" s="38" t="n">
        <f aca="false">M180-H180</f>
        <v>715300</v>
      </c>
      <c r="P180" s="43" t="n">
        <f aca="false">SUMIFS(Data_Budgets!$F:$F,Data_Budgets!$A:$A,$A180,Data_Budgets!$B:$B,$B180)</f>
        <v>0</v>
      </c>
      <c r="Q180" s="43" t="n">
        <f aca="false">SUMIFS(Data_JobCost!$K:$K,Data_JobCost!$D:$D,$A180,Data_JobCost!$E:$E,$B180)</f>
        <v>0</v>
      </c>
      <c r="R180" s="43" t="n">
        <f aca="false">P180*J180</f>
        <v>0</v>
      </c>
    </row>
    <row r="181" customFormat="false" ht="15" hidden="false" customHeight="false" outlineLevel="0" collapsed="false">
      <c r="A181" s="20" t="s">
        <v>119</v>
      </c>
      <c r="B181" s="44"/>
      <c r="C181" s="44"/>
      <c r="D181" s="44"/>
      <c r="E181" s="21" t="n">
        <f aca="false">SUM(E5:E180)</f>
        <v>154155800</v>
      </c>
      <c r="F181" s="21" t="n">
        <f aca="false">SUM(F5:F180)</f>
        <v>4097900</v>
      </c>
      <c r="G181" s="21" t="n">
        <f aca="false">SUM(G5:G180)</f>
        <v>158253700</v>
      </c>
      <c r="H181" s="21" t="n">
        <f aca="false">SUM(H5:H180)</f>
        <v>114578264.51</v>
      </c>
      <c r="I181" s="21" t="n">
        <f aca="false">SUM(I5:I180)</f>
        <v>120824700</v>
      </c>
      <c r="J181" s="44"/>
      <c r="K181" s="21" t="n">
        <f aca="false">SUM(K5:K180)</f>
        <v>113719298</v>
      </c>
      <c r="L181" s="24" t="n">
        <f aca="false">K181/H181</f>
        <v>0.992503233369144</v>
      </c>
      <c r="M181" s="21" t="n">
        <f aca="false">SUM(M5:M180)</f>
        <v>160824398.068639</v>
      </c>
      <c r="N181" s="21" t="n">
        <f aca="false">SUM(N5:N180)</f>
        <v>-2570698.06863898</v>
      </c>
      <c r="O181" s="21" t="n">
        <f aca="false">SUM(O5:O180)</f>
        <v>46246133.558639</v>
      </c>
      <c r="P181" s="36" t="n">
        <f aca="false">SUM(P5:P180)</f>
        <v>348577</v>
      </c>
      <c r="Q181" s="36" t="n">
        <f aca="false">SUM(Q5:Q180)</f>
        <v>268954</v>
      </c>
      <c r="R181" s="36" t="n">
        <f aca="false">SUM(R5:R180)</f>
        <v>262803.417</v>
      </c>
    </row>
  </sheetData>
  <autoFilter ref="A4:R180"/>
  <conditionalFormatting sqref="N5:N180">
    <cfRule type="cellIs" priority="2" operator="lessThan" aboveAverage="0" equalAverage="0" bottom="0" percent="0" rank="0" text="" dxfId="6">
      <formula>-25000</formula>
    </cfRule>
  </conditionalFormatting>
  <conditionalFormatting sqref="L5:L180">
    <cfRule type="expression" priority="3" aboveAverage="0" equalAverage="0" bottom="0" percent="0" rank="0" text="" dxfId="6">
      <formula>AND(ISNUMBER(L5),L5&lt;0.95)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40"/>
  </cols>
  <sheetData>
    <row r="1" customFormat="false" ht="19.5" hidden="false" customHeight="true" outlineLevel="0" collapsed="false">
      <c r="A1" s="11" t="s">
        <v>122</v>
      </c>
      <c r="B1" s="11" t="s">
        <v>123</v>
      </c>
      <c r="C1" s="11" t="s">
        <v>124</v>
      </c>
      <c r="D1" s="11" t="s">
        <v>125</v>
      </c>
      <c r="E1" s="11" t="s">
        <v>126</v>
      </c>
      <c r="F1" s="11" t="s">
        <v>127</v>
      </c>
      <c r="G1" s="11" t="s">
        <v>128</v>
      </c>
      <c r="H1" s="11" t="s">
        <v>129</v>
      </c>
      <c r="I1" s="11" t="s">
        <v>130</v>
      </c>
      <c r="J1" s="11" t="s">
        <v>131</v>
      </c>
      <c r="K1" s="11" t="s">
        <v>132</v>
      </c>
      <c r="L1" s="11" t="s">
        <v>133</v>
      </c>
      <c r="M1" s="11" t="s">
        <v>134</v>
      </c>
    </row>
    <row r="2" customFormat="false" ht="15" hidden="false" customHeight="false" outlineLevel="0" collapsed="false">
      <c r="A2" s="37" t="s">
        <v>58</v>
      </c>
      <c r="B2" s="37" t="s">
        <v>135</v>
      </c>
      <c r="C2" s="37" t="s">
        <v>136</v>
      </c>
      <c r="D2" s="37" t="s">
        <v>137</v>
      </c>
      <c r="E2" s="37" t="s">
        <v>138</v>
      </c>
      <c r="F2" s="38" t="n">
        <v>14850000</v>
      </c>
      <c r="G2" s="38" t="n">
        <v>612000</v>
      </c>
      <c r="H2" s="41" t="n">
        <v>0.105</v>
      </c>
      <c r="I2" s="37" t="s">
        <v>139</v>
      </c>
      <c r="J2" s="37" t="s">
        <v>140</v>
      </c>
      <c r="K2" s="38" t="n">
        <v>15462000</v>
      </c>
      <c r="L2" s="37" t="s">
        <v>141</v>
      </c>
      <c r="M2" s="37" t="s">
        <v>142</v>
      </c>
    </row>
    <row r="3" customFormat="false" ht="15" hidden="false" customHeight="false" outlineLevel="0" collapsed="false">
      <c r="A3" s="37" t="s">
        <v>59</v>
      </c>
      <c r="B3" s="37" t="s">
        <v>143</v>
      </c>
      <c r="C3" s="37" t="s">
        <v>144</v>
      </c>
      <c r="D3" s="37" t="s">
        <v>145</v>
      </c>
      <c r="E3" s="37" t="s">
        <v>146</v>
      </c>
      <c r="F3" s="38" t="n">
        <v>21400000</v>
      </c>
      <c r="G3" s="38" t="n">
        <v>845000</v>
      </c>
      <c r="H3" s="41" t="n">
        <v>0.095</v>
      </c>
      <c r="I3" s="37" t="s">
        <v>147</v>
      </c>
      <c r="J3" s="37" t="s">
        <v>148</v>
      </c>
      <c r="K3" s="38" t="n">
        <v>22245000</v>
      </c>
      <c r="L3" s="37" t="s">
        <v>149</v>
      </c>
      <c r="M3" s="37" t="s">
        <v>142</v>
      </c>
    </row>
    <row r="4" customFormat="false" ht="15" hidden="false" customHeight="false" outlineLevel="0" collapsed="false">
      <c r="A4" s="37" t="s">
        <v>60</v>
      </c>
      <c r="B4" s="37" t="s">
        <v>150</v>
      </c>
      <c r="C4" s="37" t="s">
        <v>136</v>
      </c>
      <c r="D4" s="37" t="s">
        <v>151</v>
      </c>
      <c r="E4" s="37" t="s">
        <v>152</v>
      </c>
      <c r="F4" s="38" t="n">
        <v>16200000</v>
      </c>
      <c r="G4" s="38" t="n">
        <v>338000</v>
      </c>
      <c r="H4" s="41" t="n">
        <v>0.11</v>
      </c>
      <c r="I4" s="37" t="s">
        <v>153</v>
      </c>
      <c r="J4" s="37" t="s">
        <v>154</v>
      </c>
      <c r="K4" s="38" t="n">
        <v>16538000</v>
      </c>
      <c r="L4" s="37" t="s">
        <v>149</v>
      </c>
      <c r="M4" s="37" t="s">
        <v>142</v>
      </c>
    </row>
    <row r="5" customFormat="false" ht="15" hidden="false" customHeight="false" outlineLevel="0" collapsed="false">
      <c r="A5" s="37" t="s">
        <v>61</v>
      </c>
      <c r="B5" s="37" t="s">
        <v>155</v>
      </c>
      <c r="C5" s="37" t="s">
        <v>144</v>
      </c>
      <c r="D5" s="37" t="s">
        <v>156</v>
      </c>
      <c r="E5" s="37" t="s">
        <v>146</v>
      </c>
      <c r="F5" s="38" t="n">
        <v>9750000</v>
      </c>
      <c r="G5" s="38" t="n">
        <v>410000</v>
      </c>
      <c r="H5" s="41" t="n">
        <v>0.12</v>
      </c>
      <c r="I5" s="37" t="s">
        <v>157</v>
      </c>
      <c r="J5" s="37" t="s">
        <v>158</v>
      </c>
      <c r="K5" s="38" t="n">
        <v>10160000</v>
      </c>
      <c r="L5" s="37" t="s">
        <v>149</v>
      </c>
      <c r="M5" s="37" t="s">
        <v>142</v>
      </c>
    </row>
    <row r="6" customFormat="false" ht="15" hidden="false" customHeight="false" outlineLevel="0" collapsed="false">
      <c r="A6" s="37" t="s">
        <v>62</v>
      </c>
      <c r="B6" s="37" t="s">
        <v>159</v>
      </c>
      <c r="C6" s="37" t="s">
        <v>160</v>
      </c>
      <c r="D6" s="37" t="s">
        <v>145</v>
      </c>
      <c r="E6" s="37" t="s">
        <v>161</v>
      </c>
      <c r="F6" s="38" t="n">
        <v>24600000</v>
      </c>
      <c r="G6" s="38" t="n">
        <v>980000</v>
      </c>
      <c r="H6" s="41" t="n">
        <v>0.1</v>
      </c>
      <c r="I6" s="37" t="s">
        <v>162</v>
      </c>
      <c r="J6" s="37" t="s">
        <v>163</v>
      </c>
      <c r="K6" s="38" t="n">
        <v>25580000</v>
      </c>
      <c r="L6" s="37" t="s">
        <v>149</v>
      </c>
      <c r="M6" s="37" t="s">
        <v>142</v>
      </c>
    </row>
    <row r="7" customFormat="false" ht="15" hidden="false" customHeight="false" outlineLevel="0" collapsed="false">
      <c r="A7" s="37" t="s">
        <v>63</v>
      </c>
      <c r="B7" s="37" t="s">
        <v>164</v>
      </c>
      <c r="C7" s="37" t="s">
        <v>136</v>
      </c>
      <c r="D7" s="37" t="s">
        <v>137</v>
      </c>
      <c r="E7" s="37" t="s">
        <v>138</v>
      </c>
      <c r="F7" s="38" t="n">
        <v>8900000</v>
      </c>
      <c r="G7" s="38" t="n">
        <v>126000</v>
      </c>
      <c r="H7" s="41" t="n">
        <v>0.115</v>
      </c>
      <c r="I7" s="37" t="s">
        <v>165</v>
      </c>
      <c r="J7" s="37" t="s">
        <v>166</v>
      </c>
      <c r="K7" s="38" t="n">
        <v>9026000</v>
      </c>
      <c r="L7" s="37" t="s">
        <v>149</v>
      </c>
      <c r="M7" s="37" t="s">
        <v>142</v>
      </c>
    </row>
    <row r="8" customFormat="false" ht="15" hidden="false" customHeight="false" outlineLevel="0" collapsed="false">
      <c r="A8" s="37" t="s">
        <v>64</v>
      </c>
      <c r="B8" s="37" t="s">
        <v>167</v>
      </c>
      <c r="C8" s="37" t="s">
        <v>136</v>
      </c>
      <c r="D8" s="37" t="s">
        <v>137</v>
      </c>
      <c r="E8" s="37" t="s">
        <v>152</v>
      </c>
      <c r="F8" s="38" t="n">
        <v>11300000</v>
      </c>
      <c r="G8" s="38" t="n">
        <v>765000</v>
      </c>
      <c r="H8" s="41" t="n">
        <v>0.105</v>
      </c>
      <c r="I8" s="37" t="s">
        <v>168</v>
      </c>
      <c r="J8" s="37" t="s">
        <v>169</v>
      </c>
      <c r="K8" s="38" t="n">
        <v>12065000</v>
      </c>
      <c r="L8" s="37" t="s">
        <v>149</v>
      </c>
      <c r="M8" s="37" t="s">
        <v>142</v>
      </c>
    </row>
    <row r="9" customFormat="false" ht="15" hidden="false" customHeight="false" outlineLevel="0" collapsed="false">
      <c r="A9" s="37" t="s">
        <v>65</v>
      </c>
      <c r="B9" s="37" t="s">
        <v>170</v>
      </c>
      <c r="C9" s="37" t="s">
        <v>144</v>
      </c>
      <c r="D9" s="37" t="s">
        <v>156</v>
      </c>
      <c r="E9" s="37" t="s">
        <v>161</v>
      </c>
      <c r="F9" s="38" t="n">
        <v>17800000</v>
      </c>
      <c r="G9" s="38" t="n">
        <v>290000</v>
      </c>
      <c r="H9" s="41" t="n">
        <v>0.098</v>
      </c>
      <c r="I9" s="37" t="s">
        <v>171</v>
      </c>
      <c r="J9" s="37" t="s">
        <v>172</v>
      </c>
      <c r="K9" s="38" t="n">
        <v>18090000</v>
      </c>
      <c r="L9" s="37" t="s">
        <v>149</v>
      </c>
      <c r="M9" s="37" t="s">
        <v>142</v>
      </c>
    </row>
    <row r="10" customFormat="false" ht="15" hidden="false" customHeight="false" outlineLevel="0" collapsed="false">
      <c r="A10" s="37" t="s">
        <v>66</v>
      </c>
      <c r="B10" s="37" t="s">
        <v>173</v>
      </c>
      <c r="C10" s="37" t="s">
        <v>174</v>
      </c>
      <c r="D10" s="37" t="s">
        <v>175</v>
      </c>
      <c r="E10" s="37" t="s">
        <v>176</v>
      </c>
      <c r="F10" s="38" t="n">
        <v>19950000</v>
      </c>
      <c r="G10" s="38" t="n">
        <v>455000</v>
      </c>
      <c r="H10" s="41" t="n">
        <v>0.09</v>
      </c>
      <c r="I10" s="37" t="s">
        <v>177</v>
      </c>
      <c r="J10" s="37" t="s">
        <v>178</v>
      </c>
      <c r="K10" s="38" t="n">
        <v>20405000</v>
      </c>
      <c r="L10" s="37" t="s">
        <v>149</v>
      </c>
      <c r="M10" s="37" t="s">
        <v>142</v>
      </c>
    </row>
    <row r="11" customFormat="false" ht="15" hidden="false" customHeight="false" outlineLevel="0" collapsed="false">
      <c r="A11" s="37" t="s">
        <v>67</v>
      </c>
      <c r="B11" s="37" t="s">
        <v>179</v>
      </c>
      <c r="C11" s="37" t="s">
        <v>144</v>
      </c>
      <c r="D11" s="37" t="s">
        <v>156</v>
      </c>
      <c r="E11" s="37" t="s">
        <v>146</v>
      </c>
      <c r="F11" s="38" t="n">
        <v>13400000</v>
      </c>
      <c r="G11" s="38" t="n">
        <v>0</v>
      </c>
      <c r="H11" s="41" t="n">
        <v>0.115</v>
      </c>
      <c r="I11" s="37" t="s">
        <v>180</v>
      </c>
      <c r="J11" s="37" t="s">
        <v>181</v>
      </c>
      <c r="K11" s="38" t="n">
        <v>13400000</v>
      </c>
      <c r="L11" s="37" t="s">
        <v>149</v>
      </c>
      <c r="M11" s="37" t="s">
        <v>142</v>
      </c>
    </row>
    <row r="12" customFormat="false" ht="15" hidden="false" customHeight="false" outlineLevel="0" collapsed="false">
      <c r="A12" s="37" t="s">
        <v>68</v>
      </c>
      <c r="B12" s="37" t="s">
        <v>182</v>
      </c>
      <c r="C12" s="37" t="s">
        <v>160</v>
      </c>
      <c r="D12" s="37" t="s">
        <v>145</v>
      </c>
      <c r="E12" s="37" t="s">
        <v>176</v>
      </c>
      <c r="F12" s="38" t="n">
        <v>7650000</v>
      </c>
      <c r="G12" s="38" t="n">
        <v>0</v>
      </c>
      <c r="H12" s="41" t="n">
        <v>0.125</v>
      </c>
      <c r="I12" s="37" t="s">
        <v>183</v>
      </c>
      <c r="J12" s="37" t="s">
        <v>184</v>
      </c>
      <c r="K12" s="38" t="n">
        <v>7650000</v>
      </c>
      <c r="L12" s="37" t="s">
        <v>149</v>
      </c>
      <c r="M12" s="37" t="s">
        <v>142</v>
      </c>
    </row>
    <row r="13" customFormat="false" ht="15" hidden="false" customHeight="false" outlineLevel="0" collapsed="false">
      <c r="A13" s="37" t="s">
        <v>69</v>
      </c>
      <c r="B13" s="37" t="s">
        <v>185</v>
      </c>
      <c r="C13" s="37" t="s">
        <v>136</v>
      </c>
      <c r="D13" s="37" t="s">
        <v>137</v>
      </c>
      <c r="E13" s="37" t="s">
        <v>138</v>
      </c>
      <c r="F13" s="38" t="n">
        <v>6300000</v>
      </c>
      <c r="G13" s="38" t="n">
        <v>0</v>
      </c>
      <c r="H13" s="41" t="n">
        <v>0.11</v>
      </c>
      <c r="I13" s="37" t="s">
        <v>186</v>
      </c>
      <c r="J13" s="37" t="s">
        <v>187</v>
      </c>
      <c r="K13" s="38" t="n">
        <v>6300000</v>
      </c>
      <c r="L13" s="37" t="s">
        <v>149</v>
      </c>
      <c r="M13" s="3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3"/>
  </cols>
  <sheetData>
    <row r="1" customFormat="false" ht="19.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</row>
    <row r="2" customFormat="false" ht="15" hidden="false" customHeight="false" outlineLevel="0" collapsed="false">
      <c r="A2" s="37" t="s">
        <v>97</v>
      </c>
      <c r="B2" s="37" t="s">
        <v>192</v>
      </c>
      <c r="C2" s="37" t="s">
        <v>193</v>
      </c>
      <c r="D2" s="37" t="s">
        <v>194</v>
      </c>
    </row>
    <row r="3" customFormat="false" ht="15" hidden="false" customHeight="false" outlineLevel="0" collapsed="false">
      <c r="A3" s="37" t="s">
        <v>98</v>
      </c>
      <c r="B3" s="37" t="s">
        <v>195</v>
      </c>
      <c r="C3" s="37" t="s">
        <v>193</v>
      </c>
      <c r="D3" s="37" t="s">
        <v>196</v>
      </c>
    </row>
    <row r="4" customFormat="false" ht="15" hidden="false" customHeight="false" outlineLevel="0" collapsed="false">
      <c r="A4" s="37" t="s">
        <v>99</v>
      </c>
      <c r="B4" s="37" t="s">
        <v>197</v>
      </c>
      <c r="C4" s="37" t="s">
        <v>193</v>
      </c>
      <c r="D4" s="37" t="s">
        <v>198</v>
      </c>
    </row>
    <row r="5" customFormat="false" ht="15" hidden="false" customHeight="false" outlineLevel="0" collapsed="false">
      <c r="A5" s="37" t="s">
        <v>100</v>
      </c>
      <c r="B5" s="37" t="s">
        <v>199</v>
      </c>
      <c r="C5" s="37" t="s">
        <v>200</v>
      </c>
      <c r="D5" s="37" t="s">
        <v>201</v>
      </c>
    </row>
    <row r="6" customFormat="false" ht="15" hidden="false" customHeight="false" outlineLevel="0" collapsed="false">
      <c r="A6" s="37" t="s">
        <v>101</v>
      </c>
      <c r="B6" s="37" t="s">
        <v>202</v>
      </c>
      <c r="C6" s="37" t="s">
        <v>203</v>
      </c>
      <c r="D6" s="37" t="s">
        <v>194</v>
      </c>
    </row>
    <row r="7" customFormat="false" ht="15" hidden="false" customHeight="false" outlineLevel="0" collapsed="false">
      <c r="A7" s="37" t="s">
        <v>102</v>
      </c>
      <c r="B7" s="37" t="s">
        <v>204</v>
      </c>
      <c r="C7" s="37" t="s">
        <v>203</v>
      </c>
      <c r="D7" s="37" t="s">
        <v>205</v>
      </c>
    </row>
    <row r="8" customFormat="false" ht="15" hidden="false" customHeight="false" outlineLevel="0" collapsed="false">
      <c r="A8" s="37" t="s">
        <v>103</v>
      </c>
      <c r="B8" s="37" t="s">
        <v>206</v>
      </c>
      <c r="C8" s="37" t="s">
        <v>203</v>
      </c>
      <c r="D8" s="37" t="s">
        <v>205</v>
      </c>
    </row>
    <row r="9" customFormat="false" ht="15" hidden="false" customHeight="false" outlineLevel="0" collapsed="false">
      <c r="A9" s="37" t="s">
        <v>104</v>
      </c>
      <c r="B9" s="37" t="s">
        <v>207</v>
      </c>
      <c r="C9" s="37" t="s">
        <v>208</v>
      </c>
      <c r="D9" s="37" t="s">
        <v>201</v>
      </c>
    </row>
    <row r="10" customFormat="false" ht="15" hidden="false" customHeight="false" outlineLevel="0" collapsed="false">
      <c r="A10" s="37" t="s">
        <v>105</v>
      </c>
      <c r="B10" s="37" t="s">
        <v>209</v>
      </c>
      <c r="C10" s="37" t="s">
        <v>210</v>
      </c>
      <c r="D10" s="37" t="s">
        <v>201</v>
      </c>
    </row>
    <row r="11" customFormat="false" ht="15" hidden="false" customHeight="false" outlineLevel="0" collapsed="false">
      <c r="A11" s="37" t="s">
        <v>106</v>
      </c>
      <c r="B11" s="37" t="s">
        <v>211</v>
      </c>
      <c r="C11" s="37" t="s">
        <v>212</v>
      </c>
      <c r="D11" s="37" t="s">
        <v>194</v>
      </c>
    </row>
    <row r="12" customFormat="false" ht="15" hidden="false" customHeight="false" outlineLevel="0" collapsed="false">
      <c r="A12" s="37" t="s">
        <v>107</v>
      </c>
      <c r="B12" s="37" t="s">
        <v>213</v>
      </c>
      <c r="C12" s="37" t="s">
        <v>214</v>
      </c>
      <c r="D12" s="37" t="s">
        <v>201</v>
      </c>
    </row>
    <row r="13" customFormat="false" ht="15" hidden="false" customHeight="false" outlineLevel="0" collapsed="false">
      <c r="A13" s="37" t="s">
        <v>108</v>
      </c>
      <c r="B13" s="37" t="s">
        <v>215</v>
      </c>
      <c r="C13" s="37" t="s">
        <v>216</v>
      </c>
      <c r="D13" s="37" t="s">
        <v>205</v>
      </c>
    </row>
    <row r="14" customFormat="false" ht="15" hidden="false" customHeight="false" outlineLevel="0" collapsed="false">
      <c r="A14" s="37" t="s">
        <v>109</v>
      </c>
      <c r="B14" s="37" t="s">
        <v>217</v>
      </c>
      <c r="C14" s="37" t="s">
        <v>218</v>
      </c>
      <c r="D14" s="37" t="s">
        <v>201</v>
      </c>
    </row>
    <row r="15" customFormat="false" ht="15" hidden="false" customHeight="false" outlineLevel="0" collapsed="false">
      <c r="A15" s="37" t="s">
        <v>110</v>
      </c>
      <c r="B15" s="37" t="s">
        <v>219</v>
      </c>
      <c r="C15" s="37" t="s">
        <v>220</v>
      </c>
      <c r="D15" s="37" t="s">
        <v>201</v>
      </c>
    </row>
    <row r="16" customFormat="false" ht="15" hidden="false" customHeight="false" outlineLevel="0" collapsed="false">
      <c r="A16" s="37" t="s">
        <v>111</v>
      </c>
      <c r="B16" s="37" t="s">
        <v>221</v>
      </c>
      <c r="C16" s="37" t="s">
        <v>222</v>
      </c>
      <c r="D16" s="37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9.5" hidden="false" customHeight="true" outlineLevel="0" collapsed="false">
      <c r="A1" s="11" t="s">
        <v>122</v>
      </c>
      <c r="B1" s="11" t="s">
        <v>188</v>
      </c>
      <c r="C1" s="11" t="s">
        <v>223</v>
      </c>
      <c r="D1" s="11" t="s">
        <v>224</v>
      </c>
      <c r="E1" s="11" t="s">
        <v>225</v>
      </c>
      <c r="F1" s="11" t="s">
        <v>226</v>
      </c>
    </row>
    <row r="2" customFormat="false" ht="15" hidden="false" customHeight="false" outlineLevel="0" collapsed="false">
      <c r="A2" s="37" t="s">
        <v>58</v>
      </c>
      <c r="B2" s="37" t="s">
        <v>97</v>
      </c>
      <c r="C2" s="38" t="n">
        <v>1055600</v>
      </c>
      <c r="D2" s="38" t="n">
        <v>0</v>
      </c>
      <c r="E2" s="38" t="n">
        <v>1055600</v>
      </c>
      <c r="F2" s="43" t="n">
        <v>11474</v>
      </c>
    </row>
    <row r="3" customFormat="false" ht="15" hidden="false" customHeight="false" outlineLevel="0" collapsed="false">
      <c r="A3" s="37" t="s">
        <v>58</v>
      </c>
      <c r="B3" s="37" t="s">
        <v>98</v>
      </c>
      <c r="C3" s="38" t="n">
        <v>405700</v>
      </c>
      <c r="D3" s="38" t="n">
        <v>0</v>
      </c>
      <c r="E3" s="38" t="n">
        <v>405700</v>
      </c>
      <c r="F3" s="43" t="n">
        <v>0</v>
      </c>
    </row>
    <row r="4" customFormat="false" ht="15" hidden="false" customHeight="false" outlineLevel="0" collapsed="false">
      <c r="A4" s="37" t="s">
        <v>58</v>
      </c>
      <c r="B4" s="37" t="s">
        <v>99</v>
      </c>
      <c r="C4" s="38" t="n">
        <v>385500</v>
      </c>
      <c r="D4" s="38" t="n">
        <v>0</v>
      </c>
      <c r="E4" s="38" t="n">
        <v>385500</v>
      </c>
      <c r="F4" s="43" t="n">
        <v>0</v>
      </c>
    </row>
    <row r="5" customFormat="false" ht="15" hidden="false" customHeight="false" outlineLevel="0" collapsed="false">
      <c r="A5" s="37" t="s">
        <v>58</v>
      </c>
      <c r="B5" s="37" t="s">
        <v>100</v>
      </c>
      <c r="C5" s="38" t="n">
        <v>499000</v>
      </c>
      <c r="D5" s="38" t="n">
        <v>0</v>
      </c>
      <c r="E5" s="38" t="n">
        <v>499000</v>
      </c>
      <c r="F5" s="43" t="n">
        <v>0</v>
      </c>
    </row>
    <row r="6" customFormat="false" ht="15" hidden="false" customHeight="false" outlineLevel="0" collapsed="false">
      <c r="A6" s="37" t="s">
        <v>58</v>
      </c>
      <c r="B6" s="37" t="s">
        <v>101</v>
      </c>
      <c r="C6" s="38" t="n">
        <v>620700</v>
      </c>
      <c r="D6" s="38" t="n">
        <v>0</v>
      </c>
      <c r="E6" s="38" t="n">
        <v>620700</v>
      </c>
      <c r="F6" s="43" t="n">
        <v>8388</v>
      </c>
    </row>
    <row r="7" customFormat="false" ht="15" hidden="false" customHeight="false" outlineLevel="0" collapsed="false">
      <c r="A7" s="37" t="s">
        <v>58</v>
      </c>
      <c r="B7" s="37" t="s">
        <v>102</v>
      </c>
      <c r="C7" s="38" t="n">
        <v>564400</v>
      </c>
      <c r="D7" s="38" t="n">
        <v>0</v>
      </c>
      <c r="E7" s="38" t="n">
        <v>564400</v>
      </c>
      <c r="F7" s="43" t="n">
        <v>0</v>
      </c>
    </row>
    <row r="8" customFormat="false" ht="15" hidden="false" customHeight="false" outlineLevel="0" collapsed="false">
      <c r="A8" s="37" t="s">
        <v>58</v>
      </c>
      <c r="B8" s="37" t="s">
        <v>103</v>
      </c>
      <c r="C8" s="38" t="n">
        <v>1018900</v>
      </c>
      <c r="D8" s="38" t="n">
        <v>0</v>
      </c>
      <c r="E8" s="38" t="n">
        <v>1018900</v>
      </c>
      <c r="F8" s="43" t="n">
        <v>0</v>
      </c>
    </row>
    <row r="9" customFormat="false" ht="15" hidden="false" customHeight="false" outlineLevel="0" collapsed="false">
      <c r="A9" s="37" t="s">
        <v>58</v>
      </c>
      <c r="B9" s="37" t="s">
        <v>104</v>
      </c>
      <c r="C9" s="38" t="n">
        <v>820600</v>
      </c>
      <c r="D9" s="38" t="n">
        <v>0</v>
      </c>
      <c r="E9" s="38" t="n">
        <v>820600</v>
      </c>
      <c r="F9" s="43" t="n">
        <v>0</v>
      </c>
    </row>
    <row r="10" customFormat="false" ht="15" hidden="false" customHeight="false" outlineLevel="0" collapsed="false">
      <c r="A10" s="37" t="s">
        <v>58</v>
      </c>
      <c r="B10" s="37" t="s">
        <v>105</v>
      </c>
      <c r="C10" s="38" t="n">
        <v>1085900</v>
      </c>
      <c r="D10" s="38" t="n">
        <v>121300</v>
      </c>
      <c r="E10" s="38" t="n">
        <v>1207200</v>
      </c>
      <c r="F10" s="43" t="n">
        <v>0</v>
      </c>
    </row>
    <row r="11" customFormat="false" ht="15" hidden="false" customHeight="false" outlineLevel="0" collapsed="false">
      <c r="A11" s="37" t="s">
        <v>58</v>
      </c>
      <c r="B11" s="37" t="s">
        <v>106</v>
      </c>
      <c r="C11" s="38" t="n">
        <v>487700</v>
      </c>
      <c r="D11" s="38" t="n">
        <v>41900</v>
      </c>
      <c r="E11" s="38" t="n">
        <v>529600</v>
      </c>
      <c r="F11" s="43" t="n">
        <v>7459</v>
      </c>
    </row>
    <row r="12" customFormat="false" ht="15" hidden="false" customHeight="false" outlineLevel="0" collapsed="false">
      <c r="A12" s="37" t="s">
        <v>58</v>
      </c>
      <c r="B12" s="37" t="s">
        <v>107</v>
      </c>
      <c r="C12" s="38" t="n">
        <v>887800</v>
      </c>
      <c r="D12" s="38" t="n">
        <v>0</v>
      </c>
      <c r="E12" s="38" t="n">
        <v>887800</v>
      </c>
      <c r="F12" s="43" t="n">
        <v>0</v>
      </c>
    </row>
    <row r="13" customFormat="false" ht="15" hidden="false" customHeight="false" outlineLevel="0" collapsed="false">
      <c r="A13" s="37" t="s">
        <v>58</v>
      </c>
      <c r="B13" s="37" t="s">
        <v>108</v>
      </c>
      <c r="C13" s="38" t="n">
        <v>584500</v>
      </c>
      <c r="D13" s="38" t="n">
        <v>357000</v>
      </c>
      <c r="E13" s="38" t="n">
        <v>941500</v>
      </c>
      <c r="F13" s="43" t="n">
        <v>0</v>
      </c>
    </row>
    <row r="14" customFormat="false" ht="15" hidden="false" customHeight="false" outlineLevel="0" collapsed="false">
      <c r="A14" s="37" t="s">
        <v>58</v>
      </c>
      <c r="B14" s="37" t="s">
        <v>109</v>
      </c>
      <c r="C14" s="38" t="n">
        <v>1215700</v>
      </c>
      <c r="D14" s="38" t="n">
        <v>0</v>
      </c>
      <c r="E14" s="38" t="n">
        <v>1215700</v>
      </c>
      <c r="F14" s="43" t="n">
        <v>0</v>
      </c>
    </row>
    <row r="15" customFormat="false" ht="15" hidden="false" customHeight="false" outlineLevel="0" collapsed="false">
      <c r="A15" s="37" t="s">
        <v>58</v>
      </c>
      <c r="B15" s="37" t="s">
        <v>110</v>
      </c>
      <c r="C15" s="38" t="n">
        <v>2094400</v>
      </c>
      <c r="D15" s="38" t="n">
        <v>0</v>
      </c>
      <c r="E15" s="38" t="n">
        <v>2094400</v>
      </c>
      <c r="F15" s="43" t="n">
        <v>0</v>
      </c>
    </row>
    <row r="16" customFormat="false" ht="15" hidden="false" customHeight="false" outlineLevel="0" collapsed="false">
      <c r="A16" s="37" t="s">
        <v>58</v>
      </c>
      <c r="B16" s="37" t="s">
        <v>111</v>
      </c>
      <c r="C16" s="38" t="n">
        <v>1564500</v>
      </c>
      <c r="D16" s="38" t="n">
        <v>0</v>
      </c>
      <c r="E16" s="38" t="n">
        <v>1564500</v>
      </c>
      <c r="F16" s="43" t="n">
        <v>0</v>
      </c>
    </row>
    <row r="17" customFormat="false" ht="15" hidden="false" customHeight="false" outlineLevel="0" collapsed="false">
      <c r="A17" s="37" t="s">
        <v>59</v>
      </c>
      <c r="B17" s="37" t="s">
        <v>97</v>
      </c>
      <c r="C17" s="38" t="n">
        <v>1406900</v>
      </c>
      <c r="D17" s="38" t="n">
        <v>0</v>
      </c>
      <c r="E17" s="38" t="n">
        <v>1406900</v>
      </c>
      <c r="F17" s="43" t="n">
        <v>15292</v>
      </c>
    </row>
    <row r="18" customFormat="false" ht="15" hidden="false" customHeight="false" outlineLevel="0" collapsed="false">
      <c r="A18" s="37" t="s">
        <v>59</v>
      </c>
      <c r="B18" s="37" t="s">
        <v>98</v>
      </c>
      <c r="C18" s="38" t="n">
        <v>580100</v>
      </c>
      <c r="D18" s="38" t="n">
        <v>313000</v>
      </c>
      <c r="E18" s="38" t="n">
        <v>893100</v>
      </c>
      <c r="F18" s="43" t="n">
        <v>0</v>
      </c>
    </row>
    <row r="19" customFormat="false" ht="15" hidden="false" customHeight="false" outlineLevel="0" collapsed="false">
      <c r="A19" s="37" t="s">
        <v>59</v>
      </c>
      <c r="B19" s="37" t="s">
        <v>99</v>
      </c>
      <c r="C19" s="38" t="n">
        <v>790300</v>
      </c>
      <c r="D19" s="38" t="n">
        <v>0</v>
      </c>
      <c r="E19" s="38" t="n">
        <v>790300</v>
      </c>
      <c r="F19" s="43" t="n">
        <v>0</v>
      </c>
    </row>
    <row r="20" customFormat="false" ht="15" hidden="false" customHeight="false" outlineLevel="0" collapsed="false">
      <c r="A20" s="37" t="s">
        <v>59</v>
      </c>
      <c r="B20" s="37" t="s">
        <v>100</v>
      </c>
      <c r="C20" s="38" t="n">
        <v>1483000</v>
      </c>
      <c r="D20" s="38" t="n">
        <v>145300</v>
      </c>
      <c r="E20" s="38" t="n">
        <v>1628300</v>
      </c>
      <c r="F20" s="43" t="n">
        <v>0</v>
      </c>
    </row>
    <row r="21" customFormat="false" ht="15" hidden="false" customHeight="false" outlineLevel="0" collapsed="false">
      <c r="A21" s="37" t="s">
        <v>59</v>
      </c>
      <c r="B21" s="37" t="s">
        <v>101</v>
      </c>
      <c r="C21" s="38" t="n">
        <v>1211100</v>
      </c>
      <c r="D21" s="38" t="n">
        <v>0</v>
      </c>
      <c r="E21" s="38" t="n">
        <v>1211100</v>
      </c>
      <c r="F21" s="43" t="n">
        <v>16366</v>
      </c>
    </row>
    <row r="22" customFormat="false" ht="15" hidden="false" customHeight="false" outlineLevel="0" collapsed="false">
      <c r="A22" s="37" t="s">
        <v>59</v>
      </c>
      <c r="B22" s="37" t="s">
        <v>102</v>
      </c>
      <c r="C22" s="38" t="n">
        <v>989400</v>
      </c>
      <c r="D22" s="38" t="n">
        <v>260000</v>
      </c>
      <c r="E22" s="38" t="n">
        <v>1249400</v>
      </c>
      <c r="F22" s="43" t="n">
        <v>0</v>
      </c>
    </row>
    <row r="23" customFormat="false" ht="15" hidden="false" customHeight="false" outlineLevel="0" collapsed="false">
      <c r="A23" s="37" t="s">
        <v>59</v>
      </c>
      <c r="B23" s="37" t="s">
        <v>103</v>
      </c>
      <c r="C23" s="38" t="n">
        <v>1614300</v>
      </c>
      <c r="D23" s="38" t="n">
        <v>0</v>
      </c>
      <c r="E23" s="38" t="n">
        <v>1614300</v>
      </c>
      <c r="F23" s="43" t="n">
        <v>0</v>
      </c>
    </row>
    <row r="24" customFormat="false" ht="15" hidden="false" customHeight="false" outlineLevel="0" collapsed="false">
      <c r="A24" s="37" t="s">
        <v>59</v>
      </c>
      <c r="B24" s="37" t="s">
        <v>105</v>
      </c>
      <c r="C24" s="38" t="n">
        <v>3037500</v>
      </c>
      <c r="D24" s="38" t="n">
        <v>0</v>
      </c>
      <c r="E24" s="38" t="n">
        <v>3037500</v>
      </c>
      <c r="F24" s="43" t="n">
        <v>0</v>
      </c>
    </row>
    <row r="25" customFormat="false" ht="15" hidden="false" customHeight="false" outlineLevel="0" collapsed="false">
      <c r="A25" s="37" t="s">
        <v>59</v>
      </c>
      <c r="B25" s="37" t="s">
        <v>106</v>
      </c>
      <c r="C25" s="38" t="n">
        <v>359000</v>
      </c>
      <c r="D25" s="38" t="n">
        <v>0</v>
      </c>
      <c r="E25" s="38" t="n">
        <v>359000</v>
      </c>
      <c r="F25" s="43" t="n">
        <v>5056</v>
      </c>
    </row>
    <row r="26" customFormat="false" ht="15" hidden="false" customHeight="false" outlineLevel="0" collapsed="false">
      <c r="A26" s="37" t="s">
        <v>59</v>
      </c>
      <c r="B26" s="37" t="s">
        <v>107</v>
      </c>
      <c r="C26" s="38" t="n">
        <v>1116300</v>
      </c>
      <c r="D26" s="38" t="n">
        <v>0</v>
      </c>
      <c r="E26" s="38" t="n">
        <v>1116300</v>
      </c>
      <c r="F26" s="43" t="n">
        <v>0</v>
      </c>
    </row>
    <row r="27" customFormat="false" ht="15" hidden="false" customHeight="false" outlineLevel="0" collapsed="false">
      <c r="A27" s="37" t="s">
        <v>59</v>
      </c>
      <c r="B27" s="37" t="s">
        <v>108</v>
      </c>
      <c r="C27" s="38" t="n">
        <v>389800</v>
      </c>
      <c r="D27" s="38" t="n">
        <v>0</v>
      </c>
      <c r="E27" s="38" t="n">
        <v>389800</v>
      </c>
      <c r="F27" s="43" t="n">
        <v>0</v>
      </c>
    </row>
    <row r="28" customFormat="false" ht="15" hidden="false" customHeight="false" outlineLevel="0" collapsed="false">
      <c r="A28" s="37" t="s">
        <v>59</v>
      </c>
      <c r="B28" s="37" t="s">
        <v>109</v>
      </c>
      <c r="C28" s="38" t="n">
        <v>737800</v>
      </c>
      <c r="D28" s="38" t="n">
        <v>0</v>
      </c>
      <c r="E28" s="38" t="n">
        <v>737800</v>
      </c>
      <c r="F28" s="43" t="n">
        <v>0</v>
      </c>
    </row>
    <row r="29" customFormat="false" ht="15" hidden="false" customHeight="false" outlineLevel="0" collapsed="false">
      <c r="A29" s="37" t="s">
        <v>59</v>
      </c>
      <c r="B29" s="37" t="s">
        <v>110</v>
      </c>
      <c r="C29" s="38" t="n">
        <v>2603000</v>
      </c>
      <c r="D29" s="38" t="n">
        <v>0</v>
      </c>
      <c r="E29" s="38" t="n">
        <v>2603000</v>
      </c>
      <c r="F29" s="43" t="n">
        <v>0</v>
      </c>
    </row>
    <row r="30" customFormat="false" ht="15" hidden="false" customHeight="false" outlineLevel="0" collapsed="false">
      <c r="A30" s="37" t="s">
        <v>59</v>
      </c>
      <c r="B30" s="37" t="s">
        <v>111</v>
      </c>
      <c r="C30" s="38" t="n">
        <v>3048400</v>
      </c>
      <c r="D30" s="38" t="n">
        <v>0</v>
      </c>
      <c r="E30" s="38" t="n">
        <v>3048400</v>
      </c>
      <c r="F30" s="43" t="n">
        <v>0</v>
      </c>
    </row>
    <row r="31" customFormat="false" ht="15" hidden="false" customHeight="false" outlineLevel="0" collapsed="false">
      <c r="A31" s="37" t="s">
        <v>60</v>
      </c>
      <c r="B31" s="37" t="s">
        <v>97</v>
      </c>
      <c r="C31" s="38" t="n">
        <v>1243700</v>
      </c>
      <c r="D31" s="38" t="n">
        <v>25100</v>
      </c>
      <c r="E31" s="38" t="n">
        <v>1268800</v>
      </c>
      <c r="F31" s="43" t="n">
        <v>13791</v>
      </c>
    </row>
    <row r="32" customFormat="false" ht="15" hidden="false" customHeight="false" outlineLevel="0" collapsed="false">
      <c r="A32" s="37" t="s">
        <v>60</v>
      </c>
      <c r="B32" s="37" t="s">
        <v>98</v>
      </c>
      <c r="C32" s="38" t="n">
        <v>445000</v>
      </c>
      <c r="D32" s="38" t="n">
        <v>0</v>
      </c>
      <c r="E32" s="38" t="n">
        <v>445000</v>
      </c>
      <c r="F32" s="43" t="n">
        <v>0</v>
      </c>
    </row>
    <row r="33" customFormat="false" ht="15" hidden="false" customHeight="false" outlineLevel="0" collapsed="false">
      <c r="A33" s="37" t="s">
        <v>60</v>
      </c>
      <c r="B33" s="37" t="s">
        <v>99</v>
      </c>
      <c r="C33" s="38" t="n">
        <v>362600</v>
      </c>
      <c r="D33" s="38" t="n">
        <v>0</v>
      </c>
      <c r="E33" s="38" t="n">
        <v>362600</v>
      </c>
      <c r="F33" s="43" t="n">
        <v>0</v>
      </c>
    </row>
    <row r="34" customFormat="false" ht="15" hidden="false" customHeight="false" outlineLevel="0" collapsed="false">
      <c r="A34" s="37" t="s">
        <v>60</v>
      </c>
      <c r="B34" s="37" t="s">
        <v>100</v>
      </c>
      <c r="C34" s="38" t="n">
        <v>542400</v>
      </c>
      <c r="D34" s="38" t="n">
        <v>0</v>
      </c>
      <c r="E34" s="38" t="n">
        <v>542400</v>
      </c>
      <c r="F34" s="43" t="n">
        <v>0</v>
      </c>
    </row>
    <row r="35" customFormat="false" ht="15" hidden="false" customHeight="false" outlineLevel="0" collapsed="false">
      <c r="A35" s="37" t="s">
        <v>60</v>
      </c>
      <c r="B35" s="37" t="s">
        <v>101</v>
      </c>
      <c r="C35" s="38" t="n">
        <v>625800</v>
      </c>
      <c r="D35" s="38" t="n">
        <v>0</v>
      </c>
      <c r="E35" s="38" t="n">
        <v>625800</v>
      </c>
      <c r="F35" s="43" t="n">
        <v>8457</v>
      </c>
    </row>
    <row r="36" customFormat="false" ht="15" hidden="false" customHeight="false" outlineLevel="0" collapsed="false">
      <c r="A36" s="37" t="s">
        <v>60</v>
      </c>
      <c r="B36" s="37" t="s">
        <v>102</v>
      </c>
      <c r="C36" s="38" t="n">
        <v>525100</v>
      </c>
      <c r="D36" s="38" t="n">
        <v>0</v>
      </c>
      <c r="E36" s="38" t="n">
        <v>525100</v>
      </c>
      <c r="F36" s="43" t="n">
        <v>0</v>
      </c>
    </row>
    <row r="37" customFormat="false" ht="15" hidden="false" customHeight="false" outlineLevel="0" collapsed="false">
      <c r="A37" s="37" t="s">
        <v>60</v>
      </c>
      <c r="B37" s="37" t="s">
        <v>103</v>
      </c>
      <c r="C37" s="38" t="n">
        <v>850700</v>
      </c>
      <c r="D37" s="38" t="n">
        <v>0</v>
      </c>
      <c r="E37" s="38" t="n">
        <v>850700</v>
      </c>
      <c r="F37" s="43" t="n">
        <v>0</v>
      </c>
    </row>
    <row r="38" customFormat="false" ht="15" hidden="false" customHeight="false" outlineLevel="0" collapsed="false">
      <c r="A38" s="37" t="s">
        <v>60</v>
      </c>
      <c r="B38" s="37" t="s">
        <v>104</v>
      </c>
      <c r="C38" s="38" t="n">
        <v>989600</v>
      </c>
      <c r="D38" s="38" t="n">
        <v>0</v>
      </c>
      <c r="E38" s="38" t="n">
        <v>989600</v>
      </c>
      <c r="F38" s="43" t="n">
        <v>0</v>
      </c>
    </row>
    <row r="39" customFormat="false" ht="15" hidden="false" customHeight="false" outlineLevel="0" collapsed="false">
      <c r="A39" s="37" t="s">
        <v>60</v>
      </c>
      <c r="B39" s="37" t="s">
        <v>105</v>
      </c>
      <c r="C39" s="38" t="n">
        <v>1228200</v>
      </c>
      <c r="D39" s="38" t="n">
        <v>0</v>
      </c>
      <c r="E39" s="38" t="n">
        <v>1228200</v>
      </c>
      <c r="F39" s="43" t="n">
        <v>0</v>
      </c>
    </row>
    <row r="40" customFormat="false" ht="15" hidden="false" customHeight="false" outlineLevel="0" collapsed="false">
      <c r="A40" s="37" t="s">
        <v>60</v>
      </c>
      <c r="B40" s="37" t="s">
        <v>106</v>
      </c>
      <c r="C40" s="38" t="n">
        <v>606300</v>
      </c>
      <c r="D40" s="38" t="n">
        <v>0</v>
      </c>
      <c r="E40" s="38" t="n">
        <v>606300</v>
      </c>
      <c r="F40" s="43" t="n">
        <v>8539</v>
      </c>
    </row>
    <row r="41" customFormat="false" ht="15" hidden="false" customHeight="false" outlineLevel="0" collapsed="false">
      <c r="A41" s="37" t="s">
        <v>60</v>
      </c>
      <c r="B41" s="37" t="s">
        <v>107</v>
      </c>
      <c r="C41" s="38" t="n">
        <v>973800</v>
      </c>
      <c r="D41" s="38" t="n">
        <v>177600</v>
      </c>
      <c r="E41" s="38" t="n">
        <v>1151400</v>
      </c>
      <c r="F41" s="43" t="n">
        <v>0</v>
      </c>
    </row>
    <row r="42" customFormat="false" ht="15" hidden="false" customHeight="false" outlineLevel="0" collapsed="false">
      <c r="A42" s="37" t="s">
        <v>60</v>
      </c>
      <c r="B42" s="37" t="s">
        <v>108</v>
      </c>
      <c r="C42" s="38" t="n">
        <v>635200</v>
      </c>
      <c r="D42" s="38" t="n">
        <v>0</v>
      </c>
      <c r="E42" s="38" t="n">
        <v>635200</v>
      </c>
      <c r="F42" s="43" t="n">
        <v>0</v>
      </c>
    </row>
    <row r="43" customFormat="false" ht="15" hidden="false" customHeight="false" outlineLevel="0" collapsed="false">
      <c r="A43" s="37" t="s">
        <v>60</v>
      </c>
      <c r="B43" s="37" t="s">
        <v>109</v>
      </c>
      <c r="C43" s="38" t="n">
        <v>1354700</v>
      </c>
      <c r="D43" s="38" t="n">
        <v>84600</v>
      </c>
      <c r="E43" s="38" t="n">
        <v>1439300</v>
      </c>
      <c r="F43" s="43" t="n">
        <v>0</v>
      </c>
    </row>
    <row r="44" customFormat="false" ht="15" hidden="false" customHeight="false" outlineLevel="0" collapsed="false">
      <c r="A44" s="37" t="s">
        <v>60</v>
      </c>
      <c r="B44" s="37" t="s">
        <v>110</v>
      </c>
      <c r="C44" s="38" t="n">
        <v>2291900</v>
      </c>
      <c r="D44" s="38" t="n">
        <v>0</v>
      </c>
      <c r="E44" s="38" t="n">
        <v>2291900</v>
      </c>
      <c r="F44" s="43" t="n">
        <v>0</v>
      </c>
    </row>
    <row r="45" customFormat="false" ht="15" hidden="false" customHeight="false" outlineLevel="0" collapsed="false">
      <c r="A45" s="37" t="s">
        <v>60</v>
      </c>
      <c r="B45" s="37" t="s">
        <v>111</v>
      </c>
      <c r="C45" s="38" t="n">
        <v>1742900</v>
      </c>
      <c r="D45" s="38" t="n">
        <v>0</v>
      </c>
      <c r="E45" s="38" t="n">
        <v>1742900</v>
      </c>
      <c r="F45" s="43" t="n">
        <v>0</v>
      </c>
    </row>
    <row r="46" customFormat="false" ht="15" hidden="false" customHeight="false" outlineLevel="0" collapsed="false">
      <c r="A46" s="37" t="s">
        <v>61</v>
      </c>
      <c r="B46" s="37" t="s">
        <v>97</v>
      </c>
      <c r="C46" s="38" t="n">
        <v>768500</v>
      </c>
      <c r="D46" s="38" t="n">
        <v>203100</v>
      </c>
      <c r="E46" s="38" t="n">
        <v>971600</v>
      </c>
      <c r="F46" s="43" t="n">
        <v>10561</v>
      </c>
    </row>
    <row r="47" customFormat="false" ht="15" hidden="false" customHeight="false" outlineLevel="0" collapsed="false">
      <c r="A47" s="37" t="s">
        <v>61</v>
      </c>
      <c r="B47" s="37" t="s">
        <v>98</v>
      </c>
      <c r="C47" s="38" t="n">
        <v>246700</v>
      </c>
      <c r="D47" s="38" t="n">
        <v>0</v>
      </c>
      <c r="E47" s="38" t="n">
        <v>246700</v>
      </c>
      <c r="F47" s="43" t="n">
        <v>0</v>
      </c>
    </row>
    <row r="48" customFormat="false" ht="15" hidden="false" customHeight="false" outlineLevel="0" collapsed="false">
      <c r="A48" s="37" t="s">
        <v>61</v>
      </c>
      <c r="B48" s="37" t="s">
        <v>99</v>
      </c>
      <c r="C48" s="38" t="n">
        <v>340900</v>
      </c>
      <c r="D48" s="38" t="n">
        <v>35700</v>
      </c>
      <c r="E48" s="38" t="n">
        <v>376600</v>
      </c>
      <c r="F48" s="43" t="n">
        <v>0</v>
      </c>
    </row>
    <row r="49" customFormat="false" ht="15" hidden="false" customHeight="false" outlineLevel="0" collapsed="false">
      <c r="A49" s="37" t="s">
        <v>61</v>
      </c>
      <c r="B49" s="37" t="s">
        <v>100</v>
      </c>
      <c r="C49" s="38" t="n">
        <v>642100</v>
      </c>
      <c r="D49" s="38" t="n">
        <v>0</v>
      </c>
      <c r="E49" s="38" t="n">
        <v>642100</v>
      </c>
      <c r="F49" s="43" t="n">
        <v>0</v>
      </c>
    </row>
    <row r="50" customFormat="false" ht="15" hidden="false" customHeight="false" outlineLevel="0" collapsed="false">
      <c r="A50" s="37" t="s">
        <v>61</v>
      </c>
      <c r="B50" s="37" t="s">
        <v>101</v>
      </c>
      <c r="C50" s="38" t="n">
        <v>523800</v>
      </c>
      <c r="D50" s="38" t="n">
        <v>0</v>
      </c>
      <c r="E50" s="38" t="n">
        <v>523800</v>
      </c>
      <c r="F50" s="43" t="n">
        <v>7078</v>
      </c>
    </row>
    <row r="51" customFormat="false" ht="15" hidden="false" customHeight="false" outlineLevel="0" collapsed="false">
      <c r="A51" s="37" t="s">
        <v>61</v>
      </c>
      <c r="B51" s="37" t="s">
        <v>102</v>
      </c>
      <c r="C51" s="38" t="n">
        <v>471200</v>
      </c>
      <c r="D51" s="38" t="n">
        <v>109700</v>
      </c>
      <c r="E51" s="38" t="n">
        <v>580900</v>
      </c>
      <c r="F51" s="43" t="n">
        <v>0</v>
      </c>
    </row>
    <row r="52" customFormat="false" ht="15" hidden="false" customHeight="false" outlineLevel="0" collapsed="false">
      <c r="A52" s="37" t="s">
        <v>61</v>
      </c>
      <c r="B52" s="37" t="s">
        <v>103</v>
      </c>
      <c r="C52" s="38" t="n">
        <v>665100</v>
      </c>
      <c r="D52" s="38" t="n">
        <v>0</v>
      </c>
      <c r="E52" s="38" t="n">
        <v>665100</v>
      </c>
      <c r="F52" s="43" t="n">
        <v>0</v>
      </c>
    </row>
    <row r="53" customFormat="false" ht="15" hidden="false" customHeight="false" outlineLevel="0" collapsed="false">
      <c r="A53" s="37" t="s">
        <v>61</v>
      </c>
      <c r="B53" s="37" t="s">
        <v>105</v>
      </c>
      <c r="C53" s="38" t="n">
        <v>1231200</v>
      </c>
      <c r="D53" s="38" t="n">
        <v>0</v>
      </c>
      <c r="E53" s="38" t="n">
        <v>1231200</v>
      </c>
      <c r="F53" s="43" t="n">
        <v>0</v>
      </c>
    </row>
    <row r="54" customFormat="false" ht="15" hidden="false" customHeight="false" outlineLevel="0" collapsed="false">
      <c r="A54" s="37" t="s">
        <v>61</v>
      </c>
      <c r="B54" s="37" t="s">
        <v>106</v>
      </c>
      <c r="C54" s="38" t="n">
        <v>176500</v>
      </c>
      <c r="D54" s="38" t="n">
        <v>0</v>
      </c>
      <c r="E54" s="38" t="n">
        <v>176500</v>
      </c>
      <c r="F54" s="43" t="n">
        <v>2486</v>
      </c>
    </row>
    <row r="55" customFormat="false" ht="15" hidden="false" customHeight="false" outlineLevel="0" collapsed="false">
      <c r="A55" s="37" t="s">
        <v>61</v>
      </c>
      <c r="B55" s="37" t="s">
        <v>107</v>
      </c>
      <c r="C55" s="38" t="n">
        <v>528300</v>
      </c>
      <c r="D55" s="38" t="n">
        <v>0</v>
      </c>
      <c r="E55" s="38" t="n">
        <v>528300</v>
      </c>
      <c r="F55" s="43" t="n">
        <v>0</v>
      </c>
    </row>
    <row r="56" customFormat="false" ht="15" hidden="false" customHeight="false" outlineLevel="0" collapsed="false">
      <c r="A56" s="37" t="s">
        <v>61</v>
      </c>
      <c r="B56" s="37" t="s">
        <v>108</v>
      </c>
      <c r="C56" s="38" t="n">
        <v>153800</v>
      </c>
      <c r="D56" s="38" t="n">
        <v>0</v>
      </c>
      <c r="E56" s="38" t="n">
        <v>153800</v>
      </c>
      <c r="F56" s="43" t="n">
        <v>0</v>
      </c>
    </row>
    <row r="57" customFormat="false" ht="15" hidden="false" customHeight="false" outlineLevel="0" collapsed="false">
      <c r="A57" s="37" t="s">
        <v>61</v>
      </c>
      <c r="B57" s="37" t="s">
        <v>109</v>
      </c>
      <c r="C57" s="38" t="n">
        <v>294700</v>
      </c>
      <c r="D57" s="38" t="n">
        <v>0</v>
      </c>
      <c r="E57" s="38" t="n">
        <v>294700</v>
      </c>
      <c r="F57" s="43" t="n">
        <v>0</v>
      </c>
    </row>
    <row r="58" customFormat="false" ht="15" hidden="false" customHeight="false" outlineLevel="0" collapsed="false">
      <c r="A58" s="37" t="s">
        <v>61</v>
      </c>
      <c r="B58" s="37" t="s">
        <v>110</v>
      </c>
      <c r="C58" s="38" t="n">
        <v>1203300</v>
      </c>
      <c r="D58" s="38" t="n">
        <v>0</v>
      </c>
      <c r="E58" s="38" t="n">
        <v>1203300</v>
      </c>
      <c r="F58" s="43" t="n">
        <v>0</v>
      </c>
    </row>
    <row r="59" customFormat="false" ht="15" hidden="false" customHeight="false" outlineLevel="0" collapsed="false">
      <c r="A59" s="37" t="s">
        <v>61</v>
      </c>
      <c r="B59" s="37" t="s">
        <v>111</v>
      </c>
      <c r="C59" s="38" t="n">
        <v>1333800</v>
      </c>
      <c r="D59" s="38" t="n">
        <v>0</v>
      </c>
      <c r="E59" s="38" t="n">
        <v>1333800</v>
      </c>
      <c r="F59" s="43" t="n">
        <v>0</v>
      </c>
    </row>
    <row r="60" customFormat="false" ht="15" hidden="false" customHeight="false" outlineLevel="0" collapsed="false">
      <c r="A60" s="37" t="s">
        <v>62</v>
      </c>
      <c r="B60" s="37" t="s">
        <v>97</v>
      </c>
      <c r="C60" s="38" t="n">
        <v>1916200</v>
      </c>
      <c r="D60" s="38" t="n">
        <v>31300</v>
      </c>
      <c r="E60" s="38" t="n">
        <v>1947500</v>
      </c>
      <c r="F60" s="43" t="n">
        <v>21168</v>
      </c>
    </row>
    <row r="61" customFormat="false" ht="15" hidden="false" customHeight="false" outlineLevel="0" collapsed="false">
      <c r="A61" s="37" t="s">
        <v>62</v>
      </c>
      <c r="B61" s="37" t="s">
        <v>98</v>
      </c>
      <c r="C61" s="38" t="n">
        <v>564300</v>
      </c>
      <c r="D61" s="38" t="n">
        <v>309100</v>
      </c>
      <c r="E61" s="38" t="n">
        <v>873400</v>
      </c>
      <c r="F61" s="43" t="n">
        <v>0</v>
      </c>
    </row>
    <row r="62" customFormat="false" ht="15" hidden="false" customHeight="false" outlineLevel="0" collapsed="false">
      <c r="A62" s="37" t="s">
        <v>62</v>
      </c>
      <c r="B62" s="37" t="s">
        <v>99</v>
      </c>
      <c r="C62" s="38" t="n">
        <v>584000</v>
      </c>
      <c r="D62" s="38" t="n">
        <v>0</v>
      </c>
      <c r="E62" s="38" t="n">
        <v>584000</v>
      </c>
      <c r="F62" s="43" t="n">
        <v>0</v>
      </c>
    </row>
    <row r="63" customFormat="false" ht="15" hidden="false" customHeight="false" outlineLevel="0" collapsed="false">
      <c r="A63" s="37" t="s">
        <v>62</v>
      </c>
      <c r="B63" s="37" t="s">
        <v>100</v>
      </c>
      <c r="C63" s="38" t="n">
        <v>1048800</v>
      </c>
      <c r="D63" s="38" t="n">
        <v>0</v>
      </c>
      <c r="E63" s="38" t="n">
        <v>1048800</v>
      </c>
      <c r="F63" s="43" t="n">
        <v>0</v>
      </c>
    </row>
    <row r="64" customFormat="false" ht="15" hidden="false" customHeight="false" outlineLevel="0" collapsed="false">
      <c r="A64" s="37" t="s">
        <v>62</v>
      </c>
      <c r="B64" s="37" t="s">
        <v>101</v>
      </c>
      <c r="C64" s="38" t="n">
        <v>1195800</v>
      </c>
      <c r="D64" s="38" t="n">
        <v>0</v>
      </c>
      <c r="E64" s="38" t="n">
        <v>1195800</v>
      </c>
      <c r="F64" s="43" t="n">
        <v>16159</v>
      </c>
    </row>
    <row r="65" customFormat="false" ht="15" hidden="false" customHeight="false" outlineLevel="0" collapsed="false">
      <c r="A65" s="37" t="s">
        <v>62</v>
      </c>
      <c r="B65" s="37" t="s">
        <v>102</v>
      </c>
      <c r="C65" s="38" t="n">
        <v>822400</v>
      </c>
      <c r="D65" s="38" t="n">
        <v>0</v>
      </c>
      <c r="E65" s="38" t="n">
        <v>822400</v>
      </c>
      <c r="F65" s="43" t="n">
        <v>0</v>
      </c>
    </row>
    <row r="66" customFormat="false" ht="15" hidden="false" customHeight="false" outlineLevel="0" collapsed="false">
      <c r="A66" s="37" t="s">
        <v>62</v>
      </c>
      <c r="B66" s="37" t="s">
        <v>103</v>
      </c>
      <c r="C66" s="38" t="n">
        <v>1676400</v>
      </c>
      <c r="D66" s="38" t="n">
        <v>0</v>
      </c>
      <c r="E66" s="38" t="n">
        <v>1676400</v>
      </c>
      <c r="F66" s="43" t="n">
        <v>0</v>
      </c>
    </row>
    <row r="67" customFormat="false" ht="15" hidden="false" customHeight="false" outlineLevel="0" collapsed="false">
      <c r="A67" s="37" t="s">
        <v>62</v>
      </c>
      <c r="B67" s="37" t="s">
        <v>104</v>
      </c>
      <c r="C67" s="38" t="n">
        <v>750400</v>
      </c>
      <c r="D67" s="38" t="n">
        <v>0</v>
      </c>
      <c r="E67" s="38" t="n">
        <v>750400</v>
      </c>
      <c r="F67" s="43" t="n">
        <v>0</v>
      </c>
    </row>
    <row r="68" customFormat="false" ht="15" hidden="false" customHeight="false" outlineLevel="0" collapsed="false">
      <c r="A68" s="37" t="s">
        <v>62</v>
      </c>
      <c r="B68" s="37" t="s">
        <v>105</v>
      </c>
      <c r="C68" s="38" t="n">
        <v>2435200</v>
      </c>
      <c r="D68" s="38" t="n">
        <v>0</v>
      </c>
      <c r="E68" s="38" t="n">
        <v>2435200</v>
      </c>
      <c r="F68" s="43" t="n">
        <v>0</v>
      </c>
    </row>
    <row r="69" customFormat="false" ht="15" hidden="false" customHeight="false" outlineLevel="0" collapsed="false">
      <c r="A69" s="37" t="s">
        <v>62</v>
      </c>
      <c r="B69" s="37" t="s">
        <v>106</v>
      </c>
      <c r="C69" s="38" t="n">
        <v>921800</v>
      </c>
      <c r="D69" s="38" t="n">
        <v>0</v>
      </c>
      <c r="E69" s="38" t="n">
        <v>921800</v>
      </c>
      <c r="F69" s="43" t="n">
        <v>12983</v>
      </c>
    </row>
    <row r="70" customFormat="false" ht="15" hidden="false" customHeight="false" outlineLevel="0" collapsed="false">
      <c r="A70" s="37" t="s">
        <v>62</v>
      </c>
      <c r="B70" s="37" t="s">
        <v>107</v>
      </c>
      <c r="C70" s="38" t="n">
        <v>1544900</v>
      </c>
      <c r="D70" s="38" t="n">
        <v>0</v>
      </c>
      <c r="E70" s="38" t="n">
        <v>1544900</v>
      </c>
      <c r="F70" s="43" t="n">
        <v>0</v>
      </c>
    </row>
    <row r="71" customFormat="false" ht="15" hidden="false" customHeight="false" outlineLevel="0" collapsed="false">
      <c r="A71" s="37" t="s">
        <v>62</v>
      </c>
      <c r="B71" s="37" t="s">
        <v>108</v>
      </c>
      <c r="C71" s="38" t="n">
        <v>893600</v>
      </c>
      <c r="D71" s="38" t="n">
        <v>0</v>
      </c>
      <c r="E71" s="38" t="n">
        <v>893600</v>
      </c>
      <c r="F71" s="43" t="n">
        <v>0</v>
      </c>
    </row>
    <row r="72" customFormat="false" ht="15" hidden="false" customHeight="false" outlineLevel="0" collapsed="false">
      <c r="A72" s="37" t="s">
        <v>62</v>
      </c>
      <c r="B72" s="37" t="s">
        <v>109</v>
      </c>
      <c r="C72" s="38" t="n">
        <v>1997100</v>
      </c>
      <c r="D72" s="38" t="n">
        <v>492700</v>
      </c>
      <c r="E72" s="38" t="n">
        <v>2489800</v>
      </c>
      <c r="F72" s="43" t="n">
        <v>0</v>
      </c>
    </row>
    <row r="73" customFormat="false" ht="15" hidden="false" customHeight="false" outlineLevel="0" collapsed="false">
      <c r="A73" s="37" t="s">
        <v>62</v>
      </c>
      <c r="B73" s="37" t="s">
        <v>110</v>
      </c>
      <c r="C73" s="38" t="n">
        <v>3272600</v>
      </c>
      <c r="D73" s="38" t="n">
        <v>0</v>
      </c>
      <c r="E73" s="38" t="n">
        <v>3272600</v>
      </c>
      <c r="F73" s="43" t="n">
        <v>0</v>
      </c>
    </row>
    <row r="74" customFormat="false" ht="15" hidden="false" customHeight="false" outlineLevel="0" collapsed="false">
      <c r="A74" s="37" t="s">
        <v>62</v>
      </c>
      <c r="B74" s="37" t="s">
        <v>111</v>
      </c>
      <c r="C74" s="38" t="n">
        <v>2516600</v>
      </c>
      <c r="D74" s="38" t="n">
        <v>0</v>
      </c>
      <c r="E74" s="38" t="n">
        <v>2516600</v>
      </c>
      <c r="F74" s="43" t="n">
        <v>0</v>
      </c>
    </row>
    <row r="75" customFormat="false" ht="15" hidden="false" customHeight="false" outlineLevel="0" collapsed="false">
      <c r="A75" s="37" t="s">
        <v>63</v>
      </c>
      <c r="B75" s="37" t="s">
        <v>97</v>
      </c>
      <c r="C75" s="38" t="n">
        <v>787900</v>
      </c>
      <c r="D75" s="38" t="n">
        <v>0</v>
      </c>
      <c r="E75" s="38" t="n">
        <v>787900</v>
      </c>
      <c r="F75" s="43" t="n">
        <v>8564</v>
      </c>
    </row>
    <row r="76" customFormat="false" ht="15" hidden="false" customHeight="false" outlineLevel="0" collapsed="false">
      <c r="A76" s="37" t="s">
        <v>63</v>
      </c>
      <c r="B76" s="37" t="s">
        <v>98</v>
      </c>
      <c r="C76" s="38" t="n">
        <v>232200</v>
      </c>
      <c r="D76" s="38" t="n">
        <v>0</v>
      </c>
      <c r="E76" s="38" t="n">
        <v>232200</v>
      </c>
      <c r="F76" s="43" t="n">
        <v>0</v>
      </c>
    </row>
    <row r="77" customFormat="false" ht="15" hidden="false" customHeight="false" outlineLevel="0" collapsed="false">
      <c r="A77" s="37" t="s">
        <v>63</v>
      </c>
      <c r="B77" s="37" t="s">
        <v>99</v>
      </c>
      <c r="C77" s="38" t="n">
        <v>205900</v>
      </c>
      <c r="D77" s="38" t="n">
        <v>59600</v>
      </c>
      <c r="E77" s="38" t="n">
        <v>265500</v>
      </c>
      <c r="F77" s="43" t="n">
        <v>0</v>
      </c>
    </row>
    <row r="78" customFormat="false" ht="15" hidden="false" customHeight="false" outlineLevel="0" collapsed="false">
      <c r="A78" s="37" t="s">
        <v>63</v>
      </c>
      <c r="B78" s="37" t="s">
        <v>100</v>
      </c>
      <c r="C78" s="38" t="n">
        <v>309200</v>
      </c>
      <c r="D78" s="38" t="n">
        <v>0</v>
      </c>
      <c r="E78" s="38" t="n">
        <v>309200</v>
      </c>
      <c r="F78" s="43" t="n">
        <v>0</v>
      </c>
    </row>
    <row r="79" customFormat="false" ht="15" hidden="false" customHeight="false" outlineLevel="0" collapsed="false">
      <c r="A79" s="37" t="s">
        <v>63</v>
      </c>
      <c r="B79" s="37" t="s">
        <v>101</v>
      </c>
      <c r="C79" s="38" t="n">
        <v>419000</v>
      </c>
      <c r="D79" s="38" t="n">
        <v>0</v>
      </c>
      <c r="E79" s="38" t="n">
        <v>419000</v>
      </c>
      <c r="F79" s="43" t="n">
        <v>5662</v>
      </c>
    </row>
    <row r="80" customFormat="false" ht="15" hidden="false" customHeight="false" outlineLevel="0" collapsed="false">
      <c r="A80" s="37" t="s">
        <v>63</v>
      </c>
      <c r="B80" s="37" t="s">
        <v>102</v>
      </c>
      <c r="C80" s="38" t="n">
        <v>280000</v>
      </c>
      <c r="D80" s="38" t="n">
        <v>0</v>
      </c>
      <c r="E80" s="38" t="n">
        <v>280000</v>
      </c>
      <c r="F80" s="43" t="n">
        <v>0</v>
      </c>
    </row>
    <row r="81" customFormat="false" ht="15" hidden="false" customHeight="false" outlineLevel="0" collapsed="false">
      <c r="A81" s="37" t="s">
        <v>63</v>
      </c>
      <c r="B81" s="37" t="s">
        <v>103</v>
      </c>
      <c r="C81" s="38" t="n">
        <v>512100</v>
      </c>
      <c r="D81" s="38" t="n">
        <v>0</v>
      </c>
      <c r="E81" s="38" t="n">
        <v>512100</v>
      </c>
      <c r="F81" s="43" t="n">
        <v>0</v>
      </c>
    </row>
    <row r="82" customFormat="false" ht="15" hidden="false" customHeight="false" outlineLevel="0" collapsed="false">
      <c r="A82" s="37" t="s">
        <v>63</v>
      </c>
      <c r="B82" s="37" t="s">
        <v>104</v>
      </c>
      <c r="C82" s="38" t="n">
        <v>512600</v>
      </c>
      <c r="D82" s="38" t="n">
        <v>0</v>
      </c>
      <c r="E82" s="38" t="n">
        <v>512600</v>
      </c>
      <c r="F82" s="43" t="n">
        <v>0</v>
      </c>
    </row>
    <row r="83" customFormat="false" ht="15" hidden="false" customHeight="false" outlineLevel="0" collapsed="false">
      <c r="A83" s="37" t="s">
        <v>63</v>
      </c>
      <c r="B83" s="37" t="s">
        <v>105</v>
      </c>
      <c r="C83" s="38" t="n">
        <v>696300</v>
      </c>
      <c r="D83" s="38" t="n">
        <v>15200</v>
      </c>
      <c r="E83" s="38" t="n">
        <v>711500</v>
      </c>
      <c r="F83" s="43" t="n">
        <v>0</v>
      </c>
    </row>
    <row r="84" customFormat="false" ht="15" hidden="false" customHeight="false" outlineLevel="0" collapsed="false">
      <c r="A84" s="37" t="s">
        <v>63</v>
      </c>
      <c r="B84" s="37" t="s">
        <v>106</v>
      </c>
      <c r="C84" s="38" t="n">
        <v>294900</v>
      </c>
      <c r="D84" s="38" t="n">
        <v>32200</v>
      </c>
      <c r="E84" s="38" t="n">
        <v>327100</v>
      </c>
      <c r="F84" s="43" t="n">
        <v>4607</v>
      </c>
    </row>
    <row r="85" customFormat="false" ht="15" hidden="false" customHeight="false" outlineLevel="0" collapsed="false">
      <c r="A85" s="37" t="s">
        <v>63</v>
      </c>
      <c r="B85" s="37" t="s">
        <v>107</v>
      </c>
      <c r="C85" s="38" t="n">
        <v>400400</v>
      </c>
      <c r="D85" s="38" t="n">
        <v>0</v>
      </c>
      <c r="E85" s="38" t="n">
        <v>400400</v>
      </c>
      <c r="F85" s="43" t="n">
        <v>0</v>
      </c>
    </row>
    <row r="86" customFormat="false" ht="15" hidden="false" customHeight="false" outlineLevel="0" collapsed="false">
      <c r="A86" s="37" t="s">
        <v>63</v>
      </c>
      <c r="B86" s="37" t="s">
        <v>108</v>
      </c>
      <c r="C86" s="38" t="n">
        <v>347500</v>
      </c>
      <c r="D86" s="38" t="n">
        <v>0</v>
      </c>
      <c r="E86" s="38" t="n">
        <v>347500</v>
      </c>
      <c r="F86" s="43" t="n">
        <v>0</v>
      </c>
    </row>
    <row r="87" customFormat="false" ht="15" hidden="false" customHeight="false" outlineLevel="0" collapsed="false">
      <c r="A87" s="37" t="s">
        <v>63</v>
      </c>
      <c r="B87" s="37" t="s">
        <v>109</v>
      </c>
      <c r="C87" s="38" t="n">
        <v>799500</v>
      </c>
      <c r="D87" s="38" t="n">
        <v>0</v>
      </c>
      <c r="E87" s="38" t="n">
        <v>799500</v>
      </c>
      <c r="F87" s="43" t="n">
        <v>0</v>
      </c>
    </row>
    <row r="88" customFormat="false" ht="15" hidden="false" customHeight="false" outlineLevel="0" collapsed="false">
      <c r="A88" s="37" t="s">
        <v>63</v>
      </c>
      <c r="B88" s="37" t="s">
        <v>110</v>
      </c>
      <c r="C88" s="38" t="n">
        <v>1250200</v>
      </c>
      <c r="D88" s="38" t="n">
        <v>0</v>
      </c>
      <c r="E88" s="38" t="n">
        <v>1250200</v>
      </c>
      <c r="F88" s="43" t="n">
        <v>0</v>
      </c>
    </row>
    <row r="89" customFormat="false" ht="15" hidden="false" customHeight="false" outlineLevel="0" collapsed="false">
      <c r="A89" s="37" t="s">
        <v>63</v>
      </c>
      <c r="B89" s="37" t="s">
        <v>111</v>
      </c>
      <c r="C89" s="38" t="n">
        <v>828900</v>
      </c>
      <c r="D89" s="38" t="n">
        <v>0</v>
      </c>
      <c r="E89" s="38" t="n">
        <v>828900</v>
      </c>
      <c r="F89" s="43" t="n">
        <v>0</v>
      </c>
    </row>
    <row r="90" customFormat="false" ht="15" hidden="false" customHeight="false" outlineLevel="0" collapsed="false">
      <c r="A90" s="37" t="s">
        <v>64</v>
      </c>
      <c r="B90" s="37" t="s">
        <v>97</v>
      </c>
      <c r="C90" s="38" t="n">
        <v>957900</v>
      </c>
      <c r="D90" s="38" t="n">
        <v>0</v>
      </c>
      <c r="E90" s="38" t="n">
        <v>957900</v>
      </c>
      <c r="F90" s="43" t="n">
        <v>10412</v>
      </c>
    </row>
    <row r="91" customFormat="false" ht="15" hidden="false" customHeight="false" outlineLevel="0" collapsed="false">
      <c r="A91" s="37" t="s">
        <v>64</v>
      </c>
      <c r="B91" s="37" t="s">
        <v>98</v>
      </c>
      <c r="C91" s="38" t="n">
        <v>313200</v>
      </c>
      <c r="D91" s="38" t="n">
        <v>43300</v>
      </c>
      <c r="E91" s="38" t="n">
        <v>356500</v>
      </c>
      <c r="F91" s="43" t="n">
        <v>0</v>
      </c>
    </row>
    <row r="92" customFormat="false" ht="15" hidden="false" customHeight="false" outlineLevel="0" collapsed="false">
      <c r="A92" s="37" t="s">
        <v>64</v>
      </c>
      <c r="B92" s="37" t="s">
        <v>99</v>
      </c>
      <c r="C92" s="38" t="n">
        <v>275800</v>
      </c>
      <c r="D92" s="38" t="n">
        <v>0</v>
      </c>
      <c r="E92" s="38" t="n">
        <v>275800</v>
      </c>
      <c r="F92" s="43" t="n">
        <v>0</v>
      </c>
    </row>
    <row r="93" customFormat="false" ht="15" hidden="false" customHeight="false" outlineLevel="0" collapsed="false">
      <c r="A93" s="37" t="s">
        <v>64</v>
      </c>
      <c r="B93" s="37" t="s">
        <v>100</v>
      </c>
      <c r="C93" s="38" t="n">
        <v>410500</v>
      </c>
      <c r="D93" s="38" t="n">
        <v>0</v>
      </c>
      <c r="E93" s="38" t="n">
        <v>410500</v>
      </c>
      <c r="F93" s="43" t="n">
        <v>0</v>
      </c>
    </row>
    <row r="94" customFormat="false" ht="15" hidden="false" customHeight="false" outlineLevel="0" collapsed="false">
      <c r="A94" s="37" t="s">
        <v>64</v>
      </c>
      <c r="B94" s="37" t="s">
        <v>101</v>
      </c>
      <c r="C94" s="38" t="n">
        <v>545200</v>
      </c>
      <c r="D94" s="38" t="n">
        <v>549300</v>
      </c>
      <c r="E94" s="38" t="n">
        <v>1094500</v>
      </c>
      <c r="F94" s="43" t="n">
        <v>14791</v>
      </c>
    </row>
    <row r="95" customFormat="false" ht="15" hidden="false" customHeight="false" outlineLevel="0" collapsed="false">
      <c r="A95" s="37" t="s">
        <v>64</v>
      </c>
      <c r="B95" s="37" t="s">
        <v>102</v>
      </c>
      <c r="C95" s="38" t="n">
        <v>452600</v>
      </c>
      <c r="D95" s="38" t="n">
        <v>0</v>
      </c>
      <c r="E95" s="38" t="n">
        <v>452600</v>
      </c>
      <c r="F95" s="43" t="n">
        <v>0</v>
      </c>
    </row>
    <row r="96" customFormat="false" ht="15" hidden="false" customHeight="false" outlineLevel="0" collapsed="false">
      <c r="A96" s="37" t="s">
        <v>64</v>
      </c>
      <c r="B96" s="37" t="s">
        <v>103</v>
      </c>
      <c r="C96" s="38" t="n">
        <v>763100</v>
      </c>
      <c r="D96" s="38" t="n">
        <v>0</v>
      </c>
      <c r="E96" s="38" t="n">
        <v>763100</v>
      </c>
      <c r="F96" s="43" t="n">
        <v>0</v>
      </c>
    </row>
    <row r="97" customFormat="false" ht="15" hidden="false" customHeight="false" outlineLevel="0" collapsed="false">
      <c r="A97" s="37" t="s">
        <v>64</v>
      </c>
      <c r="B97" s="37" t="s">
        <v>104</v>
      </c>
      <c r="C97" s="38" t="n">
        <v>789900</v>
      </c>
      <c r="D97" s="38" t="n">
        <v>0</v>
      </c>
      <c r="E97" s="38" t="n">
        <v>789900</v>
      </c>
      <c r="F97" s="43" t="n">
        <v>0</v>
      </c>
    </row>
    <row r="98" customFormat="false" ht="15" hidden="false" customHeight="false" outlineLevel="0" collapsed="false">
      <c r="A98" s="37" t="s">
        <v>64</v>
      </c>
      <c r="B98" s="37" t="s">
        <v>105</v>
      </c>
      <c r="C98" s="38" t="n">
        <v>730300</v>
      </c>
      <c r="D98" s="38" t="n">
        <v>0</v>
      </c>
      <c r="E98" s="38" t="n">
        <v>730300</v>
      </c>
      <c r="F98" s="43" t="n">
        <v>0</v>
      </c>
    </row>
    <row r="99" customFormat="false" ht="15" hidden="false" customHeight="false" outlineLevel="0" collapsed="false">
      <c r="A99" s="37" t="s">
        <v>64</v>
      </c>
      <c r="B99" s="37" t="s">
        <v>106</v>
      </c>
      <c r="C99" s="38" t="n">
        <v>385900</v>
      </c>
      <c r="D99" s="38" t="n">
        <v>0</v>
      </c>
      <c r="E99" s="38" t="n">
        <v>385900</v>
      </c>
      <c r="F99" s="43" t="n">
        <v>5435</v>
      </c>
    </row>
    <row r="100" customFormat="false" ht="15" hidden="false" customHeight="false" outlineLevel="0" collapsed="false">
      <c r="A100" s="37" t="s">
        <v>64</v>
      </c>
      <c r="B100" s="37" t="s">
        <v>107</v>
      </c>
      <c r="C100" s="38" t="n">
        <v>647300</v>
      </c>
      <c r="D100" s="38" t="n">
        <v>57600</v>
      </c>
      <c r="E100" s="38" t="n">
        <v>704900</v>
      </c>
      <c r="F100" s="43" t="n">
        <v>0</v>
      </c>
    </row>
    <row r="101" customFormat="false" ht="15" hidden="false" customHeight="false" outlineLevel="0" collapsed="false">
      <c r="A101" s="37" t="s">
        <v>64</v>
      </c>
      <c r="B101" s="37" t="s">
        <v>108</v>
      </c>
      <c r="C101" s="38" t="n">
        <v>438400</v>
      </c>
      <c r="D101" s="38" t="n">
        <v>0</v>
      </c>
      <c r="E101" s="38" t="n">
        <v>438400</v>
      </c>
      <c r="F101" s="43" t="n">
        <v>0</v>
      </c>
    </row>
    <row r="102" customFormat="false" ht="15" hidden="false" customHeight="false" outlineLevel="0" collapsed="false">
      <c r="A102" s="37" t="s">
        <v>64</v>
      </c>
      <c r="B102" s="37" t="s">
        <v>109</v>
      </c>
      <c r="C102" s="38" t="n">
        <v>874500</v>
      </c>
      <c r="D102" s="38" t="n">
        <v>0</v>
      </c>
      <c r="E102" s="38" t="n">
        <v>874500</v>
      </c>
      <c r="F102" s="43" t="n">
        <v>0</v>
      </c>
    </row>
    <row r="103" customFormat="false" ht="15" hidden="false" customHeight="false" outlineLevel="0" collapsed="false">
      <c r="A103" s="37" t="s">
        <v>64</v>
      </c>
      <c r="B103" s="37" t="s">
        <v>110</v>
      </c>
      <c r="C103" s="38" t="n">
        <v>1463800</v>
      </c>
      <c r="D103" s="38" t="n">
        <v>0</v>
      </c>
      <c r="E103" s="38" t="n">
        <v>1463800</v>
      </c>
      <c r="F103" s="43" t="n">
        <v>0</v>
      </c>
    </row>
    <row r="104" customFormat="false" ht="15" hidden="false" customHeight="false" outlineLevel="0" collapsed="false">
      <c r="A104" s="37" t="s">
        <v>64</v>
      </c>
      <c r="B104" s="37" t="s">
        <v>111</v>
      </c>
      <c r="C104" s="38" t="n">
        <v>1065000</v>
      </c>
      <c r="D104" s="38" t="n">
        <v>0</v>
      </c>
      <c r="E104" s="38" t="n">
        <v>1065000</v>
      </c>
      <c r="F104" s="43" t="n">
        <v>0</v>
      </c>
    </row>
    <row r="105" customFormat="false" ht="15" hidden="false" customHeight="false" outlineLevel="0" collapsed="false">
      <c r="A105" s="37" t="s">
        <v>65</v>
      </c>
      <c r="B105" s="37" t="s">
        <v>97</v>
      </c>
      <c r="C105" s="38" t="n">
        <v>1199900</v>
      </c>
      <c r="D105" s="38" t="n">
        <v>0</v>
      </c>
      <c r="E105" s="38" t="n">
        <v>1199900</v>
      </c>
      <c r="F105" s="43" t="n">
        <v>13042</v>
      </c>
    </row>
    <row r="106" customFormat="false" ht="15" hidden="false" customHeight="false" outlineLevel="0" collapsed="false">
      <c r="A106" s="37" t="s">
        <v>65</v>
      </c>
      <c r="B106" s="37" t="s">
        <v>98</v>
      </c>
      <c r="C106" s="38" t="n">
        <v>509000</v>
      </c>
      <c r="D106" s="38" t="n">
        <v>0</v>
      </c>
      <c r="E106" s="38" t="n">
        <v>509000</v>
      </c>
      <c r="F106" s="43" t="n">
        <v>0</v>
      </c>
    </row>
    <row r="107" customFormat="false" ht="15" hidden="false" customHeight="false" outlineLevel="0" collapsed="false">
      <c r="A107" s="37" t="s">
        <v>65</v>
      </c>
      <c r="B107" s="37" t="s">
        <v>99</v>
      </c>
      <c r="C107" s="38" t="n">
        <v>658100</v>
      </c>
      <c r="D107" s="38" t="n">
        <v>38300</v>
      </c>
      <c r="E107" s="38" t="n">
        <v>696400</v>
      </c>
      <c r="F107" s="43" t="n">
        <v>0</v>
      </c>
    </row>
    <row r="108" customFormat="false" ht="15" hidden="false" customHeight="false" outlineLevel="0" collapsed="false">
      <c r="A108" s="37" t="s">
        <v>65</v>
      </c>
      <c r="B108" s="37" t="s">
        <v>100</v>
      </c>
      <c r="C108" s="38" t="n">
        <v>1227600</v>
      </c>
      <c r="D108" s="38" t="n">
        <v>58200</v>
      </c>
      <c r="E108" s="38" t="n">
        <v>1285800</v>
      </c>
      <c r="F108" s="43" t="n">
        <v>0</v>
      </c>
    </row>
    <row r="109" customFormat="false" ht="15" hidden="false" customHeight="false" outlineLevel="0" collapsed="false">
      <c r="A109" s="37" t="s">
        <v>65</v>
      </c>
      <c r="B109" s="37" t="s">
        <v>101</v>
      </c>
      <c r="C109" s="38" t="n">
        <v>873100</v>
      </c>
      <c r="D109" s="38" t="n">
        <v>0</v>
      </c>
      <c r="E109" s="38" t="n">
        <v>873100</v>
      </c>
      <c r="F109" s="43" t="n">
        <v>11799</v>
      </c>
    </row>
    <row r="110" customFormat="false" ht="15" hidden="false" customHeight="false" outlineLevel="0" collapsed="false">
      <c r="A110" s="37" t="s">
        <v>65</v>
      </c>
      <c r="B110" s="37" t="s">
        <v>102</v>
      </c>
      <c r="C110" s="38" t="n">
        <v>892600</v>
      </c>
      <c r="D110" s="38" t="n">
        <v>0</v>
      </c>
      <c r="E110" s="38" t="n">
        <v>892600</v>
      </c>
      <c r="F110" s="43" t="n">
        <v>0</v>
      </c>
    </row>
    <row r="111" customFormat="false" ht="15" hidden="false" customHeight="false" outlineLevel="0" collapsed="false">
      <c r="A111" s="37" t="s">
        <v>65</v>
      </c>
      <c r="B111" s="37" t="s">
        <v>103</v>
      </c>
      <c r="C111" s="38" t="n">
        <v>1323200</v>
      </c>
      <c r="D111" s="38" t="n">
        <v>0</v>
      </c>
      <c r="E111" s="38" t="n">
        <v>1323200</v>
      </c>
      <c r="F111" s="43" t="n">
        <v>0</v>
      </c>
    </row>
    <row r="112" customFormat="false" ht="15" hidden="false" customHeight="false" outlineLevel="0" collapsed="false">
      <c r="A112" s="37" t="s">
        <v>65</v>
      </c>
      <c r="B112" s="37" t="s">
        <v>105</v>
      </c>
      <c r="C112" s="38" t="n">
        <v>2666800</v>
      </c>
      <c r="D112" s="38" t="n">
        <v>0</v>
      </c>
      <c r="E112" s="38" t="n">
        <v>2666800</v>
      </c>
      <c r="F112" s="43" t="n">
        <v>0</v>
      </c>
    </row>
    <row r="113" customFormat="false" ht="15" hidden="false" customHeight="false" outlineLevel="0" collapsed="false">
      <c r="A113" s="37" t="s">
        <v>65</v>
      </c>
      <c r="B113" s="37" t="s">
        <v>106</v>
      </c>
      <c r="C113" s="38" t="n">
        <v>337700</v>
      </c>
      <c r="D113" s="38" t="n">
        <v>0</v>
      </c>
      <c r="E113" s="38" t="n">
        <v>337700</v>
      </c>
      <c r="F113" s="43" t="n">
        <v>4756</v>
      </c>
    </row>
    <row r="114" customFormat="false" ht="15" hidden="false" customHeight="false" outlineLevel="0" collapsed="false">
      <c r="A114" s="37" t="s">
        <v>65</v>
      </c>
      <c r="B114" s="37" t="s">
        <v>107</v>
      </c>
      <c r="C114" s="38" t="n">
        <v>967600</v>
      </c>
      <c r="D114" s="38" t="n">
        <v>0</v>
      </c>
      <c r="E114" s="38" t="n">
        <v>967600</v>
      </c>
      <c r="F114" s="43" t="n">
        <v>0</v>
      </c>
    </row>
    <row r="115" customFormat="false" ht="15" hidden="false" customHeight="false" outlineLevel="0" collapsed="false">
      <c r="A115" s="37" t="s">
        <v>65</v>
      </c>
      <c r="B115" s="37" t="s">
        <v>108</v>
      </c>
      <c r="C115" s="38" t="n">
        <v>289100</v>
      </c>
      <c r="D115" s="38" t="n">
        <v>0</v>
      </c>
      <c r="E115" s="38" t="n">
        <v>289100</v>
      </c>
      <c r="F115" s="43" t="n">
        <v>0</v>
      </c>
    </row>
    <row r="116" customFormat="false" ht="15" hidden="false" customHeight="false" outlineLevel="0" collapsed="false">
      <c r="A116" s="37" t="s">
        <v>65</v>
      </c>
      <c r="B116" s="37" t="s">
        <v>109</v>
      </c>
      <c r="C116" s="38" t="n">
        <v>637500</v>
      </c>
      <c r="D116" s="38" t="n">
        <v>0</v>
      </c>
      <c r="E116" s="38" t="n">
        <v>637500</v>
      </c>
      <c r="F116" s="43" t="n">
        <v>0</v>
      </c>
    </row>
    <row r="117" customFormat="false" ht="15" hidden="false" customHeight="false" outlineLevel="0" collapsed="false">
      <c r="A117" s="37" t="s">
        <v>65</v>
      </c>
      <c r="B117" s="37" t="s">
        <v>110</v>
      </c>
      <c r="C117" s="38" t="n">
        <v>2513100</v>
      </c>
      <c r="D117" s="38" t="n">
        <v>150000</v>
      </c>
      <c r="E117" s="38" t="n">
        <v>2663100</v>
      </c>
      <c r="F117" s="43" t="n">
        <v>0</v>
      </c>
    </row>
    <row r="118" customFormat="false" ht="15" hidden="false" customHeight="false" outlineLevel="0" collapsed="false">
      <c r="A118" s="37" t="s">
        <v>65</v>
      </c>
      <c r="B118" s="37" t="s">
        <v>111</v>
      </c>
      <c r="C118" s="38" t="n">
        <v>1960400</v>
      </c>
      <c r="D118" s="38" t="n">
        <v>0</v>
      </c>
      <c r="E118" s="38" t="n">
        <v>1960400</v>
      </c>
      <c r="F118" s="43" t="n">
        <v>0</v>
      </c>
    </row>
    <row r="119" customFormat="false" ht="15" hidden="false" customHeight="false" outlineLevel="0" collapsed="false">
      <c r="A119" s="37" t="s">
        <v>66</v>
      </c>
      <c r="B119" s="37" t="s">
        <v>97</v>
      </c>
      <c r="C119" s="38" t="n">
        <v>1400200</v>
      </c>
      <c r="D119" s="38" t="n">
        <v>0</v>
      </c>
      <c r="E119" s="38" t="n">
        <v>1400200</v>
      </c>
      <c r="F119" s="43" t="n">
        <v>15220</v>
      </c>
    </row>
    <row r="120" customFormat="false" ht="15" hidden="false" customHeight="false" outlineLevel="0" collapsed="false">
      <c r="A120" s="37" t="s">
        <v>66</v>
      </c>
      <c r="B120" s="37" t="s">
        <v>98</v>
      </c>
      <c r="C120" s="38" t="n">
        <v>588300</v>
      </c>
      <c r="D120" s="38" t="n">
        <v>177100</v>
      </c>
      <c r="E120" s="38" t="n">
        <v>765400</v>
      </c>
      <c r="F120" s="43" t="n">
        <v>0</v>
      </c>
    </row>
    <row r="121" customFormat="false" ht="15" hidden="false" customHeight="false" outlineLevel="0" collapsed="false">
      <c r="A121" s="37" t="s">
        <v>66</v>
      </c>
      <c r="B121" s="37" t="s">
        <v>99</v>
      </c>
      <c r="C121" s="38" t="n">
        <v>546800</v>
      </c>
      <c r="D121" s="38" t="n">
        <v>0</v>
      </c>
      <c r="E121" s="38" t="n">
        <v>546800</v>
      </c>
      <c r="F121" s="43" t="n">
        <v>0</v>
      </c>
    </row>
    <row r="122" customFormat="false" ht="15" hidden="false" customHeight="false" outlineLevel="0" collapsed="false">
      <c r="A122" s="37" t="s">
        <v>66</v>
      </c>
      <c r="B122" s="37" t="s">
        <v>100</v>
      </c>
      <c r="C122" s="38" t="n">
        <v>705000</v>
      </c>
      <c r="D122" s="38" t="n">
        <v>0</v>
      </c>
      <c r="E122" s="38" t="n">
        <v>705000</v>
      </c>
      <c r="F122" s="43" t="n">
        <v>0</v>
      </c>
    </row>
    <row r="123" customFormat="false" ht="15" hidden="false" customHeight="false" outlineLevel="0" collapsed="false">
      <c r="A123" s="37" t="s">
        <v>66</v>
      </c>
      <c r="B123" s="37" t="s">
        <v>101</v>
      </c>
      <c r="C123" s="38" t="n">
        <v>809400</v>
      </c>
      <c r="D123" s="38" t="n">
        <v>0</v>
      </c>
      <c r="E123" s="38" t="n">
        <v>809400</v>
      </c>
      <c r="F123" s="43" t="n">
        <v>10938</v>
      </c>
    </row>
    <row r="124" customFormat="false" ht="15" hidden="false" customHeight="false" outlineLevel="0" collapsed="false">
      <c r="A124" s="37" t="s">
        <v>66</v>
      </c>
      <c r="B124" s="37" t="s">
        <v>102</v>
      </c>
      <c r="C124" s="38" t="n">
        <v>546100</v>
      </c>
      <c r="D124" s="38" t="n">
        <v>0</v>
      </c>
      <c r="E124" s="38" t="n">
        <v>546100</v>
      </c>
      <c r="F124" s="43" t="n">
        <v>0</v>
      </c>
    </row>
    <row r="125" customFormat="false" ht="15" hidden="false" customHeight="false" outlineLevel="0" collapsed="false">
      <c r="A125" s="37" t="s">
        <v>66</v>
      </c>
      <c r="B125" s="37" t="s">
        <v>103</v>
      </c>
      <c r="C125" s="38" t="n">
        <v>946000</v>
      </c>
      <c r="D125" s="38" t="n">
        <v>0</v>
      </c>
      <c r="E125" s="38" t="n">
        <v>946000</v>
      </c>
      <c r="F125" s="43" t="n">
        <v>0</v>
      </c>
    </row>
    <row r="126" customFormat="false" ht="15" hidden="false" customHeight="false" outlineLevel="0" collapsed="false">
      <c r="A126" s="37" t="s">
        <v>66</v>
      </c>
      <c r="B126" s="37" t="s">
        <v>104</v>
      </c>
      <c r="C126" s="38" t="n">
        <v>1108900</v>
      </c>
      <c r="D126" s="38" t="n">
        <v>0</v>
      </c>
      <c r="E126" s="38" t="n">
        <v>1108900</v>
      </c>
      <c r="F126" s="43" t="n">
        <v>0</v>
      </c>
    </row>
    <row r="127" customFormat="false" ht="15" hidden="false" customHeight="false" outlineLevel="0" collapsed="false">
      <c r="A127" s="37" t="s">
        <v>66</v>
      </c>
      <c r="B127" s="37" t="s">
        <v>105</v>
      </c>
      <c r="C127" s="38" t="n">
        <v>833800</v>
      </c>
      <c r="D127" s="38" t="n">
        <v>0</v>
      </c>
      <c r="E127" s="38" t="n">
        <v>833800</v>
      </c>
      <c r="F127" s="43" t="n">
        <v>0</v>
      </c>
    </row>
    <row r="128" customFormat="false" ht="15" hidden="false" customHeight="false" outlineLevel="0" collapsed="false">
      <c r="A128" s="37" t="s">
        <v>66</v>
      </c>
      <c r="B128" s="37" t="s">
        <v>106</v>
      </c>
      <c r="C128" s="38" t="n">
        <v>1847600</v>
      </c>
      <c r="D128" s="38" t="n">
        <v>71500</v>
      </c>
      <c r="E128" s="38" t="n">
        <v>1919100</v>
      </c>
      <c r="F128" s="43" t="n">
        <v>27030</v>
      </c>
    </row>
    <row r="129" customFormat="false" ht="15" hidden="false" customHeight="false" outlineLevel="0" collapsed="false">
      <c r="A129" s="37" t="s">
        <v>66</v>
      </c>
      <c r="B129" s="37" t="s">
        <v>107</v>
      </c>
      <c r="C129" s="38" t="n">
        <v>957700</v>
      </c>
      <c r="D129" s="38" t="n">
        <v>0</v>
      </c>
      <c r="E129" s="38" t="n">
        <v>957700</v>
      </c>
      <c r="F129" s="43" t="n">
        <v>0</v>
      </c>
    </row>
    <row r="130" customFormat="false" ht="15" hidden="false" customHeight="false" outlineLevel="0" collapsed="false">
      <c r="A130" s="37" t="s">
        <v>66</v>
      </c>
      <c r="B130" s="37" t="s">
        <v>108</v>
      </c>
      <c r="C130" s="38" t="n">
        <v>991100</v>
      </c>
      <c r="D130" s="38" t="n">
        <v>0</v>
      </c>
      <c r="E130" s="38" t="n">
        <v>991100</v>
      </c>
      <c r="F130" s="43" t="n">
        <v>0</v>
      </c>
    </row>
    <row r="131" customFormat="false" ht="15" hidden="false" customHeight="false" outlineLevel="0" collapsed="false">
      <c r="A131" s="37" t="s">
        <v>66</v>
      </c>
      <c r="B131" s="37" t="s">
        <v>109</v>
      </c>
      <c r="C131" s="38" t="n">
        <v>2276000</v>
      </c>
      <c r="D131" s="38" t="n">
        <v>0</v>
      </c>
      <c r="E131" s="38" t="n">
        <v>2276000</v>
      </c>
      <c r="F131" s="43" t="n">
        <v>0</v>
      </c>
    </row>
    <row r="132" customFormat="false" ht="15" hidden="false" customHeight="false" outlineLevel="0" collapsed="false">
      <c r="A132" s="37" t="s">
        <v>66</v>
      </c>
      <c r="B132" s="37" t="s">
        <v>110</v>
      </c>
      <c r="C132" s="38" t="n">
        <v>2300900</v>
      </c>
      <c r="D132" s="38" t="n">
        <v>0</v>
      </c>
      <c r="E132" s="38" t="n">
        <v>2300900</v>
      </c>
      <c r="F132" s="43" t="n">
        <v>0</v>
      </c>
    </row>
    <row r="133" customFormat="false" ht="15" hidden="false" customHeight="false" outlineLevel="0" collapsed="false">
      <c r="A133" s="37" t="s">
        <v>66</v>
      </c>
      <c r="B133" s="37" t="s">
        <v>111</v>
      </c>
      <c r="C133" s="38" t="n">
        <v>2296800</v>
      </c>
      <c r="D133" s="38" t="n">
        <v>138200</v>
      </c>
      <c r="E133" s="38" t="n">
        <v>2435000</v>
      </c>
      <c r="F133" s="43" t="n">
        <v>0</v>
      </c>
    </row>
    <row r="134" customFormat="false" ht="15" hidden="false" customHeight="false" outlineLevel="0" collapsed="false">
      <c r="A134" s="37" t="s">
        <v>67</v>
      </c>
      <c r="B134" s="37" t="s">
        <v>97</v>
      </c>
      <c r="C134" s="38" t="n">
        <v>938900</v>
      </c>
      <c r="D134" s="38" t="n">
        <v>0</v>
      </c>
      <c r="E134" s="38" t="n">
        <v>938900</v>
      </c>
      <c r="F134" s="43" t="n">
        <v>10205</v>
      </c>
    </row>
    <row r="135" customFormat="false" ht="15" hidden="false" customHeight="false" outlineLevel="0" collapsed="false">
      <c r="A135" s="37" t="s">
        <v>67</v>
      </c>
      <c r="B135" s="37" t="s">
        <v>98</v>
      </c>
      <c r="C135" s="38" t="n">
        <v>328500</v>
      </c>
      <c r="D135" s="38" t="n">
        <v>0</v>
      </c>
      <c r="E135" s="38" t="n">
        <v>328500</v>
      </c>
      <c r="F135" s="43" t="n">
        <v>0</v>
      </c>
    </row>
    <row r="136" customFormat="false" ht="15" hidden="false" customHeight="false" outlineLevel="0" collapsed="false">
      <c r="A136" s="37" t="s">
        <v>67</v>
      </c>
      <c r="B136" s="37" t="s">
        <v>99</v>
      </c>
      <c r="C136" s="38" t="n">
        <v>477600</v>
      </c>
      <c r="D136" s="38" t="n">
        <v>0</v>
      </c>
      <c r="E136" s="38" t="n">
        <v>477600</v>
      </c>
      <c r="F136" s="43" t="n">
        <v>0</v>
      </c>
    </row>
    <row r="137" customFormat="false" ht="15" hidden="false" customHeight="false" outlineLevel="0" collapsed="false">
      <c r="A137" s="37" t="s">
        <v>67</v>
      </c>
      <c r="B137" s="37" t="s">
        <v>100</v>
      </c>
      <c r="C137" s="38" t="n">
        <v>878600</v>
      </c>
      <c r="D137" s="38" t="n">
        <v>0</v>
      </c>
      <c r="E137" s="38" t="n">
        <v>878600</v>
      </c>
      <c r="F137" s="43" t="n">
        <v>0</v>
      </c>
    </row>
    <row r="138" customFormat="false" ht="15" hidden="false" customHeight="false" outlineLevel="0" collapsed="false">
      <c r="A138" s="37" t="s">
        <v>67</v>
      </c>
      <c r="B138" s="37" t="s">
        <v>101</v>
      </c>
      <c r="C138" s="38" t="n">
        <v>634200</v>
      </c>
      <c r="D138" s="38" t="n">
        <v>0</v>
      </c>
      <c r="E138" s="38" t="n">
        <v>634200</v>
      </c>
      <c r="F138" s="43" t="n">
        <v>8570</v>
      </c>
    </row>
    <row r="139" customFormat="false" ht="15" hidden="false" customHeight="false" outlineLevel="0" collapsed="false">
      <c r="A139" s="37" t="s">
        <v>67</v>
      </c>
      <c r="B139" s="37" t="s">
        <v>102</v>
      </c>
      <c r="C139" s="38" t="n">
        <v>687200</v>
      </c>
      <c r="D139" s="38" t="n">
        <v>0</v>
      </c>
      <c r="E139" s="38" t="n">
        <v>687200</v>
      </c>
      <c r="F139" s="43" t="n">
        <v>0</v>
      </c>
    </row>
    <row r="140" customFormat="false" ht="15" hidden="false" customHeight="false" outlineLevel="0" collapsed="false">
      <c r="A140" s="37" t="s">
        <v>67</v>
      </c>
      <c r="B140" s="37" t="s">
        <v>103</v>
      </c>
      <c r="C140" s="38" t="n">
        <v>921200</v>
      </c>
      <c r="D140" s="38" t="n">
        <v>0</v>
      </c>
      <c r="E140" s="38" t="n">
        <v>921200</v>
      </c>
      <c r="F140" s="43" t="n">
        <v>0</v>
      </c>
    </row>
    <row r="141" customFormat="false" ht="15" hidden="false" customHeight="false" outlineLevel="0" collapsed="false">
      <c r="A141" s="37" t="s">
        <v>67</v>
      </c>
      <c r="B141" s="37" t="s">
        <v>105</v>
      </c>
      <c r="C141" s="38" t="n">
        <v>1650300</v>
      </c>
      <c r="D141" s="38" t="n">
        <v>0</v>
      </c>
      <c r="E141" s="38" t="n">
        <v>1650300</v>
      </c>
      <c r="F141" s="43" t="n">
        <v>0</v>
      </c>
    </row>
    <row r="142" customFormat="false" ht="15" hidden="false" customHeight="false" outlineLevel="0" collapsed="false">
      <c r="A142" s="37" t="s">
        <v>67</v>
      </c>
      <c r="B142" s="37" t="s">
        <v>106</v>
      </c>
      <c r="C142" s="38" t="n">
        <v>275000</v>
      </c>
      <c r="D142" s="38" t="n">
        <v>0</v>
      </c>
      <c r="E142" s="38" t="n">
        <v>275000</v>
      </c>
      <c r="F142" s="43" t="n">
        <v>3873</v>
      </c>
    </row>
    <row r="143" customFormat="false" ht="15" hidden="false" customHeight="false" outlineLevel="0" collapsed="false">
      <c r="A143" s="37" t="s">
        <v>67</v>
      </c>
      <c r="B143" s="37" t="s">
        <v>107</v>
      </c>
      <c r="C143" s="38" t="n">
        <v>772800</v>
      </c>
      <c r="D143" s="38" t="n">
        <v>0</v>
      </c>
      <c r="E143" s="38" t="n">
        <v>772800</v>
      </c>
      <c r="F143" s="43" t="n">
        <v>0</v>
      </c>
    </row>
    <row r="144" customFormat="false" ht="15" hidden="false" customHeight="false" outlineLevel="0" collapsed="false">
      <c r="A144" s="37" t="s">
        <v>67</v>
      </c>
      <c r="B144" s="37" t="s">
        <v>108</v>
      </c>
      <c r="C144" s="38" t="n">
        <v>216400</v>
      </c>
      <c r="D144" s="38" t="n">
        <v>0</v>
      </c>
      <c r="E144" s="38" t="n">
        <v>216400</v>
      </c>
      <c r="F144" s="43" t="n">
        <v>0</v>
      </c>
    </row>
    <row r="145" customFormat="false" ht="15" hidden="false" customHeight="false" outlineLevel="0" collapsed="false">
      <c r="A145" s="37" t="s">
        <v>67</v>
      </c>
      <c r="B145" s="37" t="s">
        <v>109</v>
      </c>
      <c r="C145" s="38" t="n">
        <v>477400</v>
      </c>
      <c r="D145" s="38" t="n">
        <v>0</v>
      </c>
      <c r="E145" s="38" t="n">
        <v>477400</v>
      </c>
      <c r="F145" s="43" t="n">
        <v>0</v>
      </c>
    </row>
    <row r="146" customFormat="false" ht="15" hidden="false" customHeight="false" outlineLevel="0" collapsed="false">
      <c r="A146" s="37" t="s">
        <v>67</v>
      </c>
      <c r="B146" s="37" t="s">
        <v>110</v>
      </c>
      <c r="C146" s="38" t="n">
        <v>1717600</v>
      </c>
      <c r="D146" s="38" t="n">
        <v>0</v>
      </c>
      <c r="E146" s="38" t="n">
        <v>1717600</v>
      </c>
      <c r="F146" s="43" t="n">
        <v>0</v>
      </c>
    </row>
    <row r="147" customFormat="false" ht="15" hidden="false" customHeight="false" outlineLevel="0" collapsed="false">
      <c r="A147" s="37" t="s">
        <v>67</v>
      </c>
      <c r="B147" s="37" t="s">
        <v>111</v>
      </c>
      <c r="C147" s="38" t="n">
        <v>1883200</v>
      </c>
      <c r="D147" s="38" t="n">
        <v>0</v>
      </c>
      <c r="E147" s="38" t="n">
        <v>1883200</v>
      </c>
      <c r="F147" s="43" t="n">
        <v>0</v>
      </c>
    </row>
    <row r="148" customFormat="false" ht="15" hidden="false" customHeight="false" outlineLevel="0" collapsed="false">
      <c r="A148" s="37" t="s">
        <v>68</v>
      </c>
      <c r="B148" s="37" t="s">
        <v>97</v>
      </c>
      <c r="C148" s="38" t="n">
        <v>609600</v>
      </c>
      <c r="D148" s="38" t="n">
        <v>0</v>
      </c>
      <c r="E148" s="38" t="n">
        <v>609600</v>
      </c>
      <c r="F148" s="43" t="n">
        <v>6626</v>
      </c>
    </row>
    <row r="149" customFormat="false" ht="15" hidden="false" customHeight="false" outlineLevel="0" collapsed="false">
      <c r="A149" s="37" t="s">
        <v>68</v>
      </c>
      <c r="B149" s="37" t="s">
        <v>98</v>
      </c>
      <c r="C149" s="38" t="n">
        <v>183200</v>
      </c>
      <c r="D149" s="38" t="n">
        <v>0</v>
      </c>
      <c r="E149" s="38" t="n">
        <v>183200</v>
      </c>
      <c r="F149" s="43" t="n">
        <v>0</v>
      </c>
    </row>
    <row r="150" customFormat="false" ht="15" hidden="false" customHeight="false" outlineLevel="0" collapsed="false">
      <c r="A150" s="37" t="s">
        <v>68</v>
      </c>
      <c r="B150" s="37" t="s">
        <v>99</v>
      </c>
      <c r="C150" s="38" t="n">
        <v>226400</v>
      </c>
      <c r="D150" s="38" t="n">
        <v>0</v>
      </c>
      <c r="E150" s="38" t="n">
        <v>226400</v>
      </c>
      <c r="F150" s="43" t="n">
        <v>0</v>
      </c>
    </row>
    <row r="151" customFormat="false" ht="15" hidden="false" customHeight="false" outlineLevel="0" collapsed="false">
      <c r="A151" s="37" t="s">
        <v>68</v>
      </c>
      <c r="B151" s="37" t="s">
        <v>100</v>
      </c>
      <c r="C151" s="38" t="n">
        <v>334700</v>
      </c>
      <c r="D151" s="38" t="n">
        <v>0</v>
      </c>
      <c r="E151" s="38" t="n">
        <v>334700</v>
      </c>
      <c r="F151" s="43" t="n">
        <v>0</v>
      </c>
    </row>
    <row r="152" customFormat="false" ht="15" hidden="false" customHeight="false" outlineLevel="0" collapsed="false">
      <c r="A152" s="37" t="s">
        <v>68</v>
      </c>
      <c r="B152" s="37" t="s">
        <v>101</v>
      </c>
      <c r="C152" s="38" t="n">
        <v>346800</v>
      </c>
      <c r="D152" s="38" t="n">
        <v>0</v>
      </c>
      <c r="E152" s="38" t="n">
        <v>346800</v>
      </c>
      <c r="F152" s="43" t="n">
        <v>4686</v>
      </c>
    </row>
    <row r="153" customFormat="false" ht="15" hidden="false" customHeight="false" outlineLevel="0" collapsed="false">
      <c r="A153" s="37" t="s">
        <v>68</v>
      </c>
      <c r="B153" s="37" t="s">
        <v>102</v>
      </c>
      <c r="C153" s="38" t="n">
        <v>234500</v>
      </c>
      <c r="D153" s="38" t="n">
        <v>0</v>
      </c>
      <c r="E153" s="38" t="n">
        <v>234500</v>
      </c>
      <c r="F153" s="43" t="n">
        <v>0</v>
      </c>
    </row>
    <row r="154" customFormat="false" ht="15" hidden="false" customHeight="false" outlineLevel="0" collapsed="false">
      <c r="A154" s="37" t="s">
        <v>68</v>
      </c>
      <c r="B154" s="37" t="s">
        <v>103</v>
      </c>
      <c r="C154" s="38" t="n">
        <v>528400</v>
      </c>
      <c r="D154" s="38" t="n">
        <v>0</v>
      </c>
      <c r="E154" s="38" t="n">
        <v>528400</v>
      </c>
      <c r="F154" s="43" t="n">
        <v>0</v>
      </c>
    </row>
    <row r="155" customFormat="false" ht="15" hidden="false" customHeight="false" outlineLevel="0" collapsed="false">
      <c r="A155" s="37" t="s">
        <v>68</v>
      </c>
      <c r="B155" s="37" t="s">
        <v>104</v>
      </c>
      <c r="C155" s="38" t="n">
        <v>299100</v>
      </c>
      <c r="D155" s="38" t="n">
        <v>0</v>
      </c>
      <c r="E155" s="38" t="n">
        <v>299100</v>
      </c>
      <c r="F155" s="43" t="n">
        <v>0</v>
      </c>
    </row>
    <row r="156" customFormat="false" ht="15" hidden="false" customHeight="false" outlineLevel="0" collapsed="false">
      <c r="A156" s="37" t="s">
        <v>68</v>
      </c>
      <c r="B156" s="37" t="s">
        <v>105</v>
      </c>
      <c r="C156" s="38" t="n">
        <v>656400</v>
      </c>
      <c r="D156" s="38" t="n">
        <v>0</v>
      </c>
      <c r="E156" s="38" t="n">
        <v>656400</v>
      </c>
      <c r="F156" s="43" t="n">
        <v>0</v>
      </c>
    </row>
    <row r="157" customFormat="false" ht="15" hidden="false" customHeight="false" outlineLevel="0" collapsed="false">
      <c r="A157" s="37" t="s">
        <v>68</v>
      </c>
      <c r="B157" s="37" t="s">
        <v>106</v>
      </c>
      <c r="C157" s="38" t="n">
        <v>268600</v>
      </c>
      <c r="D157" s="38" t="n">
        <v>0</v>
      </c>
      <c r="E157" s="38" t="n">
        <v>268600</v>
      </c>
      <c r="F157" s="43" t="n">
        <v>3783</v>
      </c>
    </row>
    <row r="158" customFormat="false" ht="15" hidden="false" customHeight="false" outlineLevel="0" collapsed="false">
      <c r="A158" s="37" t="s">
        <v>68</v>
      </c>
      <c r="B158" s="37" t="s">
        <v>107</v>
      </c>
      <c r="C158" s="38" t="n">
        <v>541300</v>
      </c>
      <c r="D158" s="38" t="n">
        <v>0</v>
      </c>
      <c r="E158" s="38" t="n">
        <v>541300</v>
      </c>
      <c r="F158" s="43" t="n">
        <v>0</v>
      </c>
    </row>
    <row r="159" customFormat="false" ht="15" hidden="false" customHeight="false" outlineLevel="0" collapsed="false">
      <c r="A159" s="37" t="s">
        <v>68</v>
      </c>
      <c r="B159" s="37" t="s">
        <v>108</v>
      </c>
      <c r="C159" s="38" t="n">
        <v>306300</v>
      </c>
      <c r="D159" s="38" t="n">
        <v>0</v>
      </c>
      <c r="E159" s="38" t="n">
        <v>306300</v>
      </c>
      <c r="F159" s="43" t="n">
        <v>0</v>
      </c>
    </row>
    <row r="160" customFormat="false" ht="15" hidden="false" customHeight="false" outlineLevel="0" collapsed="false">
      <c r="A160" s="37" t="s">
        <v>68</v>
      </c>
      <c r="B160" s="37" t="s">
        <v>109</v>
      </c>
      <c r="C160" s="38" t="n">
        <v>530900</v>
      </c>
      <c r="D160" s="38" t="n">
        <v>0</v>
      </c>
      <c r="E160" s="38" t="n">
        <v>530900</v>
      </c>
      <c r="F160" s="43" t="n">
        <v>0</v>
      </c>
    </row>
    <row r="161" customFormat="false" ht="15" hidden="false" customHeight="false" outlineLevel="0" collapsed="false">
      <c r="A161" s="37" t="s">
        <v>68</v>
      </c>
      <c r="B161" s="37" t="s">
        <v>110</v>
      </c>
      <c r="C161" s="38" t="n">
        <v>907400</v>
      </c>
      <c r="D161" s="38" t="n">
        <v>0</v>
      </c>
      <c r="E161" s="38" t="n">
        <v>907400</v>
      </c>
      <c r="F161" s="43" t="n">
        <v>0</v>
      </c>
    </row>
    <row r="162" customFormat="false" ht="15" hidden="false" customHeight="false" outlineLevel="0" collapsed="false">
      <c r="A162" s="37" t="s">
        <v>68</v>
      </c>
      <c r="B162" s="37" t="s">
        <v>111</v>
      </c>
      <c r="C162" s="38" t="n">
        <v>720200</v>
      </c>
      <c r="D162" s="38" t="n">
        <v>0</v>
      </c>
      <c r="E162" s="38" t="n">
        <v>720200</v>
      </c>
      <c r="F162" s="43" t="n">
        <v>0</v>
      </c>
    </row>
    <row r="163" customFormat="false" ht="15" hidden="false" customHeight="false" outlineLevel="0" collapsed="false">
      <c r="A163" s="37" t="s">
        <v>69</v>
      </c>
      <c r="B163" s="37" t="s">
        <v>97</v>
      </c>
      <c r="C163" s="38" t="n">
        <v>547900</v>
      </c>
      <c r="D163" s="38" t="n">
        <v>0</v>
      </c>
      <c r="E163" s="38" t="n">
        <v>547900</v>
      </c>
      <c r="F163" s="43" t="n">
        <v>5955</v>
      </c>
    </row>
    <row r="164" customFormat="false" ht="15" hidden="false" customHeight="false" outlineLevel="0" collapsed="false">
      <c r="A164" s="37" t="s">
        <v>69</v>
      </c>
      <c r="B164" s="37" t="s">
        <v>98</v>
      </c>
      <c r="C164" s="38" t="n">
        <v>177400</v>
      </c>
      <c r="D164" s="38" t="n">
        <v>0</v>
      </c>
      <c r="E164" s="38" t="n">
        <v>177400</v>
      </c>
      <c r="F164" s="43" t="n">
        <v>0</v>
      </c>
    </row>
    <row r="165" customFormat="false" ht="15" hidden="false" customHeight="false" outlineLevel="0" collapsed="false">
      <c r="A165" s="37" t="s">
        <v>69</v>
      </c>
      <c r="B165" s="37" t="s">
        <v>99</v>
      </c>
      <c r="C165" s="38" t="n">
        <v>141200</v>
      </c>
      <c r="D165" s="38" t="n">
        <v>0</v>
      </c>
      <c r="E165" s="38" t="n">
        <v>141200</v>
      </c>
      <c r="F165" s="43" t="n">
        <v>0</v>
      </c>
    </row>
    <row r="166" customFormat="false" ht="15" hidden="false" customHeight="false" outlineLevel="0" collapsed="false">
      <c r="A166" s="37" t="s">
        <v>69</v>
      </c>
      <c r="B166" s="37" t="s">
        <v>100</v>
      </c>
      <c r="C166" s="38" t="n">
        <v>223200</v>
      </c>
      <c r="D166" s="38" t="n">
        <v>0</v>
      </c>
      <c r="E166" s="38" t="n">
        <v>223200</v>
      </c>
      <c r="F166" s="43" t="n">
        <v>0</v>
      </c>
    </row>
    <row r="167" customFormat="false" ht="15" hidden="false" customHeight="false" outlineLevel="0" collapsed="false">
      <c r="A167" s="37" t="s">
        <v>69</v>
      </c>
      <c r="B167" s="37" t="s">
        <v>101</v>
      </c>
      <c r="C167" s="38" t="n">
        <v>292200</v>
      </c>
      <c r="D167" s="38" t="n">
        <v>0</v>
      </c>
      <c r="E167" s="38" t="n">
        <v>292200</v>
      </c>
      <c r="F167" s="43" t="n">
        <v>3949</v>
      </c>
    </row>
    <row r="168" customFormat="false" ht="15" hidden="false" customHeight="false" outlineLevel="0" collapsed="false">
      <c r="A168" s="37" t="s">
        <v>69</v>
      </c>
      <c r="B168" s="37" t="s">
        <v>102</v>
      </c>
      <c r="C168" s="38" t="n">
        <v>229900</v>
      </c>
      <c r="D168" s="38" t="n">
        <v>0</v>
      </c>
      <c r="E168" s="38" t="n">
        <v>229900</v>
      </c>
      <c r="F168" s="43" t="n">
        <v>0</v>
      </c>
    </row>
    <row r="169" customFormat="false" ht="15" hidden="false" customHeight="false" outlineLevel="0" collapsed="false">
      <c r="A169" s="37" t="s">
        <v>69</v>
      </c>
      <c r="B169" s="37" t="s">
        <v>103</v>
      </c>
      <c r="C169" s="38" t="n">
        <v>346900</v>
      </c>
      <c r="D169" s="38" t="n">
        <v>0</v>
      </c>
      <c r="E169" s="38" t="n">
        <v>346900</v>
      </c>
      <c r="F169" s="43" t="n">
        <v>0</v>
      </c>
    </row>
    <row r="170" customFormat="false" ht="15" hidden="false" customHeight="false" outlineLevel="0" collapsed="false">
      <c r="A170" s="37" t="s">
        <v>69</v>
      </c>
      <c r="B170" s="37" t="s">
        <v>104</v>
      </c>
      <c r="C170" s="38" t="n">
        <v>428600</v>
      </c>
      <c r="D170" s="38" t="n">
        <v>0</v>
      </c>
      <c r="E170" s="38" t="n">
        <v>428600</v>
      </c>
      <c r="F170" s="43" t="n">
        <v>0</v>
      </c>
    </row>
    <row r="171" customFormat="false" ht="15" hidden="false" customHeight="false" outlineLevel="0" collapsed="false">
      <c r="A171" s="37" t="s">
        <v>69</v>
      </c>
      <c r="B171" s="37" t="s">
        <v>105</v>
      </c>
      <c r="C171" s="38" t="n">
        <v>397200</v>
      </c>
      <c r="D171" s="38" t="n">
        <v>0</v>
      </c>
      <c r="E171" s="38" t="n">
        <v>397200</v>
      </c>
      <c r="F171" s="43" t="n">
        <v>0</v>
      </c>
    </row>
    <row r="172" customFormat="false" ht="15" hidden="false" customHeight="false" outlineLevel="0" collapsed="false">
      <c r="A172" s="37" t="s">
        <v>69</v>
      </c>
      <c r="B172" s="37" t="s">
        <v>106</v>
      </c>
      <c r="C172" s="38" t="n">
        <v>242600</v>
      </c>
      <c r="D172" s="38" t="n">
        <v>0</v>
      </c>
      <c r="E172" s="38" t="n">
        <v>242600</v>
      </c>
      <c r="F172" s="43" t="n">
        <v>3417</v>
      </c>
    </row>
    <row r="173" customFormat="false" ht="15" hidden="false" customHeight="false" outlineLevel="0" collapsed="false">
      <c r="A173" s="37" t="s">
        <v>69</v>
      </c>
      <c r="B173" s="37" t="s">
        <v>107</v>
      </c>
      <c r="C173" s="38" t="n">
        <v>309600</v>
      </c>
      <c r="D173" s="38" t="n">
        <v>0</v>
      </c>
      <c r="E173" s="38" t="n">
        <v>309600</v>
      </c>
      <c r="F173" s="43" t="n">
        <v>0</v>
      </c>
    </row>
    <row r="174" customFormat="false" ht="15" hidden="false" customHeight="false" outlineLevel="0" collapsed="false">
      <c r="A174" s="37" t="s">
        <v>69</v>
      </c>
      <c r="B174" s="37" t="s">
        <v>108</v>
      </c>
      <c r="C174" s="38" t="n">
        <v>206300</v>
      </c>
      <c r="D174" s="38" t="n">
        <v>0</v>
      </c>
      <c r="E174" s="38" t="n">
        <v>206300</v>
      </c>
      <c r="F174" s="43" t="n">
        <v>0</v>
      </c>
    </row>
    <row r="175" customFormat="false" ht="15" hidden="false" customHeight="false" outlineLevel="0" collapsed="false">
      <c r="A175" s="37" t="s">
        <v>69</v>
      </c>
      <c r="B175" s="37" t="s">
        <v>109</v>
      </c>
      <c r="C175" s="38" t="n">
        <v>512500</v>
      </c>
      <c r="D175" s="38" t="n">
        <v>0</v>
      </c>
      <c r="E175" s="38" t="n">
        <v>512500</v>
      </c>
      <c r="F175" s="43" t="n">
        <v>0</v>
      </c>
    </row>
    <row r="176" customFormat="false" ht="15" hidden="false" customHeight="false" outlineLevel="0" collapsed="false">
      <c r="A176" s="37" t="s">
        <v>69</v>
      </c>
      <c r="B176" s="37" t="s">
        <v>110</v>
      </c>
      <c r="C176" s="38" t="n">
        <v>839000</v>
      </c>
      <c r="D176" s="38" t="n">
        <v>0</v>
      </c>
      <c r="E176" s="38" t="n">
        <v>839000</v>
      </c>
      <c r="F176" s="43" t="n">
        <v>0</v>
      </c>
    </row>
    <row r="177" customFormat="false" ht="15" hidden="false" customHeight="false" outlineLevel="0" collapsed="false">
      <c r="A177" s="37" t="s">
        <v>69</v>
      </c>
      <c r="B177" s="37" t="s">
        <v>111</v>
      </c>
      <c r="C177" s="38" t="n">
        <v>712600</v>
      </c>
      <c r="D177" s="38" t="n">
        <v>0</v>
      </c>
      <c r="E177" s="38" t="n">
        <v>712600</v>
      </c>
      <c r="F177" s="4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</cols>
  <sheetData>
    <row r="1" customFormat="false" ht="19.5" hidden="false" customHeight="true" outlineLevel="0" collapsed="false">
      <c r="A1" s="11" t="s">
        <v>122</v>
      </c>
      <c r="B1" s="11" t="s">
        <v>188</v>
      </c>
      <c r="C1" s="11" t="s">
        <v>227</v>
      </c>
    </row>
    <row r="2" customFormat="false" ht="15" hidden="false" customHeight="false" outlineLevel="0" collapsed="false">
      <c r="A2" s="37" t="s">
        <v>58</v>
      </c>
      <c r="B2" s="37" t="s">
        <v>97</v>
      </c>
      <c r="C2" s="41" t="n">
        <v>0.98</v>
      </c>
    </row>
    <row r="3" customFormat="false" ht="15" hidden="false" customHeight="false" outlineLevel="0" collapsed="false">
      <c r="A3" s="37" t="s">
        <v>58</v>
      </c>
      <c r="B3" s="37" t="s">
        <v>98</v>
      </c>
      <c r="C3" s="41" t="n">
        <v>1</v>
      </c>
    </row>
    <row r="4" customFormat="false" ht="15" hidden="false" customHeight="false" outlineLevel="0" collapsed="false">
      <c r="A4" s="37" t="s">
        <v>58</v>
      </c>
      <c r="B4" s="37" t="s">
        <v>99</v>
      </c>
      <c r="C4" s="41" t="n">
        <v>1</v>
      </c>
    </row>
    <row r="5" customFormat="false" ht="15" hidden="false" customHeight="false" outlineLevel="0" collapsed="false">
      <c r="A5" s="37" t="s">
        <v>58</v>
      </c>
      <c r="B5" s="37" t="s">
        <v>100</v>
      </c>
      <c r="C5" s="41" t="n">
        <v>1</v>
      </c>
    </row>
    <row r="6" customFormat="false" ht="15" hidden="false" customHeight="false" outlineLevel="0" collapsed="false">
      <c r="A6" s="37" t="s">
        <v>58</v>
      </c>
      <c r="B6" s="37" t="s">
        <v>101</v>
      </c>
      <c r="C6" s="41" t="n">
        <v>1</v>
      </c>
    </row>
    <row r="7" customFormat="false" ht="15" hidden="false" customHeight="false" outlineLevel="0" collapsed="false">
      <c r="A7" s="37" t="s">
        <v>58</v>
      </c>
      <c r="B7" s="37" t="s">
        <v>102</v>
      </c>
      <c r="C7" s="41" t="n">
        <v>1</v>
      </c>
    </row>
    <row r="8" customFormat="false" ht="15" hidden="false" customHeight="false" outlineLevel="0" collapsed="false">
      <c r="A8" s="37" t="s">
        <v>58</v>
      </c>
      <c r="B8" s="37" t="s">
        <v>103</v>
      </c>
      <c r="C8" s="41" t="n">
        <v>1</v>
      </c>
    </row>
    <row r="9" customFormat="false" ht="15" hidden="false" customHeight="false" outlineLevel="0" collapsed="false">
      <c r="A9" s="37" t="s">
        <v>58</v>
      </c>
      <c r="B9" s="37" t="s">
        <v>104</v>
      </c>
      <c r="C9" s="41" t="n">
        <v>1</v>
      </c>
    </row>
    <row r="10" customFormat="false" ht="15" hidden="false" customHeight="false" outlineLevel="0" collapsed="false">
      <c r="A10" s="37" t="s">
        <v>58</v>
      </c>
      <c r="B10" s="37" t="s">
        <v>105</v>
      </c>
      <c r="C10" s="41" t="n">
        <v>1</v>
      </c>
    </row>
    <row r="11" customFormat="false" ht="15" hidden="false" customHeight="false" outlineLevel="0" collapsed="false">
      <c r="A11" s="37" t="s">
        <v>58</v>
      </c>
      <c r="B11" s="37" t="s">
        <v>106</v>
      </c>
      <c r="C11" s="41" t="n">
        <v>1</v>
      </c>
    </row>
    <row r="12" customFormat="false" ht="15" hidden="false" customHeight="false" outlineLevel="0" collapsed="false">
      <c r="A12" s="37" t="s">
        <v>58</v>
      </c>
      <c r="B12" s="37" t="s">
        <v>107</v>
      </c>
      <c r="C12" s="41" t="n">
        <v>1</v>
      </c>
    </row>
    <row r="13" customFormat="false" ht="15" hidden="false" customHeight="false" outlineLevel="0" collapsed="false">
      <c r="A13" s="37" t="s">
        <v>58</v>
      </c>
      <c r="B13" s="37" t="s">
        <v>108</v>
      </c>
      <c r="C13" s="41" t="n">
        <v>1</v>
      </c>
    </row>
    <row r="14" customFormat="false" ht="15" hidden="false" customHeight="false" outlineLevel="0" collapsed="false">
      <c r="A14" s="37" t="s">
        <v>58</v>
      </c>
      <c r="B14" s="37" t="s">
        <v>109</v>
      </c>
      <c r="C14" s="41" t="n">
        <v>1</v>
      </c>
    </row>
    <row r="15" customFormat="false" ht="15" hidden="false" customHeight="false" outlineLevel="0" collapsed="false">
      <c r="A15" s="37" t="s">
        <v>58</v>
      </c>
      <c r="B15" s="37" t="s">
        <v>110</v>
      </c>
      <c r="C15" s="41" t="n">
        <v>1</v>
      </c>
    </row>
    <row r="16" customFormat="false" ht="15" hidden="false" customHeight="false" outlineLevel="0" collapsed="false">
      <c r="A16" s="37" t="s">
        <v>58</v>
      </c>
      <c r="B16" s="37" t="s">
        <v>111</v>
      </c>
      <c r="C16" s="41" t="n">
        <v>1</v>
      </c>
    </row>
    <row r="17" customFormat="false" ht="15" hidden="false" customHeight="false" outlineLevel="0" collapsed="false">
      <c r="A17" s="37" t="s">
        <v>59</v>
      </c>
      <c r="B17" s="37" t="s">
        <v>97</v>
      </c>
      <c r="C17" s="41" t="n">
        <v>0.956</v>
      </c>
    </row>
    <row r="18" customFormat="false" ht="15" hidden="false" customHeight="false" outlineLevel="0" collapsed="false">
      <c r="A18" s="37" t="s">
        <v>59</v>
      </c>
      <c r="B18" s="37" t="s">
        <v>98</v>
      </c>
      <c r="C18" s="41" t="n">
        <v>0.933</v>
      </c>
    </row>
    <row r="19" customFormat="false" ht="15" hidden="false" customHeight="false" outlineLevel="0" collapsed="false">
      <c r="A19" s="37" t="s">
        <v>59</v>
      </c>
      <c r="B19" s="37" t="s">
        <v>99</v>
      </c>
      <c r="C19" s="41" t="n">
        <v>1</v>
      </c>
    </row>
    <row r="20" customFormat="false" ht="15" hidden="false" customHeight="false" outlineLevel="0" collapsed="false">
      <c r="A20" s="37" t="s">
        <v>59</v>
      </c>
      <c r="B20" s="37" t="s">
        <v>100</v>
      </c>
      <c r="C20" s="41" t="n">
        <v>1</v>
      </c>
    </row>
    <row r="21" customFormat="false" ht="15" hidden="false" customHeight="false" outlineLevel="0" collapsed="false">
      <c r="A21" s="37" t="s">
        <v>59</v>
      </c>
      <c r="B21" s="37" t="s">
        <v>101</v>
      </c>
      <c r="C21" s="41" t="n">
        <v>1</v>
      </c>
    </row>
    <row r="22" customFormat="false" ht="15" hidden="false" customHeight="false" outlineLevel="0" collapsed="false">
      <c r="A22" s="37" t="s">
        <v>59</v>
      </c>
      <c r="B22" s="37" t="s">
        <v>102</v>
      </c>
      <c r="C22" s="41" t="n">
        <v>1</v>
      </c>
    </row>
    <row r="23" customFormat="false" ht="15" hidden="false" customHeight="false" outlineLevel="0" collapsed="false">
      <c r="A23" s="37" t="s">
        <v>59</v>
      </c>
      <c r="B23" s="37" t="s">
        <v>103</v>
      </c>
      <c r="C23" s="41" t="n">
        <v>1</v>
      </c>
    </row>
    <row r="24" customFormat="false" ht="15" hidden="false" customHeight="false" outlineLevel="0" collapsed="false">
      <c r="A24" s="37" t="s">
        <v>59</v>
      </c>
      <c r="B24" s="37" t="s">
        <v>105</v>
      </c>
      <c r="C24" s="41" t="n">
        <v>1</v>
      </c>
    </row>
    <row r="25" customFormat="false" ht="15" hidden="false" customHeight="false" outlineLevel="0" collapsed="false">
      <c r="A25" s="37" t="s">
        <v>59</v>
      </c>
      <c r="B25" s="37" t="s">
        <v>106</v>
      </c>
      <c r="C25" s="41" t="n">
        <v>1</v>
      </c>
    </row>
    <row r="26" customFormat="false" ht="15" hidden="false" customHeight="false" outlineLevel="0" collapsed="false">
      <c r="A26" s="37" t="s">
        <v>59</v>
      </c>
      <c r="B26" s="37" t="s">
        <v>107</v>
      </c>
      <c r="C26" s="41" t="n">
        <v>1</v>
      </c>
    </row>
    <row r="27" customFormat="false" ht="15" hidden="false" customHeight="false" outlineLevel="0" collapsed="false">
      <c r="A27" s="37" t="s">
        <v>59</v>
      </c>
      <c r="B27" s="37" t="s">
        <v>108</v>
      </c>
      <c r="C27" s="41" t="n">
        <v>0.942</v>
      </c>
    </row>
    <row r="28" customFormat="false" ht="15" hidden="false" customHeight="false" outlineLevel="0" collapsed="false">
      <c r="A28" s="37" t="s">
        <v>59</v>
      </c>
      <c r="B28" s="37" t="s">
        <v>109</v>
      </c>
      <c r="C28" s="41" t="n">
        <v>0.931</v>
      </c>
    </row>
    <row r="29" customFormat="false" ht="15" hidden="false" customHeight="false" outlineLevel="0" collapsed="false">
      <c r="A29" s="37" t="s">
        <v>59</v>
      </c>
      <c r="B29" s="37" t="s">
        <v>110</v>
      </c>
      <c r="C29" s="41" t="n">
        <v>0.967</v>
      </c>
    </row>
    <row r="30" customFormat="false" ht="15" hidden="false" customHeight="false" outlineLevel="0" collapsed="false">
      <c r="A30" s="37" t="s">
        <v>59</v>
      </c>
      <c r="B30" s="37" t="s">
        <v>111</v>
      </c>
      <c r="C30" s="41" t="n">
        <v>0.915</v>
      </c>
    </row>
    <row r="31" customFormat="false" ht="15" hidden="false" customHeight="false" outlineLevel="0" collapsed="false">
      <c r="A31" s="37" t="s">
        <v>60</v>
      </c>
      <c r="B31" s="37" t="s">
        <v>97</v>
      </c>
      <c r="C31" s="41" t="n">
        <v>0.936</v>
      </c>
    </row>
    <row r="32" customFormat="false" ht="15" hidden="false" customHeight="false" outlineLevel="0" collapsed="false">
      <c r="A32" s="37" t="s">
        <v>60</v>
      </c>
      <c r="B32" s="37" t="s">
        <v>98</v>
      </c>
      <c r="C32" s="41" t="n">
        <v>0.917</v>
      </c>
    </row>
    <row r="33" customFormat="false" ht="15" hidden="false" customHeight="false" outlineLevel="0" collapsed="false">
      <c r="A33" s="37" t="s">
        <v>60</v>
      </c>
      <c r="B33" s="37" t="s">
        <v>99</v>
      </c>
      <c r="C33" s="41" t="n">
        <v>0.967</v>
      </c>
    </row>
    <row r="34" customFormat="false" ht="15" hidden="false" customHeight="false" outlineLevel="0" collapsed="false">
      <c r="A34" s="37" t="s">
        <v>60</v>
      </c>
      <c r="B34" s="37" t="s">
        <v>100</v>
      </c>
      <c r="C34" s="41" t="n">
        <v>1</v>
      </c>
    </row>
    <row r="35" customFormat="false" ht="15" hidden="false" customHeight="false" outlineLevel="0" collapsed="false">
      <c r="A35" s="37" t="s">
        <v>60</v>
      </c>
      <c r="B35" s="37" t="s">
        <v>101</v>
      </c>
      <c r="C35" s="41" t="n">
        <v>1</v>
      </c>
    </row>
    <row r="36" customFormat="false" ht="15" hidden="false" customHeight="false" outlineLevel="0" collapsed="false">
      <c r="A36" s="37" t="s">
        <v>60</v>
      </c>
      <c r="B36" s="37" t="s">
        <v>102</v>
      </c>
      <c r="C36" s="41" t="n">
        <v>1</v>
      </c>
    </row>
    <row r="37" customFormat="false" ht="15" hidden="false" customHeight="false" outlineLevel="0" collapsed="false">
      <c r="A37" s="37" t="s">
        <v>60</v>
      </c>
      <c r="B37" s="37" t="s">
        <v>103</v>
      </c>
      <c r="C37" s="41" t="n">
        <v>1</v>
      </c>
    </row>
    <row r="38" customFormat="false" ht="15" hidden="false" customHeight="false" outlineLevel="0" collapsed="false">
      <c r="A38" s="37" t="s">
        <v>60</v>
      </c>
      <c r="B38" s="37" t="s">
        <v>104</v>
      </c>
      <c r="C38" s="41" t="n">
        <v>1</v>
      </c>
    </row>
    <row r="39" customFormat="false" ht="15" hidden="false" customHeight="false" outlineLevel="0" collapsed="false">
      <c r="A39" s="37" t="s">
        <v>60</v>
      </c>
      <c r="B39" s="37" t="s">
        <v>105</v>
      </c>
      <c r="C39" s="41" t="n">
        <v>1</v>
      </c>
    </row>
    <row r="40" customFormat="false" ht="15" hidden="false" customHeight="false" outlineLevel="0" collapsed="false">
      <c r="A40" s="37" t="s">
        <v>60</v>
      </c>
      <c r="B40" s="37" t="s">
        <v>106</v>
      </c>
      <c r="C40" s="41" t="n">
        <v>1</v>
      </c>
    </row>
    <row r="41" customFormat="false" ht="15" hidden="false" customHeight="false" outlineLevel="0" collapsed="false">
      <c r="A41" s="37" t="s">
        <v>60</v>
      </c>
      <c r="B41" s="37" t="s">
        <v>107</v>
      </c>
      <c r="C41" s="41" t="n">
        <v>1</v>
      </c>
    </row>
    <row r="42" customFormat="false" ht="15" hidden="false" customHeight="false" outlineLevel="0" collapsed="false">
      <c r="A42" s="37" t="s">
        <v>60</v>
      </c>
      <c r="B42" s="37" t="s">
        <v>108</v>
      </c>
      <c r="C42" s="41" t="n">
        <v>0.751</v>
      </c>
    </row>
    <row r="43" customFormat="false" ht="15" hidden="false" customHeight="false" outlineLevel="0" collapsed="false">
      <c r="A43" s="37" t="s">
        <v>60</v>
      </c>
      <c r="B43" s="37" t="s">
        <v>109</v>
      </c>
      <c r="C43" s="41" t="n">
        <v>0.645</v>
      </c>
    </row>
    <row r="44" customFormat="false" ht="15" hidden="false" customHeight="false" outlineLevel="0" collapsed="false">
      <c r="A44" s="37" t="s">
        <v>60</v>
      </c>
      <c r="B44" s="37" t="s">
        <v>110</v>
      </c>
      <c r="C44" s="41" t="n">
        <v>0.873</v>
      </c>
    </row>
    <row r="45" customFormat="false" ht="15" hidden="false" customHeight="false" outlineLevel="0" collapsed="false">
      <c r="A45" s="37" t="s">
        <v>60</v>
      </c>
      <c r="B45" s="37" t="s">
        <v>111</v>
      </c>
      <c r="C45" s="41" t="n">
        <v>0.864</v>
      </c>
    </row>
    <row r="46" customFormat="false" ht="15" hidden="false" customHeight="false" outlineLevel="0" collapsed="false">
      <c r="A46" s="37" t="s">
        <v>61</v>
      </c>
      <c r="B46" s="37" t="s">
        <v>97</v>
      </c>
      <c r="C46" s="41" t="n">
        <v>0.994</v>
      </c>
    </row>
    <row r="47" customFormat="false" ht="15" hidden="false" customHeight="false" outlineLevel="0" collapsed="false">
      <c r="A47" s="37" t="s">
        <v>61</v>
      </c>
      <c r="B47" s="37" t="s">
        <v>98</v>
      </c>
      <c r="C47" s="41" t="n">
        <v>0.946</v>
      </c>
    </row>
    <row r="48" customFormat="false" ht="15" hidden="false" customHeight="false" outlineLevel="0" collapsed="false">
      <c r="A48" s="37" t="s">
        <v>61</v>
      </c>
      <c r="B48" s="37" t="s">
        <v>99</v>
      </c>
      <c r="C48" s="41" t="n">
        <v>1</v>
      </c>
    </row>
    <row r="49" customFormat="false" ht="15" hidden="false" customHeight="false" outlineLevel="0" collapsed="false">
      <c r="A49" s="37" t="s">
        <v>61</v>
      </c>
      <c r="B49" s="37" t="s">
        <v>100</v>
      </c>
      <c r="C49" s="41" t="n">
        <v>1</v>
      </c>
    </row>
    <row r="50" customFormat="false" ht="15" hidden="false" customHeight="false" outlineLevel="0" collapsed="false">
      <c r="A50" s="37" t="s">
        <v>61</v>
      </c>
      <c r="B50" s="37" t="s">
        <v>101</v>
      </c>
      <c r="C50" s="41" t="n">
        <v>1</v>
      </c>
    </row>
    <row r="51" customFormat="false" ht="15" hidden="false" customHeight="false" outlineLevel="0" collapsed="false">
      <c r="A51" s="37" t="s">
        <v>61</v>
      </c>
      <c r="B51" s="37" t="s">
        <v>102</v>
      </c>
      <c r="C51" s="41" t="n">
        <v>1</v>
      </c>
    </row>
    <row r="52" customFormat="false" ht="15" hidden="false" customHeight="false" outlineLevel="0" collapsed="false">
      <c r="A52" s="37" t="s">
        <v>61</v>
      </c>
      <c r="B52" s="37" t="s">
        <v>103</v>
      </c>
      <c r="C52" s="41" t="n">
        <v>1</v>
      </c>
    </row>
    <row r="53" customFormat="false" ht="15" hidden="false" customHeight="false" outlineLevel="0" collapsed="false">
      <c r="A53" s="37" t="s">
        <v>61</v>
      </c>
      <c r="B53" s="37" t="s">
        <v>105</v>
      </c>
      <c r="C53" s="41" t="n">
        <v>1</v>
      </c>
    </row>
    <row r="54" customFormat="false" ht="15" hidden="false" customHeight="false" outlineLevel="0" collapsed="false">
      <c r="A54" s="37" t="s">
        <v>61</v>
      </c>
      <c r="B54" s="37" t="s">
        <v>106</v>
      </c>
      <c r="C54" s="41" t="n">
        <v>1</v>
      </c>
    </row>
    <row r="55" customFormat="false" ht="15" hidden="false" customHeight="false" outlineLevel="0" collapsed="false">
      <c r="A55" s="37" t="s">
        <v>61</v>
      </c>
      <c r="B55" s="37" t="s">
        <v>107</v>
      </c>
      <c r="C55" s="41" t="n">
        <v>1</v>
      </c>
    </row>
    <row r="56" customFormat="false" ht="15" hidden="false" customHeight="false" outlineLevel="0" collapsed="false">
      <c r="A56" s="37" t="s">
        <v>61</v>
      </c>
      <c r="B56" s="37" t="s">
        <v>108</v>
      </c>
      <c r="C56" s="41" t="n">
        <v>1</v>
      </c>
    </row>
    <row r="57" customFormat="false" ht="15" hidden="false" customHeight="false" outlineLevel="0" collapsed="false">
      <c r="A57" s="37" t="s">
        <v>61</v>
      </c>
      <c r="B57" s="37" t="s">
        <v>109</v>
      </c>
      <c r="C57" s="41" t="n">
        <v>1</v>
      </c>
    </row>
    <row r="58" customFormat="false" ht="15" hidden="false" customHeight="false" outlineLevel="0" collapsed="false">
      <c r="A58" s="37" t="s">
        <v>61</v>
      </c>
      <c r="B58" s="37" t="s">
        <v>110</v>
      </c>
      <c r="C58" s="41" t="n">
        <v>0.992</v>
      </c>
    </row>
    <row r="59" customFormat="false" ht="15" hidden="false" customHeight="false" outlineLevel="0" collapsed="false">
      <c r="A59" s="37" t="s">
        <v>61</v>
      </c>
      <c r="B59" s="37" t="s">
        <v>111</v>
      </c>
      <c r="C59" s="41" t="n">
        <v>0.995</v>
      </c>
    </row>
    <row r="60" customFormat="false" ht="15" hidden="false" customHeight="false" outlineLevel="0" collapsed="false">
      <c r="A60" s="37" t="s">
        <v>62</v>
      </c>
      <c r="B60" s="37" t="s">
        <v>97</v>
      </c>
      <c r="C60" s="41" t="n">
        <v>0.705</v>
      </c>
    </row>
    <row r="61" customFormat="false" ht="15" hidden="false" customHeight="false" outlineLevel="0" collapsed="false">
      <c r="A61" s="37" t="s">
        <v>62</v>
      </c>
      <c r="B61" s="37" t="s">
        <v>98</v>
      </c>
      <c r="C61" s="41" t="n">
        <v>0.724</v>
      </c>
    </row>
    <row r="62" customFormat="false" ht="15" hidden="false" customHeight="false" outlineLevel="0" collapsed="false">
      <c r="A62" s="37" t="s">
        <v>62</v>
      </c>
      <c r="B62" s="37" t="s">
        <v>99</v>
      </c>
      <c r="C62" s="41" t="n">
        <v>0.825</v>
      </c>
    </row>
    <row r="63" customFormat="false" ht="15" hidden="false" customHeight="false" outlineLevel="0" collapsed="false">
      <c r="A63" s="37" t="s">
        <v>62</v>
      </c>
      <c r="B63" s="37" t="s">
        <v>100</v>
      </c>
      <c r="C63" s="41" t="n">
        <v>1</v>
      </c>
    </row>
    <row r="64" customFormat="false" ht="15" hidden="false" customHeight="false" outlineLevel="0" collapsed="false">
      <c r="A64" s="37" t="s">
        <v>62</v>
      </c>
      <c r="B64" s="37" t="s">
        <v>101</v>
      </c>
      <c r="C64" s="41" t="n">
        <v>1</v>
      </c>
    </row>
    <row r="65" customFormat="false" ht="15" hidden="false" customHeight="false" outlineLevel="0" collapsed="false">
      <c r="A65" s="37" t="s">
        <v>62</v>
      </c>
      <c r="B65" s="37" t="s">
        <v>102</v>
      </c>
      <c r="C65" s="41" t="n">
        <v>1</v>
      </c>
    </row>
    <row r="66" customFormat="false" ht="15" hidden="false" customHeight="false" outlineLevel="0" collapsed="false">
      <c r="A66" s="37" t="s">
        <v>62</v>
      </c>
      <c r="B66" s="37" t="s">
        <v>103</v>
      </c>
      <c r="C66" s="41" t="n">
        <v>1</v>
      </c>
    </row>
    <row r="67" customFormat="false" ht="15" hidden="false" customHeight="false" outlineLevel="0" collapsed="false">
      <c r="A67" s="37" t="s">
        <v>62</v>
      </c>
      <c r="B67" s="37" t="s">
        <v>104</v>
      </c>
      <c r="C67" s="41" t="n">
        <v>1</v>
      </c>
    </row>
    <row r="68" customFormat="false" ht="15" hidden="false" customHeight="false" outlineLevel="0" collapsed="false">
      <c r="A68" s="37" t="s">
        <v>62</v>
      </c>
      <c r="B68" s="37" t="s">
        <v>105</v>
      </c>
      <c r="C68" s="41" t="n">
        <v>1</v>
      </c>
    </row>
    <row r="69" customFormat="false" ht="15" hidden="false" customHeight="false" outlineLevel="0" collapsed="false">
      <c r="A69" s="37" t="s">
        <v>62</v>
      </c>
      <c r="B69" s="37" t="s">
        <v>106</v>
      </c>
      <c r="C69" s="41" t="n">
        <v>0.664</v>
      </c>
    </row>
    <row r="70" customFormat="false" ht="15" hidden="false" customHeight="false" outlineLevel="0" collapsed="false">
      <c r="A70" s="37" t="s">
        <v>62</v>
      </c>
      <c r="B70" s="37" t="s">
        <v>107</v>
      </c>
      <c r="C70" s="41" t="n">
        <v>0.855</v>
      </c>
    </row>
    <row r="71" customFormat="false" ht="15" hidden="false" customHeight="false" outlineLevel="0" collapsed="false">
      <c r="A71" s="37" t="s">
        <v>62</v>
      </c>
      <c r="B71" s="37" t="s">
        <v>108</v>
      </c>
      <c r="C71" s="41" t="n">
        <v>0.042</v>
      </c>
    </row>
    <row r="72" customFormat="false" ht="15" hidden="false" customHeight="false" outlineLevel="0" collapsed="false">
      <c r="A72" s="37" t="s">
        <v>62</v>
      </c>
      <c r="B72" s="37" t="s">
        <v>109</v>
      </c>
      <c r="C72" s="41" t="n">
        <v>0.037</v>
      </c>
    </row>
    <row r="73" customFormat="false" ht="15" hidden="false" customHeight="false" outlineLevel="0" collapsed="false">
      <c r="A73" s="37" t="s">
        <v>62</v>
      </c>
      <c r="B73" s="37" t="s">
        <v>110</v>
      </c>
      <c r="C73" s="41" t="n">
        <v>0.493</v>
      </c>
    </row>
    <row r="74" customFormat="false" ht="15" hidden="false" customHeight="false" outlineLevel="0" collapsed="false">
      <c r="A74" s="37" t="s">
        <v>62</v>
      </c>
      <c r="B74" s="37" t="s">
        <v>111</v>
      </c>
      <c r="C74" s="41" t="n">
        <v>0.509</v>
      </c>
    </row>
    <row r="75" customFormat="false" ht="15" hidden="false" customHeight="false" outlineLevel="0" collapsed="false">
      <c r="A75" s="37" t="s">
        <v>63</v>
      </c>
      <c r="B75" s="37" t="s">
        <v>97</v>
      </c>
      <c r="C75" s="41" t="n">
        <v>0.947</v>
      </c>
    </row>
    <row r="76" customFormat="false" ht="15" hidden="false" customHeight="false" outlineLevel="0" collapsed="false">
      <c r="A76" s="37" t="s">
        <v>63</v>
      </c>
      <c r="B76" s="37" t="s">
        <v>98</v>
      </c>
      <c r="C76" s="41" t="n">
        <v>0.919</v>
      </c>
    </row>
    <row r="77" customFormat="false" ht="15" hidden="false" customHeight="false" outlineLevel="0" collapsed="false">
      <c r="A77" s="37" t="s">
        <v>63</v>
      </c>
      <c r="B77" s="37" t="s">
        <v>99</v>
      </c>
      <c r="C77" s="41" t="n">
        <v>1</v>
      </c>
    </row>
    <row r="78" customFormat="false" ht="15" hidden="false" customHeight="false" outlineLevel="0" collapsed="false">
      <c r="A78" s="37" t="s">
        <v>63</v>
      </c>
      <c r="B78" s="37" t="s">
        <v>100</v>
      </c>
      <c r="C78" s="41" t="n">
        <v>1</v>
      </c>
    </row>
    <row r="79" customFormat="false" ht="15" hidden="false" customHeight="false" outlineLevel="0" collapsed="false">
      <c r="A79" s="37" t="s">
        <v>63</v>
      </c>
      <c r="B79" s="37" t="s">
        <v>101</v>
      </c>
      <c r="C79" s="41" t="n">
        <v>1</v>
      </c>
    </row>
    <row r="80" customFormat="false" ht="15" hidden="false" customHeight="false" outlineLevel="0" collapsed="false">
      <c r="A80" s="37" t="s">
        <v>63</v>
      </c>
      <c r="B80" s="37" t="s">
        <v>102</v>
      </c>
      <c r="C80" s="41" t="n">
        <v>1</v>
      </c>
    </row>
    <row r="81" customFormat="false" ht="15" hidden="false" customHeight="false" outlineLevel="0" collapsed="false">
      <c r="A81" s="37" t="s">
        <v>63</v>
      </c>
      <c r="B81" s="37" t="s">
        <v>103</v>
      </c>
      <c r="C81" s="41" t="n">
        <v>1</v>
      </c>
    </row>
    <row r="82" customFormat="false" ht="15" hidden="false" customHeight="false" outlineLevel="0" collapsed="false">
      <c r="A82" s="37" t="s">
        <v>63</v>
      </c>
      <c r="B82" s="37" t="s">
        <v>104</v>
      </c>
      <c r="C82" s="41" t="n">
        <v>1</v>
      </c>
    </row>
    <row r="83" customFormat="false" ht="15" hidden="false" customHeight="false" outlineLevel="0" collapsed="false">
      <c r="A83" s="37" t="s">
        <v>63</v>
      </c>
      <c r="B83" s="37" t="s">
        <v>105</v>
      </c>
      <c r="C83" s="41" t="n">
        <v>1</v>
      </c>
    </row>
    <row r="84" customFormat="false" ht="15" hidden="false" customHeight="false" outlineLevel="0" collapsed="false">
      <c r="A84" s="37" t="s">
        <v>63</v>
      </c>
      <c r="B84" s="37" t="s">
        <v>106</v>
      </c>
      <c r="C84" s="41" t="n">
        <v>1</v>
      </c>
    </row>
    <row r="85" customFormat="false" ht="15" hidden="false" customHeight="false" outlineLevel="0" collapsed="false">
      <c r="A85" s="37" t="s">
        <v>63</v>
      </c>
      <c r="B85" s="37" t="s">
        <v>107</v>
      </c>
      <c r="C85" s="41" t="n">
        <v>1</v>
      </c>
    </row>
    <row r="86" customFormat="false" ht="15" hidden="false" customHeight="false" outlineLevel="0" collapsed="false">
      <c r="A86" s="37" t="s">
        <v>63</v>
      </c>
      <c r="B86" s="37" t="s">
        <v>108</v>
      </c>
      <c r="C86" s="41" t="n">
        <v>0.951</v>
      </c>
    </row>
    <row r="87" customFormat="false" ht="15" hidden="false" customHeight="false" outlineLevel="0" collapsed="false">
      <c r="A87" s="37" t="s">
        <v>63</v>
      </c>
      <c r="B87" s="37" t="s">
        <v>109</v>
      </c>
      <c r="C87" s="41" t="n">
        <v>0.904</v>
      </c>
    </row>
    <row r="88" customFormat="false" ht="15" hidden="false" customHeight="false" outlineLevel="0" collapsed="false">
      <c r="A88" s="37" t="s">
        <v>63</v>
      </c>
      <c r="B88" s="37" t="s">
        <v>110</v>
      </c>
      <c r="C88" s="41" t="n">
        <v>0.943</v>
      </c>
    </row>
    <row r="89" customFormat="false" ht="15" hidden="false" customHeight="false" outlineLevel="0" collapsed="false">
      <c r="A89" s="37" t="s">
        <v>63</v>
      </c>
      <c r="B89" s="37" t="s">
        <v>111</v>
      </c>
      <c r="C89" s="41" t="n">
        <v>0.918</v>
      </c>
    </row>
    <row r="90" customFormat="false" ht="15" hidden="false" customHeight="false" outlineLevel="0" collapsed="false">
      <c r="A90" s="37" t="s">
        <v>64</v>
      </c>
      <c r="B90" s="37" t="s">
        <v>97</v>
      </c>
      <c r="C90" s="41" t="n">
        <v>0.763</v>
      </c>
    </row>
    <row r="91" customFormat="false" ht="15" hidden="false" customHeight="false" outlineLevel="0" collapsed="false">
      <c r="A91" s="37" t="s">
        <v>64</v>
      </c>
      <c r="B91" s="37" t="s">
        <v>98</v>
      </c>
      <c r="C91" s="41" t="n">
        <v>0.743</v>
      </c>
    </row>
    <row r="92" customFormat="false" ht="15" hidden="false" customHeight="false" outlineLevel="0" collapsed="false">
      <c r="A92" s="37" t="s">
        <v>64</v>
      </c>
      <c r="B92" s="37" t="s">
        <v>99</v>
      </c>
      <c r="C92" s="41" t="n">
        <v>0.904</v>
      </c>
    </row>
    <row r="93" customFormat="false" ht="15" hidden="false" customHeight="false" outlineLevel="0" collapsed="false">
      <c r="A93" s="37" t="s">
        <v>64</v>
      </c>
      <c r="B93" s="37" t="s">
        <v>100</v>
      </c>
      <c r="C93" s="41" t="n">
        <v>1</v>
      </c>
    </row>
    <row r="94" customFormat="false" ht="15" hidden="false" customHeight="false" outlineLevel="0" collapsed="false">
      <c r="A94" s="37" t="s">
        <v>64</v>
      </c>
      <c r="B94" s="37" t="s">
        <v>101</v>
      </c>
      <c r="C94" s="41" t="n">
        <v>1</v>
      </c>
    </row>
    <row r="95" customFormat="false" ht="15" hidden="false" customHeight="false" outlineLevel="0" collapsed="false">
      <c r="A95" s="37" t="s">
        <v>64</v>
      </c>
      <c r="B95" s="37" t="s">
        <v>102</v>
      </c>
      <c r="C95" s="41" t="n">
        <v>1</v>
      </c>
    </row>
    <row r="96" customFormat="false" ht="15" hidden="false" customHeight="false" outlineLevel="0" collapsed="false">
      <c r="A96" s="37" t="s">
        <v>64</v>
      </c>
      <c r="B96" s="37" t="s">
        <v>103</v>
      </c>
      <c r="C96" s="41" t="n">
        <v>1</v>
      </c>
    </row>
    <row r="97" customFormat="false" ht="15" hidden="false" customHeight="false" outlineLevel="0" collapsed="false">
      <c r="A97" s="37" t="s">
        <v>64</v>
      </c>
      <c r="B97" s="37" t="s">
        <v>104</v>
      </c>
      <c r="C97" s="41" t="n">
        <v>1</v>
      </c>
    </row>
    <row r="98" customFormat="false" ht="15" hidden="false" customHeight="false" outlineLevel="0" collapsed="false">
      <c r="A98" s="37" t="s">
        <v>64</v>
      </c>
      <c r="B98" s="37" t="s">
        <v>105</v>
      </c>
      <c r="C98" s="41" t="n">
        <v>1</v>
      </c>
    </row>
    <row r="99" customFormat="false" ht="15" hidden="false" customHeight="false" outlineLevel="0" collapsed="false">
      <c r="A99" s="37" t="s">
        <v>64</v>
      </c>
      <c r="B99" s="37" t="s">
        <v>106</v>
      </c>
      <c r="C99" s="41" t="n">
        <v>0.751</v>
      </c>
    </row>
    <row r="100" customFormat="false" ht="15" hidden="false" customHeight="false" outlineLevel="0" collapsed="false">
      <c r="A100" s="37" t="s">
        <v>64</v>
      </c>
      <c r="B100" s="37" t="s">
        <v>107</v>
      </c>
      <c r="C100" s="41" t="n">
        <v>0.954</v>
      </c>
    </row>
    <row r="101" customFormat="false" ht="15" hidden="false" customHeight="false" outlineLevel="0" collapsed="false">
      <c r="A101" s="37" t="s">
        <v>64</v>
      </c>
      <c r="B101" s="37" t="s">
        <v>108</v>
      </c>
      <c r="C101" s="41" t="n">
        <v>0.11</v>
      </c>
    </row>
    <row r="102" customFormat="false" ht="15" hidden="false" customHeight="false" outlineLevel="0" collapsed="false">
      <c r="A102" s="37" t="s">
        <v>64</v>
      </c>
      <c r="B102" s="37" t="s">
        <v>109</v>
      </c>
      <c r="C102" s="41" t="n">
        <v>0.094</v>
      </c>
    </row>
    <row r="103" customFormat="false" ht="15" hidden="false" customHeight="false" outlineLevel="0" collapsed="false">
      <c r="A103" s="37" t="s">
        <v>64</v>
      </c>
      <c r="B103" s="37" t="s">
        <v>110</v>
      </c>
      <c r="C103" s="41" t="n">
        <v>0.607</v>
      </c>
    </row>
    <row r="104" customFormat="false" ht="15" hidden="false" customHeight="false" outlineLevel="0" collapsed="false">
      <c r="A104" s="37" t="s">
        <v>64</v>
      </c>
      <c r="B104" s="37" t="s">
        <v>111</v>
      </c>
      <c r="C104" s="41" t="n">
        <v>0.587</v>
      </c>
    </row>
    <row r="105" customFormat="false" ht="15" hidden="false" customHeight="false" outlineLevel="0" collapsed="false">
      <c r="A105" s="37" t="s">
        <v>65</v>
      </c>
      <c r="B105" s="37" t="s">
        <v>97</v>
      </c>
      <c r="C105" s="41" t="n">
        <v>0.791</v>
      </c>
    </row>
    <row r="106" customFormat="false" ht="15" hidden="false" customHeight="false" outlineLevel="0" collapsed="false">
      <c r="A106" s="37" t="s">
        <v>65</v>
      </c>
      <c r="B106" s="37" t="s">
        <v>98</v>
      </c>
      <c r="C106" s="41" t="n">
        <v>0.774</v>
      </c>
    </row>
    <row r="107" customFormat="false" ht="15" hidden="false" customHeight="false" outlineLevel="0" collapsed="false">
      <c r="A107" s="37" t="s">
        <v>65</v>
      </c>
      <c r="B107" s="37" t="s">
        <v>99</v>
      </c>
      <c r="C107" s="41" t="n">
        <v>0.896</v>
      </c>
    </row>
    <row r="108" customFormat="false" ht="15" hidden="false" customHeight="false" outlineLevel="0" collapsed="false">
      <c r="A108" s="37" t="s">
        <v>65</v>
      </c>
      <c r="B108" s="37" t="s">
        <v>100</v>
      </c>
      <c r="C108" s="41" t="n">
        <v>1</v>
      </c>
    </row>
    <row r="109" customFormat="false" ht="15" hidden="false" customHeight="false" outlineLevel="0" collapsed="false">
      <c r="A109" s="37" t="s">
        <v>65</v>
      </c>
      <c r="B109" s="37" t="s">
        <v>101</v>
      </c>
      <c r="C109" s="41" t="n">
        <v>1</v>
      </c>
    </row>
    <row r="110" customFormat="false" ht="15" hidden="false" customHeight="false" outlineLevel="0" collapsed="false">
      <c r="A110" s="37" t="s">
        <v>65</v>
      </c>
      <c r="B110" s="37" t="s">
        <v>102</v>
      </c>
      <c r="C110" s="41" t="n">
        <v>1</v>
      </c>
    </row>
    <row r="111" customFormat="false" ht="15" hidden="false" customHeight="false" outlineLevel="0" collapsed="false">
      <c r="A111" s="37" t="s">
        <v>65</v>
      </c>
      <c r="B111" s="37" t="s">
        <v>103</v>
      </c>
      <c r="C111" s="41" t="n">
        <v>1</v>
      </c>
    </row>
    <row r="112" customFormat="false" ht="15" hidden="false" customHeight="false" outlineLevel="0" collapsed="false">
      <c r="A112" s="37" t="s">
        <v>65</v>
      </c>
      <c r="B112" s="37" t="s">
        <v>105</v>
      </c>
      <c r="C112" s="41" t="n">
        <v>1</v>
      </c>
    </row>
    <row r="113" customFormat="false" ht="15" hidden="false" customHeight="false" outlineLevel="0" collapsed="false">
      <c r="A113" s="37" t="s">
        <v>65</v>
      </c>
      <c r="B113" s="37" t="s">
        <v>106</v>
      </c>
      <c r="C113" s="41" t="n">
        <v>0.805</v>
      </c>
    </row>
    <row r="114" customFormat="false" ht="15" hidden="false" customHeight="false" outlineLevel="0" collapsed="false">
      <c r="A114" s="37" t="s">
        <v>65</v>
      </c>
      <c r="B114" s="37" t="s">
        <v>107</v>
      </c>
      <c r="C114" s="41" t="n">
        <v>1</v>
      </c>
    </row>
    <row r="115" customFormat="false" ht="15" hidden="false" customHeight="false" outlineLevel="0" collapsed="false">
      <c r="A115" s="37" t="s">
        <v>65</v>
      </c>
      <c r="B115" s="37" t="s">
        <v>108</v>
      </c>
      <c r="C115" s="41" t="n">
        <v>0.168</v>
      </c>
    </row>
    <row r="116" customFormat="false" ht="15" hidden="false" customHeight="false" outlineLevel="0" collapsed="false">
      <c r="A116" s="37" t="s">
        <v>65</v>
      </c>
      <c r="B116" s="37" t="s">
        <v>109</v>
      </c>
      <c r="C116" s="41" t="n">
        <v>0.147</v>
      </c>
    </row>
    <row r="117" customFormat="false" ht="15" hidden="false" customHeight="false" outlineLevel="0" collapsed="false">
      <c r="A117" s="37" t="s">
        <v>65</v>
      </c>
      <c r="B117" s="37" t="s">
        <v>110</v>
      </c>
      <c r="C117" s="41" t="n">
        <v>0.648</v>
      </c>
    </row>
    <row r="118" customFormat="false" ht="15" hidden="false" customHeight="false" outlineLevel="0" collapsed="false">
      <c r="A118" s="37" t="s">
        <v>65</v>
      </c>
      <c r="B118" s="37" t="s">
        <v>111</v>
      </c>
      <c r="C118" s="41" t="n">
        <v>0.619</v>
      </c>
    </row>
    <row r="119" customFormat="false" ht="15" hidden="false" customHeight="false" outlineLevel="0" collapsed="false">
      <c r="A119" s="37" t="s">
        <v>66</v>
      </c>
      <c r="B119" s="37" t="s">
        <v>97</v>
      </c>
      <c r="C119" s="41" t="n">
        <v>0.405</v>
      </c>
    </row>
    <row r="120" customFormat="false" ht="15" hidden="false" customHeight="false" outlineLevel="0" collapsed="false">
      <c r="A120" s="37" t="s">
        <v>66</v>
      </c>
      <c r="B120" s="37" t="s">
        <v>98</v>
      </c>
      <c r="C120" s="41" t="n">
        <v>0.383</v>
      </c>
    </row>
    <row r="121" customFormat="false" ht="15" hidden="false" customHeight="false" outlineLevel="0" collapsed="false">
      <c r="A121" s="37" t="s">
        <v>66</v>
      </c>
      <c r="B121" s="37" t="s">
        <v>99</v>
      </c>
      <c r="C121" s="41" t="n">
        <v>0.525</v>
      </c>
    </row>
    <row r="122" customFormat="false" ht="15" hidden="false" customHeight="false" outlineLevel="0" collapsed="false">
      <c r="A122" s="37" t="s">
        <v>66</v>
      </c>
      <c r="B122" s="37" t="s">
        <v>100</v>
      </c>
      <c r="C122" s="41" t="n">
        <v>1</v>
      </c>
    </row>
    <row r="123" customFormat="false" ht="15" hidden="false" customHeight="false" outlineLevel="0" collapsed="false">
      <c r="A123" s="37" t="s">
        <v>66</v>
      </c>
      <c r="B123" s="37" t="s">
        <v>101</v>
      </c>
      <c r="C123" s="41" t="n">
        <v>0.989</v>
      </c>
    </row>
    <row r="124" customFormat="false" ht="15" hidden="false" customHeight="false" outlineLevel="0" collapsed="false">
      <c r="A124" s="37" t="s">
        <v>66</v>
      </c>
      <c r="B124" s="37" t="s">
        <v>102</v>
      </c>
      <c r="C124" s="41" t="n">
        <v>1</v>
      </c>
    </row>
    <row r="125" customFormat="false" ht="15" hidden="false" customHeight="false" outlineLevel="0" collapsed="false">
      <c r="A125" s="37" t="s">
        <v>66</v>
      </c>
      <c r="B125" s="37" t="s">
        <v>103</v>
      </c>
      <c r="C125" s="41" t="n">
        <v>0.941</v>
      </c>
    </row>
    <row r="126" customFormat="false" ht="15" hidden="false" customHeight="false" outlineLevel="0" collapsed="false">
      <c r="A126" s="37" t="s">
        <v>66</v>
      </c>
      <c r="B126" s="37" t="s">
        <v>104</v>
      </c>
      <c r="C126" s="41" t="n">
        <v>0.19</v>
      </c>
    </row>
    <row r="127" customFormat="false" ht="15" hidden="false" customHeight="false" outlineLevel="0" collapsed="false">
      <c r="A127" s="37" t="s">
        <v>66</v>
      </c>
      <c r="B127" s="37" t="s">
        <v>105</v>
      </c>
      <c r="C127" s="41" t="n">
        <v>0.719</v>
      </c>
    </row>
    <row r="128" customFormat="false" ht="15" hidden="false" customHeight="false" outlineLevel="0" collapsed="false">
      <c r="A128" s="37" t="s">
        <v>66</v>
      </c>
      <c r="B128" s="37" t="s">
        <v>106</v>
      </c>
      <c r="C128" s="41" t="n">
        <v>0.036</v>
      </c>
    </row>
    <row r="129" customFormat="false" ht="15" hidden="false" customHeight="false" outlineLevel="0" collapsed="false">
      <c r="A129" s="37" t="s">
        <v>66</v>
      </c>
      <c r="B129" s="37" t="s">
        <v>107</v>
      </c>
      <c r="C129" s="41" t="n">
        <v>0</v>
      </c>
    </row>
    <row r="130" customFormat="false" ht="15" hidden="false" customHeight="false" outlineLevel="0" collapsed="false">
      <c r="A130" s="37" t="s">
        <v>66</v>
      </c>
      <c r="B130" s="37" t="s">
        <v>108</v>
      </c>
      <c r="C130" s="41" t="n">
        <v>0</v>
      </c>
    </row>
    <row r="131" customFormat="false" ht="15" hidden="false" customHeight="false" outlineLevel="0" collapsed="false">
      <c r="A131" s="37" t="s">
        <v>66</v>
      </c>
      <c r="B131" s="37" t="s">
        <v>109</v>
      </c>
      <c r="C131" s="41" t="n">
        <v>0</v>
      </c>
    </row>
    <row r="132" customFormat="false" ht="15" hidden="false" customHeight="false" outlineLevel="0" collapsed="false">
      <c r="A132" s="37" t="s">
        <v>66</v>
      </c>
      <c r="B132" s="37" t="s">
        <v>110</v>
      </c>
      <c r="C132" s="41" t="n">
        <v>0.099</v>
      </c>
    </row>
    <row r="133" customFormat="false" ht="15" hidden="false" customHeight="false" outlineLevel="0" collapsed="false">
      <c r="A133" s="37" t="s">
        <v>66</v>
      </c>
      <c r="B133" s="37" t="s">
        <v>111</v>
      </c>
      <c r="C133" s="41" t="n">
        <v>0.101</v>
      </c>
    </row>
    <row r="134" customFormat="false" ht="15" hidden="false" customHeight="false" outlineLevel="0" collapsed="false">
      <c r="A134" s="37" t="s">
        <v>67</v>
      </c>
      <c r="B134" s="37" t="s">
        <v>97</v>
      </c>
      <c r="C134" s="41" t="n">
        <v>0.388</v>
      </c>
    </row>
    <row r="135" customFormat="false" ht="15" hidden="false" customHeight="false" outlineLevel="0" collapsed="false">
      <c r="A135" s="37" t="s">
        <v>67</v>
      </c>
      <c r="B135" s="37" t="s">
        <v>98</v>
      </c>
      <c r="C135" s="41" t="n">
        <v>0.402</v>
      </c>
    </row>
    <row r="136" customFormat="false" ht="15" hidden="false" customHeight="false" outlineLevel="0" collapsed="false">
      <c r="A136" s="37" t="s">
        <v>67</v>
      </c>
      <c r="B136" s="37" t="s">
        <v>99</v>
      </c>
      <c r="C136" s="41" t="n">
        <v>0.512</v>
      </c>
    </row>
    <row r="137" customFormat="false" ht="15" hidden="false" customHeight="false" outlineLevel="0" collapsed="false">
      <c r="A137" s="37" t="s">
        <v>67</v>
      </c>
      <c r="B137" s="37" t="s">
        <v>100</v>
      </c>
      <c r="C137" s="41" t="n">
        <v>1</v>
      </c>
    </row>
    <row r="138" customFormat="false" ht="15" hidden="false" customHeight="false" outlineLevel="0" collapsed="false">
      <c r="A138" s="37" t="s">
        <v>67</v>
      </c>
      <c r="B138" s="37" t="s">
        <v>101</v>
      </c>
      <c r="C138" s="41" t="n">
        <v>0.955</v>
      </c>
    </row>
    <row r="139" customFormat="false" ht="15" hidden="false" customHeight="false" outlineLevel="0" collapsed="false">
      <c r="A139" s="37" t="s">
        <v>67</v>
      </c>
      <c r="B139" s="37" t="s">
        <v>102</v>
      </c>
      <c r="C139" s="41" t="n">
        <v>1</v>
      </c>
    </row>
    <row r="140" customFormat="false" ht="15" hidden="false" customHeight="false" outlineLevel="0" collapsed="false">
      <c r="A140" s="37" t="s">
        <v>67</v>
      </c>
      <c r="B140" s="37" t="s">
        <v>103</v>
      </c>
      <c r="C140" s="41" t="n">
        <v>0.943</v>
      </c>
    </row>
    <row r="141" customFormat="false" ht="15" hidden="false" customHeight="false" outlineLevel="0" collapsed="false">
      <c r="A141" s="37" t="s">
        <v>67</v>
      </c>
      <c r="B141" s="37" t="s">
        <v>105</v>
      </c>
      <c r="C141" s="41" t="n">
        <v>0.719</v>
      </c>
    </row>
    <row r="142" customFormat="false" ht="15" hidden="false" customHeight="false" outlineLevel="0" collapsed="false">
      <c r="A142" s="37" t="s">
        <v>67</v>
      </c>
      <c r="B142" s="37" t="s">
        <v>106</v>
      </c>
      <c r="C142" s="41" t="n">
        <v>0.035</v>
      </c>
    </row>
    <row r="143" customFormat="false" ht="15" hidden="false" customHeight="false" outlineLevel="0" collapsed="false">
      <c r="A143" s="37" t="s">
        <v>67</v>
      </c>
      <c r="B143" s="37" t="s">
        <v>107</v>
      </c>
      <c r="C143" s="41" t="n">
        <v>0</v>
      </c>
    </row>
    <row r="144" customFormat="false" ht="15" hidden="false" customHeight="false" outlineLevel="0" collapsed="false">
      <c r="A144" s="37" t="s">
        <v>67</v>
      </c>
      <c r="B144" s="37" t="s">
        <v>108</v>
      </c>
      <c r="C144" s="41" t="n">
        <v>0</v>
      </c>
    </row>
    <row r="145" customFormat="false" ht="15" hidden="false" customHeight="false" outlineLevel="0" collapsed="false">
      <c r="A145" s="37" t="s">
        <v>67</v>
      </c>
      <c r="B145" s="37" t="s">
        <v>109</v>
      </c>
      <c r="C145" s="41" t="n">
        <v>0</v>
      </c>
    </row>
    <row r="146" customFormat="false" ht="15" hidden="false" customHeight="false" outlineLevel="0" collapsed="false">
      <c r="A146" s="37" t="s">
        <v>67</v>
      </c>
      <c r="B146" s="37" t="s">
        <v>110</v>
      </c>
      <c r="C146" s="41" t="n">
        <v>0.105</v>
      </c>
    </row>
    <row r="147" customFormat="false" ht="15" hidden="false" customHeight="false" outlineLevel="0" collapsed="false">
      <c r="A147" s="37" t="s">
        <v>67</v>
      </c>
      <c r="B147" s="37" t="s">
        <v>111</v>
      </c>
      <c r="C147" s="41" t="n">
        <v>0.105</v>
      </c>
    </row>
    <row r="148" customFormat="false" ht="15" hidden="false" customHeight="false" outlineLevel="0" collapsed="false">
      <c r="A148" s="37" t="s">
        <v>68</v>
      </c>
      <c r="B148" s="37" t="s">
        <v>97</v>
      </c>
      <c r="C148" s="41" t="n">
        <v>0.34</v>
      </c>
    </row>
    <row r="149" customFormat="false" ht="15" hidden="false" customHeight="false" outlineLevel="0" collapsed="false">
      <c r="A149" s="37" t="s">
        <v>68</v>
      </c>
      <c r="B149" s="37" t="s">
        <v>98</v>
      </c>
      <c r="C149" s="41" t="n">
        <v>0.356</v>
      </c>
    </row>
    <row r="150" customFormat="false" ht="15" hidden="false" customHeight="false" outlineLevel="0" collapsed="false">
      <c r="A150" s="37" t="s">
        <v>68</v>
      </c>
      <c r="B150" s="37" t="s">
        <v>99</v>
      </c>
      <c r="C150" s="41" t="n">
        <v>0.462</v>
      </c>
    </row>
    <row r="151" customFormat="false" ht="15" hidden="false" customHeight="false" outlineLevel="0" collapsed="false">
      <c r="A151" s="37" t="s">
        <v>68</v>
      </c>
      <c r="B151" s="37" t="s">
        <v>100</v>
      </c>
      <c r="C151" s="41" t="n">
        <v>1</v>
      </c>
    </row>
    <row r="152" customFormat="false" ht="15" hidden="false" customHeight="false" outlineLevel="0" collapsed="false">
      <c r="A152" s="37" t="s">
        <v>68</v>
      </c>
      <c r="B152" s="37" t="s">
        <v>101</v>
      </c>
      <c r="C152" s="41" t="n">
        <v>0.952</v>
      </c>
    </row>
    <row r="153" customFormat="false" ht="15" hidden="false" customHeight="false" outlineLevel="0" collapsed="false">
      <c r="A153" s="37" t="s">
        <v>68</v>
      </c>
      <c r="B153" s="37" t="s">
        <v>102</v>
      </c>
      <c r="C153" s="41" t="n">
        <v>1</v>
      </c>
    </row>
    <row r="154" customFormat="false" ht="15" hidden="false" customHeight="false" outlineLevel="0" collapsed="false">
      <c r="A154" s="37" t="s">
        <v>68</v>
      </c>
      <c r="B154" s="37" t="s">
        <v>103</v>
      </c>
      <c r="C154" s="41" t="n">
        <v>0.907</v>
      </c>
    </row>
    <row r="155" customFormat="false" ht="15" hidden="false" customHeight="false" outlineLevel="0" collapsed="false">
      <c r="A155" s="37" t="s">
        <v>68</v>
      </c>
      <c r="B155" s="37" t="s">
        <v>104</v>
      </c>
      <c r="C155" s="41" t="n">
        <v>0.1</v>
      </c>
    </row>
    <row r="156" customFormat="false" ht="15" hidden="false" customHeight="false" outlineLevel="0" collapsed="false">
      <c r="A156" s="37" t="s">
        <v>68</v>
      </c>
      <c r="B156" s="37" t="s">
        <v>105</v>
      </c>
      <c r="C156" s="41" t="n">
        <v>0.571</v>
      </c>
    </row>
    <row r="157" customFormat="false" ht="15" hidden="false" customHeight="false" outlineLevel="0" collapsed="false">
      <c r="A157" s="37" t="s">
        <v>68</v>
      </c>
      <c r="B157" s="37" t="s">
        <v>106</v>
      </c>
      <c r="C157" s="41" t="n">
        <v>0.009</v>
      </c>
    </row>
    <row r="158" customFormat="false" ht="15" hidden="false" customHeight="false" outlineLevel="0" collapsed="false">
      <c r="A158" s="37" t="s">
        <v>68</v>
      </c>
      <c r="B158" s="37" t="s">
        <v>107</v>
      </c>
      <c r="C158" s="41" t="n">
        <v>0</v>
      </c>
    </row>
    <row r="159" customFormat="false" ht="15" hidden="false" customHeight="false" outlineLevel="0" collapsed="false">
      <c r="A159" s="37" t="s">
        <v>68</v>
      </c>
      <c r="B159" s="37" t="s">
        <v>108</v>
      </c>
      <c r="C159" s="41" t="n">
        <v>0</v>
      </c>
    </row>
    <row r="160" customFormat="false" ht="15" hidden="false" customHeight="false" outlineLevel="0" collapsed="false">
      <c r="A160" s="37" t="s">
        <v>68</v>
      </c>
      <c r="B160" s="37" t="s">
        <v>109</v>
      </c>
      <c r="C160" s="41" t="n">
        <v>0</v>
      </c>
    </row>
    <row r="161" customFormat="false" ht="15" hidden="false" customHeight="false" outlineLevel="0" collapsed="false">
      <c r="A161" s="37" t="s">
        <v>68</v>
      </c>
      <c r="B161" s="37" t="s">
        <v>110</v>
      </c>
      <c r="C161" s="41" t="n">
        <v>0.071</v>
      </c>
    </row>
    <row r="162" customFormat="false" ht="15" hidden="false" customHeight="false" outlineLevel="0" collapsed="false">
      <c r="A162" s="37" t="s">
        <v>68</v>
      </c>
      <c r="B162" s="37" t="s">
        <v>111</v>
      </c>
      <c r="C162" s="41" t="n">
        <v>0.07</v>
      </c>
    </row>
    <row r="163" customFormat="false" ht="15" hidden="false" customHeight="false" outlineLevel="0" collapsed="false">
      <c r="A163" s="37" t="s">
        <v>69</v>
      </c>
      <c r="B163" s="37" t="s">
        <v>97</v>
      </c>
      <c r="C163" s="41" t="n">
        <v>0.114</v>
      </c>
    </row>
    <row r="164" customFormat="false" ht="15" hidden="false" customHeight="false" outlineLevel="0" collapsed="false">
      <c r="A164" s="37" t="s">
        <v>69</v>
      </c>
      <c r="B164" s="37" t="s">
        <v>98</v>
      </c>
      <c r="C164" s="41" t="n">
        <v>0.109</v>
      </c>
    </row>
    <row r="165" customFormat="false" ht="15" hidden="false" customHeight="false" outlineLevel="0" collapsed="false">
      <c r="A165" s="37" t="s">
        <v>69</v>
      </c>
      <c r="B165" s="37" t="s">
        <v>99</v>
      </c>
      <c r="C165" s="41" t="n">
        <v>0.131</v>
      </c>
    </row>
    <row r="166" customFormat="false" ht="15" hidden="false" customHeight="false" outlineLevel="0" collapsed="false">
      <c r="A166" s="37" t="s">
        <v>69</v>
      </c>
      <c r="B166" s="37" t="s">
        <v>100</v>
      </c>
      <c r="C166" s="41" t="n">
        <v>0.938</v>
      </c>
    </row>
    <row r="167" customFormat="false" ht="15" hidden="false" customHeight="false" outlineLevel="0" collapsed="false">
      <c r="A167" s="37" t="s">
        <v>69</v>
      </c>
      <c r="B167" s="37" t="s">
        <v>101</v>
      </c>
      <c r="C167" s="41" t="n">
        <v>0.304</v>
      </c>
    </row>
    <row r="168" customFormat="false" ht="15" hidden="false" customHeight="false" outlineLevel="0" collapsed="false">
      <c r="A168" s="37" t="s">
        <v>69</v>
      </c>
      <c r="B168" s="37" t="s">
        <v>102</v>
      </c>
      <c r="C168" s="41" t="n">
        <v>0.344</v>
      </c>
    </row>
    <row r="169" customFormat="false" ht="15" hidden="false" customHeight="false" outlineLevel="0" collapsed="false">
      <c r="A169" s="37" t="s">
        <v>69</v>
      </c>
      <c r="B169" s="37" t="s">
        <v>103</v>
      </c>
      <c r="C169" s="41" t="n">
        <v>0.219</v>
      </c>
    </row>
    <row r="170" customFormat="false" ht="15" hidden="false" customHeight="false" outlineLevel="0" collapsed="false">
      <c r="A170" s="37" t="s">
        <v>69</v>
      </c>
      <c r="B170" s="37" t="s">
        <v>104</v>
      </c>
      <c r="C170" s="41" t="n">
        <v>0</v>
      </c>
    </row>
    <row r="171" customFormat="false" ht="15" hidden="false" customHeight="false" outlineLevel="0" collapsed="false">
      <c r="A171" s="37" t="s">
        <v>69</v>
      </c>
      <c r="B171" s="37" t="s">
        <v>105</v>
      </c>
      <c r="C171" s="41" t="n">
        <v>0</v>
      </c>
    </row>
    <row r="172" customFormat="false" ht="15" hidden="false" customHeight="false" outlineLevel="0" collapsed="false">
      <c r="A172" s="37" t="s">
        <v>69</v>
      </c>
      <c r="B172" s="37" t="s">
        <v>106</v>
      </c>
      <c r="C172" s="41" t="n">
        <v>0</v>
      </c>
    </row>
    <row r="173" customFormat="false" ht="15" hidden="false" customHeight="false" outlineLevel="0" collapsed="false">
      <c r="A173" s="37" t="s">
        <v>69</v>
      </c>
      <c r="B173" s="37" t="s">
        <v>107</v>
      </c>
      <c r="C173" s="41" t="n">
        <v>0</v>
      </c>
    </row>
    <row r="174" customFormat="false" ht="15" hidden="false" customHeight="false" outlineLevel="0" collapsed="false">
      <c r="A174" s="37" t="s">
        <v>69</v>
      </c>
      <c r="B174" s="37" t="s">
        <v>108</v>
      </c>
      <c r="C174" s="41" t="n">
        <v>0</v>
      </c>
    </row>
    <row r="175" customFormat="false" ht="15" hidden="false" customHeight="false" outlineLevel="0" collapsed="false">
      <c r="A175" s="37" t="s">
        <v>69</v>
      </c>
      <c r="B175" s="37" t="s">
        <v>109</v>
      </c>
      <c r="C175" s="41" t="n">
        <v>0</v>
      </c>
    </row>
    <row r="176" customFormat="false" ht="15" hidden="false" customHeight="false" outlineLevel="0" collapsed="false">
      <c r="A176" s="37" t="s">
        <v>69</v>
      </c>
      <c r="B176" s="37" t="s">
        <v>110</v>
      </c>
      <c r="C176" s="41" t="n">
        <v>0</v>
      </c>
    </row>
    <row r="177" customFormat="false" ht="15" hidden="false" customHeight="false" outlineLevel="0" collapsed="false">
      <c r="A177" s="37" t="s">
        <v>69</v>
      </c>
      <c r="B177" s="37" t="s">
        <v>111</v>
      </c>
      <c r="C177" s="4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</cols>
  <sheetData>
    <row r="1" customFormat="false" ht="19.5" hidden="false" customHeight="true" outlineLevel="0" collapsed="false">
      <c r="A1" s="11" t="s">
        <v>228</v>
      </c>
      <c r="B1" s="11" t="s">
        <v>122</v>
      </c>
      <c r="C1" s="11" t="s">
        <v>188</v>
      </c>
      <c r="D1" s="11" t="s">
        <v>229</v>
      </c>
      <c r="E1" s="11" t="s">
        <v>230</v>
      </c>
    </row>
    <row r="2" customFormat="false" ht="15" hidden="false" customHeight="false" outlineLevel="0" collapsed="false">
      <c r="A2" s="37" t="s">
        <v>231</v>
      </c>
      <c r="B2" s="37" t="s">
        <v>58</v>
      </c>
      <c r="C2" s="37" t="s">
        <v>100</v>
      </c>
      <c r="D2" s="37" t="s">
        <v>201</v>
      </c>
      <c r="E2" s="38" t="n">
        <v>504300</v>
      </c>
    </row>
    <row r="3" customFormat="false" ht="15" hidden="false" customHeight="false" outlineLevel="0" collapsed="false">
      <c r="A3" s="37" t="s">
        <v>232</v>
      </c>
      <c r="B3" s="37" t="s">
        <v>58</v>
      </c>
      <c r="C3" s="37" t="s">
        <v>102</v>
      </c>
      <c r="D3" s="37" t="s">
        <v>205</v>
      </c>
      <c r="E3" s="38" t="n">
        <v>557000</v>
      </c>
    </row>
    <row r="4" customFormat="false" ht="15" hidden="false" customHeight="false" outlineLevel="0" collapsed="false">
      <c r="A4" s="37" t="s">
        <v>233</v>
      </c>
      <c r="B4" s="37" t="s">
        <v>58</v>
      </c>
      <c r="C4" s="37" t="s">
        <v>103</v>
      </c>
      <c r="D4" s="37" t="s">
        <v>205</v>
      </c>
      <c r="E4" s="38" t="n">
        <v>1000500</v>
      </c>
    </row>
    <row r="5" customFormat="false" ht="15" hidden="false" customHeight="false" outlineLevel="0" collapsed="false">
      <c r="A5" s="37" t="s">
        <v>234</v>
      </c>
      <c r="B5" s="37" t="s">
        <v>58</v>
      </c>
      <c r="C5" s="37" t="s">
        <v>104</v>
      </c>
      <c r="D5" s="37" t="s">
        <v>201</v>
      </c>
      <c r="E5" s="38" t="n">
        <v>796800</v>
      </c>
    </row>
    <row r="6" customFormat="false" ht="15" hidden="false" customHeight="false" outlineLevel="0" collapsed="false">
      <c r="A6" s="37" t="s">
        <v>235</v>
      </c>
      <c r="B6" s="37" t="s">
        <v>58</v>
      </c>
      <c r="C6" s="37" t="s">
        <v>105</v>
      </c>
      <c r="D6" s="37" t="s">
        <v>201</v>
      </c>
      <c r="E6" s="38" t="n">
        <v>1239500</v>
      </c>
    </row>
    <row r="7" customFormat="false" ht="15" hidden="false" customHeight="false" outlineLevel="0" collapsed="false">
      <c r="A7" s="37" t="s">
        <v>236</v>
      </c>
      <c r="B7" s="37" t="s">
        <v>58</v>
      </c>
      <c r="C7" s="37" t="s">
        <v>107</v>
      </c>
      <c r="D7" s="37" t="s">
        <v>201</v>
      </c>
      <c r="E7" s="38" t="n">
        <v>883100</v>
      </c>
    </row>
    <row r="8" customFormat="false" ht="15" hidden="false" customHeight="false" outlineLevel="0" collapsed="false">
      <c r="A8" s="37" t="s">
        <v>237</v>
      </c>
      <c r="B8" s="37" t="s">
        <v>58</v>
      </c>
      <c r="C8" s="37" t="s">
        <v>108</v>
      </c>
      <c r="D8" s="37" t="s">
        <v>205</v>
      </c>
      <c r="E8" s="38" t="n">
        <v>952900</v>
      </c>
    </row>
    <row r="9" customFormat="false" ht="15" hidden="false" customHeight="false" outlineLevel="0" collapsed="false">
      <c r="A9" s="37" t="s">
        <v>238</v>
      </c>
      <c r="B9" s="37" t="s">
        <v>58</v>
      </c>
      <c r="C9" s="37" t="s">
        <v>109</v>
      </c>
      <c r="D9" s="37" t="s">
        <v>201</v>
      </c>
      <c r="E9" s="38" t="n">
        <v>1208700</v>
      </c>
    </row>
    <row r="10" customFormat="false" ht="15" hidden="false" customHeight="false" outlineLevel="0" collapsed="false">
      <c r="A10" s="37" t="s">
        <v>239</v>
      </c>
      <c r="B10" s="37" t="s">
        <v>58</v>
      </c>
      <c r="C10" s="37" t="s">
        <v>110</v>
      </c>
      <c r="D10" s="37" t="s">
        <v>201</v>
      </c>
      <c r="E10" s="38" t="n">
        <v>2618700</v>
      </c>
    </row>
    <row r="11" customFormat="false" ht="15" hidden="false" customHeight="false" outlineLevel="0" collapsed="false">
      <c r="A11" s="37" t="s">
        <v>240</v>
      </c>
      <c r="B11" s="37" t="s">
        <v>58</v>
      </c>
      <c r="C11" s="37" t="s">
        <v>111</v>
      </c>
      <c r="D11" s="37" t="s">
        <v>201</v>
      </c>
      <c r="E11" s="38" t="n">
        <v>1596700</v>
      </c>
    </row>
    <row r="12" customFormat="false" ht="15" hidden="false" customHeight="false" outlineLevel="0" collapsed="false">
      <c r="A12" s="37" t="s">
        <v>241</v>
      </c>
      <c r="B12" s="37" t="s">
        <v>59</v>
      </c>
      <c r="C12" s="37" t="s">
        <v>100</v>
      </c>
      <c r="D12" s="37" t="s">
        <v>201</v>
      </c>
      <c r="E12" s="38" t="n">
        <v>1628400</v>
      </c>
    </row>
    <row r="13" customFormat="false" ht="15" hidden="false" customHeight="false" outlineLevel="0" collapsed="false">
      <c r="A13" s="37" t="s">
        <v>242</v>
      </c>
      <c r="B13" s="37" t="s">
        <v>59</v>
      </c>
      <c r="C13" s="37" t="s">
        <v>102</v>
      </c>
      <c r="D13" s="37" t="s">
        <v>205</v>
      </c>
      <c r="E13" s="38" t="n">
        <v>1249400</v>
      </c>
    </row>
    <row r="14" customFormat="false" ht="15" hidden="false" customHeight="false" outlineLevel="0" collapsed="false">
      <c r="A14" s="37" t="s">
        <v>243</v>
      </c>
      <c r="B14" s="37" t="s">
        <v>59</v>
      </c>
      <c r="C14" s="37" t="s">
        <v>103</v>
      </c>
      <c r="D14" s="37" t="s">
        <v>205</v>
      </c>
      <c r="E14" s="38" t="n">
        <v>1566400</v>
      </c>
    </row>
    <row r="15" customFormat="false" ht="15" hidden="false" customHeight="false" outlineLevel="0" collapsed="false">
      <c r="A15" s="37" t="s">
        <v>244</v>
      </c>
      <c r="B15" s="37" t="s">
        <v>59</v>
      </c>
      <c r="C15" s="37" t="s">
        <v>105</v>
      </c>
      <c r="D15" s="37" t="s">
        <v>201</v>
      </c>
      <c r="E15" s="38" t="n">
        <v>3076400</v>
      </c>
    </row>
    <row r="16" customFormat="false" ht="15" hidden="false" customHeight="false" outlineLevel="0" collapsed="false">
      <c r="A16" s="37" t="s">
        <v>245</v>
      </c>
      <c r="B16" s="37" t="s">
        <v>59</v>
      </c>
      <c r="C16" s="37" t="s">
        <v>107</v>
      </c>
      <c r="D16" s="37" t="s">
        <v>201</v>
      </c>
      <c r="E16" s="38" t="n">
        <v>1083200</v>
      </c>
    </row>
    <row r="17" customFormat="false" ht="15" hidden="false" customHeight="false" outlineLevel="0" collapsed="false">
      <c r="A17" s="37" t="s">
        <v>246</v>
      </c>
      <c r="B17" s="37" t="s">
        <v>59</v>
      </c>
      <c r="C17" s="37" t="s">
        <v>108</v>
      </c>
      <c r="D17" s="37" t="s">
        <v>205</v>
      </c>
      <c r="E17" s="38" t="n">
        <v>384200</v>
      </c>
    </row>
    <row r="18" customFormat="false" ht="15" hidden="false" customHeight="false" outlineLevel="0" collapsed="false">
      <c r="A18" s="37" t="s">
        <v>247</v>
      </c>
      <c r="B18" s="37" t="s">
        <v>59</v>
      </c>
      <c r="C18" s="37" t="s">
        <v>109</v>
      </c>
      <c r="D18" s="37" t="s">
        <v>201</v>
      </c>
      <c r="E18" s="38" t="n">
        <v>727500</v>
      </c>
    </row>
    <row r="19" customFormat="false" ht="15" hidden="false" customHeight="false" outlineLevel="0" collapsed="false">
      <c r="A19" s="37" t="s">
        <v>248</v>
      </c>
      <c r="B19" s="37" t="s">
        <v>59</v>
      </c>
      <c r="C19" s="37" t="s">
        <v>110</v>
      </c>
      <c r="D19" s="37" t="s">
        <v>201</v>
      </c>
      <c r="E19" s="38" t="n">
        <v>2532000</v>
      </c>
    </row>
    <row r="20" customFormat="false" ht="15" hidden="false" customHeight="false" outlineLevel="0" collapsed="false">
      <c r="A20" s="37" t="s">
        <v>249</v>
      </c>
      <c r="B20" s="37" t="s">
        <v>59</v>
      </c>
      <c r="C20" s="37" t="s">
        <v>111</v>
      </c>
      <c r="D20" s="37" t="s">
        <v>201</v>
      </c>
      <c r="E20" s="38" t="n">
        <v>2938600</v>
      </c>
    </row>
    <row r="21" customFormat="false" ht="15" hidden="false" customHeight="false" outlineLevel="0" collapsed="false">
      <c r="A21" s="37" t="s">
        <v>250</v>
      </c>
      <c r="B21" s="37" t="s">
        <v>60</v>
      </c>
      <c r="C21" s="37" t="s">
        <v>100</v>
      </c>
      <c r="D21" s="37" t="s">
        <v>201</v>
      </c>
      <c r="E21" s="38" t="n">
        <v>549400</v>
      </c>
    </row>
    <row r="22" customFormat="false" ht="15" hidden="false" customHeight="false" outlineLevel="0" collapsed="false">
      <c r="A22" s="37" t="s">
        <v>251</v>
      </c>
      <c r="B22" s="37" t="s">
        <v>60</v>
      </c>
      <c r="C22" s="37" t="s">
        <v>102</v>
      </c>
      <c r="D22" s="37" t="s">
        <v>205</v>
      </c>
      <c r="E22" s="38" t="n">
        <v>505200</v>
      </c>
    </row>
    <row r="23" customFormat="false" ht="15" hidden="false" customHeight="false" outlineLevel="0" collapsed="false">
      <c r="A23" s="37" t="s">
        <v>252</v>
      </c>
      <c r="B23" s="37" t="s">
        <v>60</v>
      </c>
      <c r="C23" s="37" t="s">
        <v>103</v>
      </c>
      <c r="D23" s="37" t="s">
        <v>205</v>
      </c>
      <c r="E23" s="38" t="n">
        <v>833200</v>
      </c>
    </row>
    <row r="24" customFormat="false" ht="15" hidden="false" customHeight="false" outlineLevel="0" collapsed="false">
      <c r="A24" s="37" t="s">
        <v>253</v>
      </c>
      <c r="B24" s="37" t="s">
        <v>60</v>
      </c>
      <c r="C24" s="37" t="s">
        <v>104</v>
      </c>
      <c r="D24" s="37" t="s">
        <v>201</v>
      </c>
      <c r="E24" s="38" t="n">
        <v>978100</v>
      </c>
    </row>
    <row r="25" customFormat="false" ht="15" hidden="false" customHeight="false" outlineLevel="0" collapsed="false">
      <c r="A25" s="37" t="s">
        <v>254</v>
      </c>
      <c r="B25" s="37" t="s">
        <v>60</v>
      </c>
      <c r="C25" s="37" t="s">
        <v>105</v>
      </c>
      <c r="D25" s="37" t="s">
        <v>201</v>
      </c>
      <c r="E25" s="38" t="n">
        <v>1257200</v>
      </c>
    </row>
    <row r="26" customFormat="false" ht="15" hidden="false" customHeight="false" outlineLevel="0" collapsed="false">
      <c r="A26" s="37" t="s">
        <v>255</v>
      </c>
      <c r="B26" s="37" t="s">
        <v>60</v>
      </c>
      <c r="C26" s="37" t="s">
        <v>107</v>
      </c>
      <c r="D26" s="37" t="s">
        <v>201</v>
      </c>
      <c r="E26" s="38" t="n">
        <v>1108500</v>
      </c>
    </row>
    <row r="27" customFormat="false" ht="15" hidden="false" customHeight="false" outlineLevel="0" collapsed="false">
      <c r="A27" s="37" t="s">
        <v>256</v>
      </c>
      <c r="B27" s="37" t="s">
        <v>60</v>
      </c>
      <c r="C27" s="37" t="s">
        <v>108</v>
      </c>
      <c r="D27" s="37" t="s">
        <v>205</v>
      </c>
      <c r="E27" s="38" t="n">
        <v>643900</v>
      </c>
    </row>
    <row r="28" customFormat="false" ht="15" hidden="false" customHeight="false" outlineLevel="0" collapsed="false">
      <c r="A28" s="37" t="s">
        <v>257</v>
      </c>
      <c r="B28" s="37" t="s">
        <v>60</v>
      </c>
      <c r="C28" s="37" t="s">
        <v>109</v>
      </c>
      <c r="D28" s="37" t="s">
        <v>201</v>
      </c>
      <c r="E28" s="38" t="n">
        <v>1857800</v>
      </c>
    </row>
    <row r="29" customFormat="false" ht="15" hidden="false" customHeight="false" outlineLevel="0" collapsed="false">
      <c r="A29" s="37" t="s">
        <v>258</v>
      </c>
      <c r="B29" s="37" t="s">
        <v>60</v>
      </c>
      <c r="C29" s="37" t="s">
        <v>110</v>
      </c>
      <c r="D29" s="37" t="s">
        <v>201</v>
      </c>
      <c r="E29" s="38" t="n">
        <v>2206000</v>
      </c>
    </row>
    <row r="30" customFormat="false" ht="15" hidden="false" customHeight="false" outlineLevel="0" collapsed="false">
      <c r="A30" s="37" t="s">
        <v>259</v>
      </c>
      <c r="B30" s="37" t="s">
        <v>60</v>
      </c>
      <c r="C30" s="37" t="s">
        <v>111</v>
      </c>
      <c r="D30" s="37" t="s">
        <v>201</v>
      </c>
      <c r="E30" s="38" t="n">
        <v>1754100</v>
      </c>
    </row>
    <row r="31" customFormat="false" ht="15" hidden="false" customHeight="false" outlineLevel="0" collapsed="false">
      <c r="A31" s="37" t="s">
        <v>260</v>
      </c>
      <c r="B31" s="37" t="s">
        <v>61</v>
      </c>
      <c r="C31" s="37" t="s">
        <v>100</v>
      </c>
      <c r="D31" s="37" t="s">
        <v>201</v>
      </c>
      <c r="E31" s="38" t="n">
        <v>645600</v>
      </c>
    </row>
    <row r="32" customFormat="false" ht="15" hidden="false" customHeight="false" outlineLevel="0" collapsed="false">
      <c r="A32" s="37" t="s">
        <v>261</v>
      </c>
      <c r="B32" s="37" t="s">
        <v>61</v>
      </c>
      <c r="C32" s="37" t="s">
        <v>102</v>
      </c>
      <c r="D32" s="37" t="s">
        <v>205</v>
      </c>
      <c r="E32" s="38" t="n">
        <v>572900</v>
      </c>
    </row>
    <row r="33" customFormat="false" ht="15" hidden="false" customHeight="false" outlineLevel="0" collapsed="false">
      <c r="A33" s="37" t="s">
        <v>262</v>
      </c>
      <c r="B33" s="37" t="s">
        <v>61</v>
      </c>
      <c r="C33" s="37" t="s">
        <v>103</v>
      </c>
      <c r="D33" s="37" t="s">
        <v>205</v>
      </c>
      <c r="E33" s="38" t="n">
        <v>660000</v>
      </c>
    </row>
    <row r="34" customFormat="false" ht="15" hidden="false" customHeight="false" outlineLevel="0" collapsed="false">
      <c r="A34" s="37" t="s">
        <v>263</v>
      </c>
      <c r="B34" s="37" t="s">
        <v>61</v>
      </c>
      <c r="C34" s="37" t="s">
        <v>105</v>
      </c>
      <c r="D34" s="37" t="s">
        <v>201</v>
      </c>
      <c r="E34" s="38" t="n">
        <v>1229000</v>
      </c>
    </row>
    <row r="35" customFormat="false" ht="15" hidden="false" customHeight="false" outlineLevel="0" collapsed="false">
      <c r="A35" s="37" t="s">
        <v>264</v>
      </c>
      <c r="B35" s="37" t="s">
        <v>61</v>
      </c>
      <c r="C35" s="37" t="s">
        <v>107</v>
      </c>
      <c r="D35" s="37" t="s">
        <v>201</v>
      </c>
      <c r="E35" s="38" t="n">
        <v>522300</v>
      </c>
    </row>
    <row r="36" customFormat="false" ht="15" hidden="false" customHeight="false" outlineLevel="0" collapsed="false">
      <c r="A36" s="37" t="s">
        <v>265</v>
      </c>
      <c r="B36" s="37" t="s">
        <v>61</v>
      </c>
      <c r="C36" s="37" t="s">
        <v>108</v>
      </c>
      <c r="D36" s="37" t="s">
        <v>205</v>
      </c>
      <c r="E36" s="38" t="n">
        <v>151000</v>
      </c>
    </row>
    <row r="37" customFormat="false" ht="15" hidden="false" customHeight="false" outlineLevel="0" collapsed="false">
      <c r="A37" s="37" t="s">
        <v>266</v>
      </c>
      <c r="B37" s="37" t="s">
        <v>61</v>
      </c>
      <c r="C37" s="37" t="s">
        <v>109</v>
      </c>
      <c r="D37" s="37" t="s">
        <v>201</v>
      </c>
      <c r="E37" s="38" t="n">
        <v>285800</v>
      </c>
    </row>
    <row r="38" customFormat="false" ht="15" hidden="false" customHeight="false" outlineLevel="0" collapsed="false">
      <c r="A38" s="37" t="s">
        <v>267</v>
      </c>
      <c r="B38" s="37" t="s">
        <v>61</v>
      </c>
      <c r="C38" s="37" t="s">
        <v>110</v>
      </c>
      <c r="D38" s="37" t="s">
        <v>201</v>
      </c>
      <c r="E38" s="38" t="n">
        <v>1172500</v>
      </c>
    </row>
    <row r="39" customFormat="false" ht="15" hidden="false" customHeight="false" outlineLevel="0" collapsed="false">
      <c r="A39" s="37" t="s">
        <v>268</v>
      </c>
      <c r="B39" s="37" t="s">
        <v>61</v>
      </c>
      <c r="C39" s="37" t="s">
        <v>111</v>
      </c>
      <c r="D39" s="37" t="s">
        <v>201</v>
      </c>
      <c r="E39" s="38" t="n">
        <v>1309500</v>
      </c>
    </row>
    <row r="40" customFormat="false" ht="15" hidden="false" customHeight="false" outlineLevel="0" collapsed="false">
      <c r="A40" s="37" t="s">
        <v>269</v>
      </c>
      <c r="B40" s="37" t="s">
        <v>62</v>
      </c>
      <c r="C40" s="37" t="s">
        <v>100</v>
      </c>
      <c r="D40" s="37" t="s">
        <v>201</v>
      </c>
      <c r="E40" s="38" t="n">
        <v>1013400</v>
      </c>
    </row>
    <row r="41" customFormat="false" ht="15" hidden="false" customHeight="false" outlineLevel="0" collapsed="false">
      <c r="A41" s="37" t="s">
        <v>270</v>
      </c>
      <c r="B41" s="37" t="s">
        <v>62</v>
      </c>
      <c r="C41" s="37" t="s">
        <v>102</v>
      </c>
      <c r="D41" s="37" t="s">
        <v>205</v>
      </c>
      <c r="E41" s="38" t="n">
        <v>808000</v>
      </c>
    </row>
    <row r="42" customFormat="false" ht="15" hidden="false" customHeight="false" outlineLevel="0" collapsed="false">
      <c r="A42" s="37" t="s">
        <v>271</v>
      </c>
      <c r="B42" s="37" t="s">
        <v>62</v>
      </c>
      <c r="C42" s="37" t="s">
        <v>103</v>
      </c>
      <c r="D42" s="37" t="s">
        <v>205</v>
      </c>
      <c r="E42" s="38" t="n">
        <v>1711500</v>
      </c>
    </row>
    <row r="43" customFormat="false" ht="15" hidden="false" customHeight="false" outlineLevel="0" collapsed="false">
      <c r="A43" s="37" t="s">
        <v>272</v>
      </c>
      <c r="B43" s="37" t="s">
        <v>62</v>
      </c>
      <c r="C43" s="37" t="s">
        <v>104</v>
      </c>
      <c r="D43" s="37" t="s">
        <v>201</v>
      </c>
      <c r="E43" s="38" t="n">
        <v>720700</v>
      </c>
    </row>
    <row r="44" customFormat="false" ht="15" hidden="false" customHeight="false" outlineLevel="0" collapsed="false">
      <c r="A44" s="37" t="s">
        <v>273</v>
      </c>
      <c r="B44" s="37" t="s">
        <v>62</v>
      </c>
      <c r="C44" s="37" t="s">
        <v>105</v>
      </c>
      <c r="D44" s="37" t="s">
        <v>201</v>
      </c>
      <c r="E44" s="38" t="n">
        <v>3079300</v>
      </c>
    </row>
    <row r="45" customFormat="false" ht="15" hidden="false" customHeight="false" outlineLevel="0" collapsed="false">
      <c r="A45" s="37" t="s">
        <v>274</v>
      </c>
      <c r="B45" s="37" t="s">
        <v>62</v>
      </c>
      <c r="C45" s="37" t="s">
        <v>107</v>
      </c>
      <c r="D45" s="37" t="s">
        <v>201</v>
      </c>
      <c r="E45" s="38" t="n">
        <v>1486700</v>
      </c>
    </row>
    <row r="46" customFormat="false" ht="15" hidden="false" customHeight="false" outlineLevel="0" collapsed="false">
      <c r="A46" s="37" t="s">
        <v>275</v>
      </c>
      <c r="B46" s="37" t="s">
        <v>62</v>
      </c>
      <c r="C46" s="37" t="s">
        <v>108</v>
      </c>
      <c r="D46" s="37" t="s">
        <v>205</v>
      </c>
      <c r="E46" s="38" t="n">
        <v>908100</v>
      </c>
    </row>
    <row r="47" customFormat="false" ht="15" hidden="false" customHeight="false" outlineLevel="0" collapsed="false">
      <c r="A47" s="37" t="s">
        <v>276</v>
      </c>
      <c r="B47" s="37" t="s">
        <v>62</v>
      </c>
      <c r="C47" s="37" t="s">
        <v>109</v>
      </c>
      <c r="D47" s="37" t="s">
        <v>201</v>
      </c>
      <c r="E47" s="38" t="n">
        <v>2550500</v>
      </c>
    </row>
    <row r="48" customFormat="false" ht="15" hidden="false" customHeight="false" outlineLevel="0" collapsed="false">
      <c r="A48" s="37" t="s">
        <v>277</v>
      </c>
      <c r="B48" s="37" t="s">
        <v>62</v>
      </c>
      <c r="C48" s="37" t="s">
        <v>110</v>
      </c>
      <c r="D48" s="37" t="s">
        <v>201</v>
      </c>
      <c r="E48" s="38" t="n">
        <v>3362800</v>
      </c>
    </row>
    <row r="49" customFormat="false" ht="15" hidden="false" customHeight="false" outlineLevel="0" collapsed="false">
      <c r="A49" s="37" t="s">
        <v>278</v>
      </c>
      <c r="B49" s="37" t="s">
        <v>62</v>
      </c>
      <c r="C49" s="37" t="s">
        <v>111</v>
      </c>
      <c r="D49" s="37" t="s">
        <v>201</v>
      </c>
      <c r="E49" s="38" t="n">
        <v>2554100</v>
      </c>
    </row>
    <row r="50" customFormat="false" ht="15" hidden="false" customHeight="false" outlineLevel="0" collapsed="false">
      <c r="A50" s="37" t="s">
        <v>279</v>
      </c>
      <c r="B50" s="37" t="s">
        <v>63</v>
      </c>
      <c r="C50" s="37" t="s">
        <v>100</v>
      </c>
      <c r="D50" s="37" t="s">
        <v>201</v>
      </c>
      <c r="E50" s="38" t="n">
        <v>315700</v>
      </c>
    </row>
    <row r="51" customFormat="false" ht="15" hidden="false" customHeight="false" outlineLevel="0" collapsed="false">
      <c r="A51" s="37" t="s">
        <v>280</v>
      </c>
      <c r="B51" s="37" t="s">
        <v>63</v>
      </c>
      <c r="C51" s="37" t="s">
        <v>102</v>
      </c>
      <c r="D51" s="37" t="s">
        <v>205</v>
      </c>
      <c r="E51" s="38" t="n">
        <v>287900</v>
      </c>
    </row>
    <row r="52" customFormat="false" ht="15" hidden="false" customHeight="false" outlineLevel="0" collapsed="false">
      <c r="A52" s="37" t="s">
        <v>281</v>
      </c>
      <c r="B52" s="37" t="s">
        <v>63</v>
      </c>
      <c r="C52" s="37" t="s">
        <v>103</v>
      </c>
      <c r="D52" s="37" t="s">
        <v>205</v>
      </c>
      <c r="E52" s="38" t="n">
        <v>518400</v>
      </c>
    </row>
    <row r="53" customFormat="false" ht="15" hidden="false" customHeight="false" outlineLevel="0" collapsed="false">
      <c r="A53" s="37" t="s">
        <v>282</v>
      </c>
      <c r="B53" s="37" t="s">
        <v>63</v>
      </c>
      <c r="C53" s="37" t="s">
        <v>104</v>
      </c>
      <c r="D53" s="37" t="s">
        <v>201</v>
      </c>
      <c r="E53" s="38" t="n">
        <v>520700</v>
      </c>
    </row>
    <row r="54" customFormat="false" ht="15" hidden="false" customHeight="false" outlineLevel="0" collapsed="false">
      <c r="A54" s="37" t="s">
        <v>283</v>
      </c>
      <c r="B54" s="37" t="s">
        <v>63</v>
      </c>
      <c r="C54" s="37" t="s">
        <v>105</v>
      </c>
      <c r="D54" s="37" t="s">
        <v>201</v>
      </c>
      <c r="E54" s="38" t="n">
        <v>705900</v>
      </c>
    </row>
    <row r="55" customFormat="false" ht="15" hidden="false" customHeight="false" outlineLevel="0" collapsed="false">
      <c r="A55" s="37" t="s">
        <v>284</v>
      </c>
      <c r="B55" s="37" t="s">
        <v>63</v>
      </c>
      <c r="C55" s="37" t="s">
        <v>107</v>
      </c>
      <c r="D55" s="37" t="s">
        <v>201</v>
      </c>
      <c r="E55" s="38" t="n">
        <v>400200</v>
      </c>
    </row>
    <row r="56" customFormat="false" ht="15" hidden="false" customHeight="false" outlineLevel="0" collapsed="false">
      <c r="A56" s="37" t="s">
        <v>285</v>
      </c>
      <c r="B56" s="37" t="s">
        <v>63</v>
      </c>
      <c r="C56" s="37" t="s">
        <v>108</v>
      </c>
      <c r="D56" s="37" t="s">
        <v>205</v>
      </c>
      <c r="E56" s="38" t="n">
        <v>355600</v>
      </c>
    </row>
    <row r="57" customFormat="false" ht="15" hidden="false" customHeight="false" outlineLevel="0" collapsed="false">
      <c r="A57" s="37" t="s">
        <v>286</v>
      </c>
      <c r="B57" s="37" t="s">
        <v>63</v>
      </c>
      <c r="C57" s="37" t="s">
        <v>109</v>
      </c>
      <c r="D57" s="37" t="s">
        <v>201</v>
      </c>
      <c r="E57" s="38" t="n">
        <v>822900</v>
      </c>
    </row>
    <row r="58" customFormat="false" ht="15" hidden="false" customHeight="false" outlineLevel="0" collapsed="false">
      <c r="A58" s="37" t="s">
        <v>287</v>
      </c>
      <c r="B58" s="37" t="s">
        <v>63</v>
      </c>
      <c r="C58" s="37" t="s">
        <v>110</v>
      </c>
      <c r="D58" s="37" t="s">
        <v>201</v>
      </c>
      <c r="E58" s="38" t="n">
        <v>1267400</v>
      </c>
    </row>
    <row r="59" customFormat="false" ht="15" hidden="false" customHeight="false" outlineLevel="0" collapsed="false">
      <c r="A59" s="37" t="s">
        <v>288</v>
      </c>
      <c r="B59" s="37" t="s">
        <v>63</v>
      </c>
      <c r="C59" s="37" t="s">
        <v>111</v>
      </c>
      <c r="D59" s="37" t="s">
        <v>201</v>
      </c>
      <c r="E59" s="38" t="n">
        <v>980600</v>
      </c>
    </row>
    <row r="60" customFormat="false" ht="15" hidden="false" customHeight="false" outlineLevel="0" collapsed="false">
      <c r="A60" s="37" t="s">
        <v>289</v>
      </c>
      <c r="B60" s="37" t="s">
        <v>64</v>
      </c>
      <c r="C60" s="37" t="s">
        <v>100</v>
      </c>
      <c r="D60" s="37" t="s">
        <v>201</v>
      </c>
      <c r="E60" s="38" t="n">
        <v>396500</v>
      </c>
    </row>
    <row r="61" customFormat="false" ht="15" hidden="false" customHeight="false" outlineLevel="0" collapsed="false">
      <c r="A61" s="37" t="s">
        <v>290</v>
      </c>
      <c r="B61" s="37" t="s">
        <v>64</v>
      </c>
      <c r="C61" s="37" t="s">
        <v>102</v>
      </c>
      <c r="D61" s="37" t="s">
        <v>205</v>
      </c>
      <c r="E61" s="38" t="n">
        <v>456400</v>
      </c>
    </row>
    <row r="62" customFormat="false" ht="15" hidden="false" customHeight="false" outlineLevel="0" collapsed="false">
      <c r="A62" s="37" t="s">
        <v>291</v>
      </c>
      <c r="B62" s="37" t="s">
        <v>64</v>
      </c>
      <c r="C62" s="37" t="s">
        <v>103</v>
      </c>
      <c r="D62" s="37" t="s">
        <v>205</v>
      </c>
      <c r="E62" s="38" t="n">
        <v>767600</v>
      </c>
    </row>
    <row r="63" customFormat="false" ht="15" hidden="false" customHeight="false" outlineLevel="0" collapsed="false">
      <c r="A63" s="37" t="s">
        <v>292</v>
      </c>
      <c r="B63" s="37" t="s">
        <v>64</v>
      </c>
      <c r="C63" s="37" t="s">
        <v>104</v>
      </c>
      <c r="D63" s="37" t="s">
        <v>201</v>
      </c>
      <c r="E63" s="38" t="n">
        <v>811100</v>
      </c>
    </row>
    <row r="64" customFormat="false" ht="15" hidden="false" customHeight="false" outlineLevel="0" collapsed="false">
      <c r="A64" s="37" t="s">
        <v>293</v>
      </c>
      <c r="B64" s="37" t="s">
        <v>64</v>
      </c>
      <c r="C64" s="37" t="s">
        <v>105</v>
      </c>
      <c r="D64" s="37" t="s">
        <v>201</v>
      </c>
      <c r="E64" s="38" t="n">
        <v>735800</v>
      </c>
    </row>
    <row r="65" customFormat="false" ht="15" hidden="false" customHeight="false" outlineLevel="0" collapsed="false">
      <c r="A65" s="37" t="s">
        <v>294</v>
      </c>
      <c r="B65" s="37" t="s">
        <v>64</v>
      </c>
      <c r="C65" s="37" t="s">
        <v>107</v>
      </c>
      <c r="D65" s="37" t="s">
        <v>201</v>
      </c>
      <c r="E65" s="38" t="n">
        <v>705400</v>
      </c>
    </row>
    <row r="66" customFormat="false" ht="15" hidden="false" customHeight="false" outlineLevel="0" collapsed="false">
      <c r="A66" s="37" t="s">
        <v>295</v>
      </c>
      <c r="B66" s="37" t="s">
        <v>64</v>
      </c>
      <c r="C66" s="37" t="s">
        <v>108</v>
      </c>
      <c r="D66" s="37" t="s">
        <v>205</v>
      </c>
      <c r="E66" s="38" t="n">
        <v>430700</v>
      </c>
    </row>
    <row r="67" customFormat="false" ht="15" hidden="false" customHeight="false" outlineLevel="0" collapsed="false">
      <c r="A67" s="37" t="s">
        <v>296</v>
      </c>
      <c r="B67" s="37" t="s">
        <v>64</v>
      </c>
      <c r="C67" s="37" t="s">
        <v>109</v>
      </c>
      <c r="D67" s="37" t="s">
        <v>201</v>
      </c>
      <c r="E67" s="38" t="n">
        <v>884500</v>
      </c>
    </row>
    <row r="68" customFormat="false" ht="15" hidden="false" customHeight="false" outlineLevel="0" collapsed="false">
      <c r="A68" s="37" t="s">
        <v>297</v>
      </c>
      <c r="B68" s="37" t="s">
        <v>64</v>
      </c>
      <c r="C68" s="37" t="s">
        <v>110</v>
      </c>
      <c r="D68" s="37" t="s">
        <v>201</v>
      </c>
      <c r="E68" s="38" t="n">
        <v>1898700</v>
      </c>
    </row>
    <row r="69" customFormat="false" ht="15" hidden="false" customHeight="false" outlineLevel="0" collapsed="false">
      <c r="A69" s="37" t="s">
        <v>298</v>
      </c>
      <c r="B69" s="37" t="s">
        <v>64</v>
      </c>
      <c r="C69" s="37" t="s">
        <v>111</v>
      </c>
      <c r="D69" s="37" t="s">
        <v>201</v>
      </c>
      <c r="E69" s="38" t="n">
        <v>1052300</v>
      </c>
    </row>
    <row r="70" customFormat="false" ht="15" hidden="false" customHeight="false" outlineLevel="0" collapsed="false">
      <c r="A70" s="37" t="s">
        <v>299</v>
      </c>
      <c r="B70" s="37" t="s">
        <v>65</v>
      </c>
      <c r="C70" s="37" t="s">
        <v>100</v>
      </c>
      <c r="D70" s="37" t="s">
        <v>201</v>
      </c>
      <c r="E70" s="38" t="n">
        <v>1315300</v>
      </c>
    </row>
    <row r="71" customFormat="false" ht="15" hidden="false" customHeight="false" outlineLevel="0" collapsed="false">
      <c r="A71" s="37" t="s">
        <v>300</v>
      </c>
      <c r="B71" s="37" t="s">
        <v>65</v>
      </c>
      <c r="C71" s="37" t="s">
        <v>102</v>
      </c>
      <c r="D71" s="37" t="s">
        <v>205</v>
      </c>
      <c r="E71" s="38" t="n">
        <v>881000</v>
      </c>
    </row>
    <row r="72" customFormat="false" ht="15" hidden="false" customHeight="false" outlineLevel="0" collapsed="false">
      <c r="A72" s="37" t="s">
        <v>301</v>
      </c>
      <c r="B72" s="37" t="s">
        <v>65</v>
      </c>
      <c r="C72" s="37" t="s">
        <v>103</v>
      </c>
      <c r="D72" s="37" t="s">
        <v>205</v>
      </c>
      <c r="E72" s="38" t="n">
        <v>1292800</v>
      </c>
    </row>
    <row r="73" customFormat="false" ht="15" hidden="false" customHeight="false" outlineLevel="0" collapsed="false">
      <c r="A73" s="37" t="s">
        <v>302</v>
      </c>
      <c r="B73" s="37" t="s">
        <v>65</v>
      </c>
      <c r="C73" s="37" t="s">
        <v>105</v>
      </c>
      <c r="D73" s="37" t="s">
        <v>201</v>
      </c>
      <c r="E73" s="38" t="n">
        <v>2620700</v>
      </c>
    </row>
    <row r="74" customFormat="false" ht="15" hidden="false" customHeight="false" outlineLevel="0" collapsed="false">
      <c r="A74" s="37" t="s">
        <v>303</v>
      </c>
      <c r="B74" s="37" t="s">
        <v>65</v>
      </c>
      <c r="C74" s="37" t="s">
        <v>107</v>
      </c>
      <c r="D74" s="37" t="s">
        <v>201</v>
      </c>
      <c r="E74" s="38" t="n">
        <v>990400</v>
      </c>
    </row>
    <row r="75" customFormat="false" ht="15" hidden="false" customHeight="false" outlineLevel="0" collapsed="false">
      <c r="A75" s="37" t="s">
        <v>304</v>
      </c>
      <c r="B75" s="37" t="s">
        <v>65</v>
      </c>
      <c r="C75" s="37" t="s">
        <v>108</v>
      </c>
      <c r="D75" s="37" t="s">
        <v>205</v>
      </c>
      <c r="E75" s="38" t="n">
        <v>293600</v>
      </c>
    </row>
    <row r="76" customFormat="false" ht="15" hidden="false" customHeight="false" outlineLevel="0" collapsed="false">
      <c r="A76" s="37" t="s">
        <v>305</v>
      </c>
      <c r="B76" s="37" t="s">
        <v>65</v>
      </c>
      <c r="C76" s="37" t="s">
        <v>109</v>
      </c>
      <c r="D76" s="37" t="s">
        <v>201</v>
      </c>
      <c r="E76" s="38" t="n">
        <v>626700</v>
      </c>
    </row>
    <row r="77" customFormat="false" ht="15" hidden="false" customHeight="false" outlineLevel="0" collapsed="false">
      <c r="A77" s="37" t="s">
        <v>306</v>
      </c>
      <c r="B77" s="37" t="s">
        <v>65</v>
      </c>
      <c r="C77" s="37" t="s">
        <v>110</v>
      </c>
      <c r="D77" s="37" t="s">
        <v>201</v>
      </c>
      <c r="E77" s="38" t="n">
        <v>2709200</v>
      </c>
    </row>
    <row r="78" customFormat="false" ht="15" hidden="false" customHeight="false" outlineLevel="0" collapsed="false">
      <c r="A78" s="37" t="s">
        <v>307</v>
      </c>
      <c r="B78" s="37" t="s">
        <v>65</v>
      </c>
      <c r="C78" s="37" t="s">
        <v>111</v>
      </c>
      <c r="D78" s="37" t="s">
        <v>201</v>
      </c>
      <c r="E78" s="38" t="n">
        <v>1931200</v>
      </c>
    </row>
    <row r="79" customFormat="false" ht="15" hidden="false" customHeight="false" outlineLevel="0" collapsed="false">
      <c r="A79" s="37" t="s">
        <v>308</v>
      </c>
      <c r="B79" s="37" t="s">
        <v>66</v>
      </c>
      <c r="C79" s="37" t="s">
        <v>100</v>
      </c>
      <c r="D79" s="37" t="s">
        <v>201</v>
      </c>
      <c r="E79" s="38" t="n">
        <v>716500</v>
      </c>
    </row>
    <row r="80" customFormat="false" ht="15" hidden="false" customHeight="false" outlineLevel="0" collapsed="false">
      <c r="A80" s="37" t="s">
        <v>309</v>
      </c>
      <c r="B80" s="37" t="s">
        <v>66</v>
      </c>
      <c r="C80" s="37" t="s">
        <v>102</v>
      </c>
      <c r="D80" s="37" t="s">
        <v>205</v>
      </c>
      <c r="E80" s="38" t="n">
        <v>537500</v>
      </c>
    </row>
    <row r="81" customFormat="false" ht="15" hidden="false" customHeight="false" outlineLevel="0" collapsed="false">
      <c r="A81" s="37" t="s">
        <v>310</v>
      </c>
      <c r="B81" s="37" t="s">
        <v>66</v>
      </c>
      <c r="C81" s="37" t="s">
        <v>103</v>
      </c>
      <c r="D81" s="37" t="s">
        <v>205</v>
      </c>
      <c r="E81" s="38" t="n">
        <v>933900</v>
      </c>
    </row>
    <row r="82" customFormat="false" ht="15" hidden="false" customHeight="false" outlineLevel="0" collapsed="false">
      <c r="A82" s="37" t="s">
        <v>311</v>
      </c>
      <c r="B82" s="37" t="s">
        <v>66</v>
      </c>
      <c r="C82" s="37" t="s">
        <v>104</v>
      </c>
      <c r="D82" s="37" t="s">
        <v>201</v>
      </c>
      <c r="E82" s="38" t="n">
        <v>1107700</v>
      </c>
    </row>
    <row r="83" customFormat="false" ht="15" hidden="false" customHeight="false" outlineLevel="0" collapsed="false">
      <c r="A83" s="37" t="s">
        <v>312</v>
      </c>
      <c r="B83" s="37" t="s">
        <v>66</v>
      </c>
      <c r="C83" s="37" t="s">
        <v>105</v>
      </c>
      <c r="D83" s="37" t="s">
        <v>201</v>
      </c>
      <c r="E83" s="38" t="n">
        <v>809400</v>
      </c>
    </row>
    <row r="84" customFormat="false" ht="15" hidden="false" customHeight="false" outlineLevel="0" collapsed="false">
      <c r="A84" s="37" t="s">
        <v>313</v>
      </c>
      <c r="B84" s="37" t="s">
        <v>66</v>
      </c>
      <c r="C84" s="37" t="s">
        <v>107</v>
      </c>
      <c r="D84" s="37" t="s">
        <v>201</v>
      </c>
      <c r="E84" s="38" t="n">
        <v>967100</v>
      </c>
    </row>
    <row r="85" customFormat="false" ht="15" hidden="false" customHeight="false" outlineLevel="0" collapsed="false">
      <c r="A85" s="37" t="s">
        <v>314</v>
      </c>
      <c r="B85" s="37" t="s">
        <v>66</v>
      </c>
      <c r="C85" s="37" t="s">
        <v>108</v>
      </c>
      <c r="D85" s="37" t="s">
        <v>205</v>
      </c>
      <c r="E85" s="38" t="n">
        <v>973400</v>
      </c>
    </row>
    <row r="86" customFormat="false" ht="15" hidden="false" customHeight="false" outlineLevel="0" collapsed="false">
      <c r="A86" s="37" t="s">
        <v>315</v>
      </c>
      <c r="B86" s="37" t="s">
        <v>66</v>
      </c>
      <c r="C86" s="37" t="s">
        <v>109</v>
      </c>
      <c r="D86" s="37" t="s">
        <v>201</v>
      </c>
      <c r="E86" s="38" t="n">
        <v>2297400</v>
      </c>
    </row>
    <row r="87" customFormat="false" ht="15" hidden="false" customHeight="false" outlineLevel="0" collapsed="false">
      <c r="A87" s="37" t="s">
        <v>316</v>
      </c>
      <c r="B87" s="37" t="s">
        <v>66</v>
      </c>
      <c r="C87" s="37" t="s">
        <v>110</v>
      </c>
      <c r="D87" s="37" t="s">
        <v>201</v>
      </c>
      <c r="E87" s="38" t="n">
        <v>2327200</v>
      </c>
    </row>
    <row r="88" customFormat="false" ht="15" hidden="false" customHeight="false" outlineLevel="0" collapsed="false">
      <c r="A88" s="37" t="s">
        <v>317</v>
      </c>
      <c r="B88" s="37" t="s">
        <v>66</v>
      </c>
      <c r="C88" s="37" t="s">
        <v>111</v>
      </c>
      <c r="D88" s="37" t="s">
        <v>201</v>
      </c>
      <c r="E88" s="38" t="n">
        <v>2499100</v>
      </c>
    </row>
    <row r="89" customFormat="false" ht="15" hidden="false" customHeight="false" outlineLevel="0" collapsed="false">
      <c r="A89" s="37" t="s">
        <v>318</v>
      </c>
      <c r="B89" s="37" t="s">
        <v>67</v>
      </c>
      <c r="C89" s="37" t="s">
        <v>100</v>
      </c>
      <c r="D89" s="37" t="s">
        <v>201</v>
      </c>
      <c r="E89" s="38" t="n">
        <v>903400</v>
      </c>
    </row>
    <row r="90" customFormat="false" ht="15" hidden="false" customHeight="false" outlineLevel="0" collapsed="false">
      <c r="A90" s="37" t="s">
        <v>319</v>
      </c>
      <c r="B90" s="37" t="s">
        <v>67</v>
      </c>
      <c r="C90" s="37" t="s">
        <v>102</v>
      </c>
      <c r="D90" s="37" t="s">
        <v>205</v>
      </c>
      <c r="E90" s="38" t="n">
        <v>707200</v>
      </c>
    </row>
    <row r="91" customFormat="false" ht="15" hidden="false" customHeight="false" outlineLevel="0" collapsed="false">
      <c r="A91" s="37" t="s">
        <v>320</v>
      </c>
      <c r="B91" s="37" t="s">
        <v>67</v>
      </c>
      <c r="C91" s="37" t="s">
        <v>103</v>
      </c>
      <c r="D91" s="37" t="s">
        <v>205</v>
      </c>
      <c r="E91" s="38" t="n">
        <v>892000</v>
      </c>
    </row>
    <row r="92" customFormat="false" ht="15" hidden="false" customHeight="false" outlineLevel="0" collapsed="false">
      <c r="A92" s="37" t="s">
        <v>321</v>
      </c>
      <c r="B92" s="37" t="s">
        <v>67</v>
      </c>
      <c r="C92" s="37" t="s">
        <v>105</v>
      </c>
      <c r="D92" s="37" t="s">
        <v>201</v>
      </c>
      <c r="E92" s="38" t="n">
        <v>1648500</v>
      </c>
    </row>
    <row r="93" customFormat="false" ht="15" hidden="false" customHeight="false" outlineLevel="0" collapsed="false">
      <c r="A93" s="37" t="s">
        <v>322</v>
      </c>
      <c r="B93" s="37" t="s">
        <v>67</v>
      </c>
      <c r="C93" s="37" t="s">
        <v>107</v>
      </c>
      <c r="D93" s="37" t="s">
        <v>201</v>
      </c>
      <c r="E93" s="38" t="n">
        <v>783300</v>
      </c>
    </row>
    <row r="94" customFormat="false" ht="15" hidden="false" customHeight="false" outlineLevel="0" collapsed="false">
      <c r="A94" s="37" t="s">
        <v>323</v>
      </c>
      <c r="B94" s="37" t="s">
        <v>67</v>
      </c>
      <c r="C94" s="37" t="s">
        <v>108</v>
      </c>
      <c r="D94" s="37" t="s">
        <v>205</v>
      </c>
      <c r="E94" s="38" t="n">
        <v>222400</v>
      </c>
    </row>
    <row r="95" customFormat="false" ht="15" hidden="false" customHeight="false" outlineLevel="0" collapsed="false">
      <c r="A95" s="37" t="s">
        <v>324</v>
      </c>
      <c r="B95" s="37" t="s">
        <v>67</v>
      </c>
      <c r="C95" s="37" t="s">
        <v>109</v>
      </c>
      <c r="D95" s="37" t="s">
        <v>201</v>
      </c>
      <c r="E95" s="38" t="n">
        <v>475400</v>
      </c>
    </row>
    <row r="96" customFormat="false" ht="15" hidden="false" customHeight="false" outlineLevel="0" collapsed="false">
      <c r="A96" s="37" t="s">
        <v>325</v>
      </c>
      <c r="B96" s="37" t="s">
        <v>67</v>
      </c>
      <c r="C96" s="37" t="s">
        <v>110</v>
      </c>
      <c r="D96" s="37" t="s">
        <v>201</v>
      </c>
      <c r="E96" s="38" t="n">
        <v>1765400</v>
      </c>
    </row>
    <row r="97" customFormat="false" ht="15" hidden="false" customHeight="false" outlineLevel="0" collapsed="false">
      <c r="A97" s="37" t="s">
        <v>326</v>
      </c>
      <c r="B97" s="37" t="s">
        <v>67</v>
      </c>
      <c r="C97" s="37" t="s">
        <v>111</v>
      </c>
      <c r="D97" s="37" t="s">
        <v>201</v>
      </c>
      <c r="E97" s="38" t="n">
        <v>1813600</v>
      </c>
    </row>
    <row r="98" customFormat="false" ht="15" hidden="false" customHeight="false" outlineLevel="0" collapsed="false">
      <c r="A98" s="37" t="s">
        <v>327</v>
      </c>
      <c r="B98" s="37" t="s">
        <v>68</v>
      </c>
      <c r="C98" s="37" t="s">
        <v>100</v>
      </c>
      <c r="D98" s="37" t="s">
        <v>201</v>
      </c>
      <c r="E98" s="38" t="n">
        <v>327000</v>
      </c>
    </row>
    <row r="99" customFormat="false" ht="15" hidden="false" customHeight="false" outlineLevel="0" collapsed="false">
      <c r="A99" s="37" t="s">
        <v>328</v>
      </c>
      <c r="B99" s="37" t="s">
        <v>68</v>
      </c>
      <c r="C99" s="37" t="s">
        <v>102</v>
      </c>
      <c r="D99" s="37" t="s">
        <v>205</v>
      </c>
      <c r="E99" s="38" t="n">
        <v>236000</v>
      </c>
    </row>
    <row r="100" customFormat="false" ht="15" hidden="false" customHeight="false" outlineLevel="0" collapsed="false">
      <c r="A100" s="37" t="s">
        <v>329</v>
      </c>
      <c r="B100" s="37" t="s">
        <v>68</v>
      </c>
      <c r="C100" s="37" t="s">
        <v>103</v>
      </c>
      <c r="D100" s="37" t="s">
        <v>205</v>
      </c>
      <c r="E100" s="38" t="n">
        <v>530300</v>
      </c>
    </row>
    <row r="101" customFormat="false" ht="15" hidden="false" customHeight="false" outlineLevel="0" collapsed="false">
      <c r="A101" s="37" t="s">
        <v>330</v>
      </c>
      <c r="B101" s="37" t="s">
        <v>68</v>
      </c>
      <c r="C101" s="37" t="s">
        <v>104</v>
      </c>
      <c r="D101" s="37" t="s">
        <v>201</v>
      </c>
      <c r="E101" s="38" t="n">
        <v>287800</v>
      </c>
    </row>
    <row r="102" customFormat="false" ht="15" hidden="false" customHeight="false" outlineLevel="0" collapsed="false">
      <c r="A102" s="37" t="s">
        <v>331</v>
      </c>
      <c r="B102" s="37" t="s">
        <v>68</v>
      </c>
      <c r="C102" s="37" t="s">
        <v>105</v>
      </c>
      <c r="D102" s="37" t="s">
        <v>201</v>
      </c>
      <c r="E102" s="38" t="n">
        <v>642300</v>
      </c>
    </row>
    <row r="103" customFormat="false" ht="15" hidden="false" customHeight="false" outlineLevel="0" collapsed="false">
      <c r="A103" s="37" t="s">
        <v>332</v>
      </c>
      <c r="B103" s="37" t="s">
        <v>68</v>
      </c>
      <c r="C103" s="37" t="s">
        <v>107</v>
      </c>
      <c r="D103" s="37" t="s">
        <v>201</v>
      </c>
      <c r="E103" s="38" t="n">
        <v>527900</v>
      </c>
    </row>
    <row r="104" customFormat="false" ht="15" hidden="false" customHeight="false" outlineLevel="0" collapsed="false">
      <c r="A104" s="37" t="s">
        <v>333</v>
      </c>
      <c r="B104" s="37" t="s">
        <v>68</v>
      </c>
      <c r="C104" s="37" t="s">
        <v>108</v>
      </c>
      <c r="D104" s="37" t="s">
        <v>205</v>
      </c>
      <c r="E104" s="38" t="n">
        <v>305400</v>
      </c>
    </row>
    <row r="105" customFormat="false" ht="15" hidden="false" customHeight="false" outlineLevel="0" collapsed="false">
      <c r="A105" s="37" t="s">
        <v>334</v>
      </c>
      <c r="B105" s="37" t="s">
        <v>68</v>
      </c>
      <c r="C105" s="37" t="s">
        <v>109</v>
      </c>
      <c r="D105" s="37" t="s">
        <v>201</v>
      </c>
      <c r="E105" s="38" t="n">
        <v>527200</v>
      </c>
    </row>
    <row r="106" customFormat="false" ht="15" hidden="false" customHeight="false" outlineLevel="0" collapsed="false">
      <c r="A106" s="37" t="s">
        <v>335</v>
      </c>
      <c r="B106" s="37" t="s">
        <v>68</v>
      </c>
      <c r="C106" s="37" t="s">
        <v>110</v>
      </c>
      <c r="D106" s="37" t="s">
        <v>201</v>
      </c>
      <c r="E106" s="38" t="n">
        <v>918500</v>
      </c>
    </row>
    <row r="107" customFormat="false" ht="15" hidden="false" customHeight="false" outlineLevel="0" collapsed="false">
      <c r="A107" s="37" t="s">
        <v>336</v>
      </c>
      <c r="B107" s="37" t="s">
        <v>68</v>
      </c>
      <c r="C107" s="37" t="s">
        <v>111</v>
      </c>
      <c r="D107" s="37" t="s">
        <v>201</v>
      </c>
      <c r="E107" s="38" t="n">
        <v>698500</v>
      </c>
    </row>
    <row r="108" customFormat="false" ht="15" hidden="false" customHeight="false" outlineLevel="0" collapsed="false">
      <c r="A108" s="37" t="s">
        <v>337</v>
      </c>
      <c r="B108" s="37" t="s">
        <v>69</v>
      </c>
      <c r="C108" s="37" t="s">
        <v>100</v>
      </c>
      <c r="D108" s="37" t="s">
        <v>201</v>
      </c>
      <c r="E108" s="38" t="n">
        <v>215500</v>
      </c>
    </row>
    <row r="109" customFormat="false" ht="15" hidden="false" customHeight="false" outlineLevel="0" collapsed="false">
      <c r="A109" s="37" t="s">
        <v>338</v>
      </c>
      <c r="B109" s="37" t="s">
        <v>69</v>
      </c>
      <c r="C109" s="37" t="s">
        <v>102</v>
      </c>
      <c r="D109" s="37" t="s">
        <v>205</v>
      </c>
      <c r="E109" s="38" t="n">
        <v>231200</v>
      </c>
    </row>
    <row r="110" customFormat="false" ht="15" hidden="false" customHeight="false" outlineLevel="0" collapsed="false">
      <c r="A110" s="37" t="s">
        <v>339</v>
      </c>
      <c r="B110" s="37" t="s">
        <v>69</v>
      </c>
      <c r="C110" s="37" t="s">
        <v>103</v>
      </c>
      <c r="D110" s="37" t="s">
        <v>205</v>
      </c>
      <c r="E110" s="38" t="n">
        <v>354700</v>
      </c>
    </row>
    <row r="111" customFormat="false" ht="15" hidden="false" customHeight="false" outlineLevel="0" collapsed="false">
      <c r="A111" s="37" t="s">
        <v>340</v>
      </c>
      <c r="B111" s="37" t="s">
        <v>69</v>
      </c>
      <c r="C111" s="37" t="s">
        <v>104</v>
      </c>
      <c r="D111" s="37" t="s">
        <v>201</v>
      </c>
      <c r="E111" s="38" t="n">
        <v>423200</v>
      </c>
    </row>
    <row r="112" customFormat="false" ht="15" hidden="false" customHeight="false" outlineLevel="0" collapsed="false">
      <c r="A112" s="37" t="s">
        <v>341</v>
      </c>
      <c r="B112" s="37" t="s">
        <v>69</v>
      </c>
      <c r="C112" s="37" t="s">
        <v>105</v>
      </c>
      <c r="D112" s="37" t="s">
        <v>201</v>
      </c>
      <c r="E112" s="38" t="n">
        <v>396800</v>
      </c>
    </row>
    <row r="113" customFormat="false" ht="15" hidden="false" customHeight="false" outlineLevel="0" collapsed="false">
      <c r="A113" s="37" t="s">
        <v>342</v>
      </c>
      <c r="B113" s="37" t="s">
        <v>69</v>
      </c>
      <c r="C113" s="37" t="s">
        <v>107</v>
      </c>
      <c r="D113" s="37" t="s">
        <v>201</v>
      </c>
      <c r="E113" s="38" t="n">
        <v>320500</v>
      </c>
    </row>
    <row r="114" customFormat="false" ht="15" hidden="false" customHeight="false" outlineLevel="0" collapsed="false">
      <c r="A114" s="37" t="s">
        <v>343</v>
      </c>
      <c r="B114" s="37" t="s">
        <v>69</v>
      </c>
      <c r="C114" s="37" t="s">
        <v>110</v>
      </c>
      <c r="D114" s="37" t="s">
        <v>201</v>
      </c>
      <c r="E114" s="38" t="n">
        <v>829600</v>
      </c>
    </row>
    <row r="115" customFormat="false" ht="15" hidden="false" customHeight="false" outlineLevel="0" collapsed="false">
      <c r="A115" s="37" t="s">
        <v>344</v>
      </c>
      <c r="B115" s="37" t="s">
        <v>69</v>
      </c>
      <c r="C115" s="37" t="s">
        <v>111</v>
      </c>
      <c r="D115" s="37" t="s">
        <v>201</v>
      </c>
      <c r="E115" s="38" t="n">
        <v>715300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L26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9.5" hidden="false" customHeight="true" outlineLevel="0" collapsed="false">
      <c r="A1" s="11" t="s">
        <v>345</v>
      </c>
      <c r="B1" s="11" t="s">
        <v>346</v>
      </c>
      <c r="C1" s="11" t="s">
        <v>347</v>
      </c>
      <c r="D1" s="11" t="s">
        <v>122</v>
      </c>
      <c r="E1" s="11" t="s">
        <v>188</v>
      </c>
      <c r="F1" s="11" t="s">
        <v>191</v>
      </c>
      <c r="G1" s="11" t="s">
        <v>348</v>
      </c>
      <c r="H1" s="11" t="s">
        <v>349</v>
      </c>
      <c r="I1" s="11" t="s">
        <v>350</v>
      </c>
      <c r="J1" s="11" t="s">
        <v>189</v>
      </c>
      <c r="K1" s="11" t="s">
        <v>351</v>
      </c>
      <c r="L1" s="11" t="s">
        <v>352</v>
      </c>
    </row>
    <row r="2" customFormat="false" ht="15" hidden="false" customHeight="false" outlineLevel="0" collapsed="false">
      <c r="A2" s="37" t="n">
        <v>500001</v>
      </c>
      <c r="B2" s="37" t="s">
        <v>353</v>
      </c>
      <c r="C2" s="37" t="n">
        <v>202406</v>
      </c>
      <c r="D2" s="37" t="s">
        <v>58</v>
      </c>
      <c r="E2" s="37" t="s">
        <v>97</v>
      </c>
      <c r="F2" s="37" t="s">
        <v>194</v>
      </c>
      <c r="G2" s="37" t="s">
        <v>354</v>
      </c>
      <c r="H2" s="37"/>
      <c r="I2" s="37" t="s">
        <v>355</v>
      </c>
      <c r="J2" s="37" t="s">
        <v>356</v>
      </c>
      <c r="K2" s="45" t="n">
        <v>42.7</v>
      </c>
      <c r="L2" s="46" t="n">
        <v>3925.47</v>
      </c>
    </row>
    <row r="3" customFormat="false" ht="15" hidden="false" customHeight="false" outlineLevel="0" collapsed="false">
      <c r="A3" s="37" t="n">
        <v>500118</v>
      </c>
      <c r="B3" s="37" t="s">
        <v>357</v>
      </c>
      <c r="C3" s="37" t="n">
        <v>202406</v>
      </c>
      <c r="D3" s="37" t="s">
        <v>58</v>
      </c>
      <c r="E3" s="37" t="s">
        <v>98</v>
      </c>
      <c r="F3" s="37" t="s">
        <v>196</v>
      </c>
      <c r="G3" s="37" t="s">
        <v>358</v>
      </c>
      <c r="H3" s="37" t="s">
        <v>359</v>
      </c>
      <c r="I3" s="37" t="s">
        <v>360</v>
      </c>
      <c r="J3" s="37" t="s">
        <v>361</v>
      </c>
      <c r="K3" s="45" t="n">
        <v>0</v>
      </c>
      <c r="L3" s="46" t="n">
        <v>1683.3</v>
      </c>
    </row>
    <row r="4" customFormat="false" ht="15" hidden="false" customHeight="false" outlineLevel="0" collapsed="false">
      <c r="A4" s="37" t="n">
        <v>500002</v>
      </c>
      <c r="B4" s="37" t="s">
        <v>362</v>
      </c>
      <c r="C4" s="37" t="n">
        <v>202406</v>
      </c>
      <c r="D4" s="37" t="s">
        <v>58</v>
      </c>
      <c r="E4" s="37" t="s">
        <v>97</v>
      </c>
      <c r="F4" s="37" t="s">
        <v>194</v>
      </c>
      <c r="G4" s="37" t="s">
        <v>354</v>
      </c>
      <c r="H4" s="37"/>
      <c r="I4" s="37" t="s">
        <v>355</v>
      </c>
      <c r="J4" s="37" t="s">
        <v>363</v>
      </c>
      <c r="K4" s="45" t="n">
        <v>17.2</v>
      </c>
      <c r="L4" s="46" t="n">
        <v>1582.75</v>
      </c>
    </row>
    <row r="5" customFormat="false" ht="15" hidden="false" customHeight="false" outlineLevel="0" collapsed="false">
      <c r="A5" s="37" t="n">
        <v>500003</v>
      </c>
      <c r="B5" s="37" t="s">
        <v>364</v>
      </c>
      <c r="C5" s="37" t="n">
        <v>202406</v>
      </c>
      <c r="D5" s="37" t="s">
        <v>58</v>
      </c>
      <c r="E5" s="37" t="s">
        <v>97</v>
      </c>
      <c r="F5" s="37" t="s">
        <v>194</v>
      </c>
      <c r="G5" s="37" t="s">
        <v>354</v>
      </c>
      <c r="H5" s="37"/>
      <c r="I5" s="37" t="s">
        <v>355</v>
      </c>
      <c r="J5" s="37" t="s">
        <v>365</v>
      </c>
      <c r="K5" s="45" t="n">
        <v>18.6</v>
      </c>
      <c r="L5" s="46" t="n">
        <v>1706.79</v>
      </c>
    </row>
    <row r="6" customFormat="false" ht="15" hidden="false" customHeight="false" outlineLevel="0" collapsed="false">
      <c r="A6" s="37" t="n">
        <v>500119</v>
      </c>
      <c r="B6" s="37" t="s">
        <v>366</v>
      </c>
      <c r="C6" s="37" t="n">
        <v>202406</v>
      </c>
      <c r="D6" s="37" t="s">
        <v>58</v>
      </c>
      <c r="E6" s="37" t="s">
        <v>98</v>
      </c>
      <c r="F6" s="37" t="s">
        <v>196</v>
      </c>
      <c r="G6" s="37" t="s">
        <v>358</v>
      </c>
      <c r="H6" s="37" t="s">
        <v>359</v>
      </c>
      <c r="I6" s="37" t="s">
        <v>360</v>
      </c>
      <c r="J6" s="37" t="s">
        <v>367</v>
      </c>
      <c r="K6" s="45" t="n">
        <v>0</v>
      </c>
      <c r="L6" s="46" t="n">
        <v>2175.1</v>
      </c>
    </row>
    <row r="7" customFormat="false" ht="15" hidden="false" customHeight="false" outlineLevel="0" collapsed="false">
      <c r="A7" s="37" t="n">
        <v>500197</v>
      </c>
      <c r="B7" s="37" t="s">
        <v>368</v>
      </c>
      <c r="C7" s="37" t="n">
        <v>202406</v>
      </c>
      <c r="D7" s="37" t="s">
        <v>58</v>
      </c>
      <c r="E7" s="37" t="s">
        <v>100</v>
      </c>
      <c r="F7" s="37" t="s">
        <v>201</v>
      </c>
      <c r="G7" s="37" t="s">
        <v>358</v>
      </c>
      <c r="H7" s="37" t="s">
        <v>369</v>
      </c>
      <c r="I7" s="37" t="s">
        <v>370</v>
      </c>
      <c r="J7" s="37" t="s">
        <v>371</v>
      </c>
      <c r="K7" s="45" t="n">
        <v>0</v>
      </c>
      <c r="L7" s="46" t="n">
        <v>25341.95</v>
      </c>
    </row>
    <row r="8" customFormat="false" ht="15" hidden="false" customHeight="false" outlineLevel="0" collapsed="false">
      <c r="A8" s="37" t="n">
        <v>500004</v>
      </c>
      <c r="B8" s="37" t="s">
        <v>372</v>
      </c>
      <c r="C8" s="37" t="n">
        <v>202406</v>
      </c>
      <c r="D8" s="37" t="s">
        <v>58</v>
      </c>
      <c r="E8" s="37" t="s">
        <v>97</v>
      </c>
      <c r="F8" s="37" t="s">
        <v>194</v>
      </c>
      <c r="G8" s="37" t="s">
        <v>354</v>
      </c>
      <c r="H8" s="37"/>
      <c r="I8" s="37" t="s">
        <v>355</v>
      </c>
      <c r="J8" s="37" t="s">
        <v>373</v>
      </c>
      <c r="K8" s="45" t="n">
        <v>11.4</v>
      </c>
      <c r="L8" s="46" t="n">
        <v>1045.28</v>
      </c>
    </row>
    <row r="9" customFormat="false" ht="15" hidden="false" customHeight="false" outlineLevel="0" collapsed="false">
      <c r="A9" s="37" t="n">
        <v>500174</v>
      </c>
      <c r="B9" s="37" t="s">
        <v>374</v>
      </c>
      <c r="C9" s="37" t="n">
        <v>202406</v>
      </c>
      <c r="D9" s="37" t="s">
        <v>58</v>
      </c>
      <c r="E9" s="37" t="s">
        <v>99</v>
      </c>
      <c r="F9" s="37" t="s">
        <v>198</v>
      </c>
      <c r="G9" s="37" t="s">
        <v>375</v>
      </c>
      <c r="H9" s="37"/>
      <c r="I9" s="37" t="s">
        <v>376</v>
      </c>
      <c r="J9" s="37" t="s">
        <v>377</v>
      </c>
      <c r="K9" s="45" t="n">
        <v>0</v>
      </c>
      <c r="L9" s="46" t="n">
        <v>1740.38</v>
      </c>
    </row>
    <row r="10" customFormat="false" ht="15" hidden="false" customHeight="false" outlineLevel="0" collapsed="false">
      <c r="A10" s="37" t="n">
        <v>500005</v>
      </c>
      <c r="B10" s="37" t="s">
        <v>378</v>
      </c>
      <c r="C10" s="37" t="n">
        <v>202407</v>
      </c>
      <c r="D10" s="37" t="s">
        <v>58</v>
      </c>
      <c r="E10" s="37" t="s">
        <v>97</v>
      </c>
      <c r="F10" s="37" t="s">
        <v>194</v>
      </c>
      <c r="G10" s="37" t="s">
        <v>354</v>
      </c>
      <c r="H10" s="37"/>
      <c r="I10" s="37" t="s">
        <v>355</v>
      </c>
      <c r="J10" s="37" t="s">
        <v>379</v>
      </c>
      <c r="K10" s="45" t="n">
        <v>58.9</v>
      </c>
      <c r="L10" s="46" t="n">
        <v>5415.03</v>
      </c>
    </row>
    <row r="11" customFormat="false" ht="15" hidden="false" customHeight="false" outlineLevel="0" collapsed="false">
      <c r="A11" s="37" t="n">
        <v>500006</v>
      </c>
      <c r="B11" s="37" t="s">
        <v>380</v>
      </c>
      <c r="C11" s="37" t="n">
        <v>202407</v>
      </c>
      <c r="D11" s="37" t="s">
        <v>58</v>
      </c>
      <c r="E11" s="37" t="s">
        <v>97</v>
      </c>
      <c r="F11" s="37" t="s">
        <v>194</v>
      </c>
      <c r="G11" s="37" t="s">
        <v>354</v>
      </c>
      <c r="H11" s="37"/>
      <c r="I11" s="37" t="s">
        <v>355</v>
      </c>
      <c r="J11" s="37" t="s">
        <v>381</v>
      </c>
      <c r="K11" s="45" t="n">
        <v>37.5</v>
      </c>
      <c r="L11" s="46" t="n">
        <v>3453.36</v>
      </c>
    </row>
    <row r="12" customFormat="false" ht="15" hidden="false" customHeight="false" outlineLevel="0" collapsed="false">
      <c r="A12" s="37" t="n">
        <v>500120</v>
      </c>
      <c r="B12" s="37" t="s">
        <v>380</v>
      </c>
      <c r="C12" s="37" t="n">
        <v>202407</v>
      </c>
      <c r="D12" s="37" t="s">
        <v>58</v>
      </c>
      <c r="E12" s="37" t="s">
        <v>98</v>
      </c>
      <c r="F12" s="37" t="s">
        <v>196</v>
      </c>
      <c r="G12" s="37" t="s">
        <v>358</v>
      </c>
      <c r="H12" s="37" t="s">
        <v>359</v>
      </c>
      <c r="I12" s="37" t="s">
        <v>360</v>
      </c>
      <c r="J12" s="37" t="s">
        <v>382</v>
      </c>
      <c r="K12" s="45" t="n">
        <v>0</v>
      </c>
      <c r="L12" s="46" t="n">
        <v>5787.75</v>
      </c>
    </row>
    <row r="13" customFormat="false" ht="15" hidden="false" customHeight="false" outlineLevel="0" collapsed="false">
      <c r="A13" s="37" t="n">
        <v>500007</v>
      </c>
      <c r="B13" s="37" t="s">
        <v>383</v>
      </c>
      <c r="C13" s="37" t="n">
        <v>202407</v>
      </c>
      <c r="D13" s="37" t="s">
        <v>58</v>
      </c>
      <c r="E13" s="37" t="s">
        <v>97</v>
      </c>
      <c r="F13" s="37" t="s">
        <v>194</v>
      </c>
      <c r="G13" s="37" t="s">
        <v>354</v>
      </c>
      <c r="H13" s="37"/>
      <c r="I13" s="37" t="s">
        <v>355</v>
      </c>
      <c r="J13" s="37" t="s">
        <v>384</v>
      </c>
      <c r="K13" s="45" t="n">
        <v>28.6</v>
      </c>
      <c r="L13" s="46" t="n">
        <v>2634.95</v>
      </c>
    </row>
    <row r="14" customFormat="false" ht="15" hidden="false" customHeight="false" outlineLevel="0" collapsed="false">
      <c r="A14" s="37" t="n">
        <v>500198</v>
      </c>
      <c r="B14" s="37" t="s">
        <v>385</v>
      </c>
      <c r="C14" s="37" t="n">
        <v>202407</v>
      </c>
      <c r="D14" s="37" t="s">
        <v>58</v>
      </c>
      <c r="E14" s="37" t="s">
        <v>100</v>
      </c>
      <c r="F14" s="37" t="s">
        <v>201</v>
      </c>
      <c r="G14" s="37" t="s">
        <v>358</v>
      </c>
      <c r="H14" s="37" t="s">
        <v>369</v>
      </c>
      <c r="I14" s="37" t="s">
        <v>370</v>
      </c>
      <c r="J14" s="37" t="s">
        <v>386</v>
      </c>
      <c r="K14" s="45" t="n">
        <v>0</v>
      </c>
      <c r="L14" s="46" t="n">
        <v>66566.23</v>
      </c>
    </row>
    <row r="15" customFormat="false" ht="15" hidden="false" customHeight="false" outlineLevel="0" collapsed="false">
      <c r="A15" s="37" t="n">
        <v>500008</v>
      </c>
      <c r="B15" s="37" t="s">
        <v>387</v>
      </c>
      <c r="C15" s="37" t="n">
        <v>202407</v>
      </c>
      <c r="D15" s="37" t="s">
        <v>58</v>
      </c>
      <c r="E15" s="37" t="s">
        <v>97</v>
      </c>
      <c r="F15" s="37" t="s">
        <v>194</v>
      </c>
      <c r="G15" s="37" t="s">
        <v>354</v>
      </c>
      <c r="H15" s="37"/>
      <c r="I15" s="37" t="s">
        <v>355</v>
      </c>
      <c r="J15" s="37" t="s">
        <v>388</v>
      </c>
      <c r="K15" s="45" t="n">
        <v>21.6</v>
      </c>
      <c r="L15" s="46" t="n">
        <v>1983.68</v>
      </c>
    </row>
    <row r="16" customFormat="false" ht="15" hidden="false" customHeight="false" outlineLevel="0" collapsed="false">
      <c r="A16" s="37" t="n">
        <v>500175</v>
      </c>
      <c r="B16" s="37" t="s">
        <v>389</v>
      </c>
      <c r="C16" s="37" t="n">
        <v>202407</v>
      </c>
      <c r="D16" s="37" t="s">
        <v>58</v>
      </c>
      <c r="E16" s="37" t="s">
        <v>99</v>
      </c>
      <c r="F16" s="37" t="s">
        <v>198</v>
      </c>
      <c r="G16" s="37" t="s">
        <v>375</v>
      </c>
      <c r="H16" s="37"/>
      <c r="I16" s="37" t="s">
        <v>376</v>
      </c>
      <c r="J16" s="37" t="s">
        <v>377</v>
      </c>
      <c r="K16" s="45" t="n">
        <v>0</v>
      </c>
      <c r="L16" s="46" t="n">
        <v>5435.61</v>
      </c>
    </row>
    <row r="17" customFormat="false" ht="15" hidden="false" customHeight="false" outlineLevel="0" collapsed="false">
      <c r="A17" s="37" t="n">
        <v>500009</v>
      </c>
      <c r="B17" s="37" t="s">
        <v>390</v>
      </c>
      <c r="C17" s="37" t="n">
        <v>202408</v>
      </c>
      <c r="D17" s="37" t="s">
        <v>58</v>
      </c>
      <c r="E17" s="37" t="s">
        <v>97</v>
      </c>
      <c r="F17" s="37" t="s">
        <v>194</v>
      </c>
      <c r="G17" s="37" t="s">
        <v>354</v>
      </c>
      <c r="H17" s="37"/>
      <c r="I17" s="37" t="s">
        <v>355</v>
      </c>
      <c r="J17" s="37" t="s">
        <v>391</v>
      </c>
      <c r="K17" s="45" t="n">
        <v>59.7</v>
      </c>
      <c r="L17" s="46" t="n">
        <v>5493.3</v>
      </c>
    </row>
    <row r="18" customFormat="false" ht="15" hidden="false" customHeight="false" outlineLevel="0" collapsed="false">
      <c r="A18" s="37" t="n">
        <v>500205</v>
      </c>
      <c r="B18" s="37" t="s">
        <v>390</v>
      </c>
      <c r="C18" s="37" t="n">
        <v>202408</v>
      </c>
      <c r="D18" s="37" t="s">
        <v>58</v>
      </c>
      <c r="E18" s="37" t="s">
        <v>101</v>
      </c>
      <c r="F18" s="37" t="s">
        <v>194</v>
      </c>
      <c r="G18" s="37" t="s">
        <v>354</v>
      </c>
      <c r="H18" s="37"/>
      <c r="I18" s="37" t="s">
        <v>355</v>
      </c>
      <c r="J18" s="37" t="s">
        <v>391</v>
      </c>
      <c r="K18" s="45" t="n">
        <v>61.3</v>
      </c>
      <c r="L18" s="46" t="n">
        <v>4537.19</v>
      </c>
    </row>
    <row r="19" customFormat="false" ht="15" hidden="false" customHeight="false" outlineLevel="0" collapsed="false">
      <c r="A19" s="37" t="n">
        <v>500254</v>
      </c>
      <c r="B19" s="37" t="s">
        <v>392</v>
      </c>
      <c r="C19" s="37" t="n">
        <v>202408</v>
      </c>
      <c r="D19" s="37" t="s">
        <v>58</v>
      </c>
      <c r="E19" s="37" t="s">
        <v>102</v>
      </c>
      <c r="F19" s="37" t="s">
        <v>205</v>
      </c>
      <c r="G19" s="37" t="s">
        <v>358</v>
      </c>
      <c r="H19" s="37" t="s">
        <v>393</v>
      </c>
      <c r="I19" s="37" t="s">
        <v>394</v>
      </c>
      <c r="J19" s="37" t="s">
        <v>395</v>
      </c>
      <c r="K19" s="45" t="n">
        <v>0</v>
      </c>
      <c r="L19" s="46" t="n">
        <v>6320.46</v>
      </c>
    </row>
    <row r="20" customFormat="false" ht="15" hidden="false" customHeight="false" outlineLevel="0" collapsed="false">
      <c r="A20" s="37" t="n">
        <v>500010</v>
      </c>
      <c r="B20" s="37" t="s">
        <v>396</v>
      </c>
      <c r="C20" s="37" t="n">
        <v>202408</v>
      </c>
      <c r="D20" s="37" t="s">
        <v>58</v>
      </c>
      <c r="E20" s="37" t="s">
        <v>97</v>
      </c>
      <c r="F20" s="37" t="s">
        <v>194</v>
      </c>
      <c r="G20" s="37" t="s">
        <v>354</v>
      </c>
      <c r="H20" s="37"/>
      <c r="I20" s="37" t="s">
        <v>355</v>
      </c>
      <c r="J20" s="37" t="s">
        <v>397</v>
      </c>
      <c r="K20" s="45" t="n">
        <v>37</v>
      </c>
      <c r="L20" s="46" t="n">
        <v>3406.7</v>
      </c>
    </row>
    <row r="21" customFormat="false" ht="15" hidden="false" customHeight="false" outlineLevel="0" collapsed="false">
      <c r="A21" s="37" t="n">
        <v>500206</v>
      </c>
      <c r="B21" s="37" t="s">
        <v>396</v>
      </c>
      <c r="C21" s="37" t="n">
        <v>202408</v>
      </c>
      <c r="D21" s="37" t="s">
        <v>58</v>
      </c>
      <c r="E21" s="37" t="s">
        <v>101</v>
      </c>
      <c r="F21" s="37" t="s">
        <v>194</v>
      </c>
      <c r="G21" s="37" t="s">
        <v>354</v>
      </c>
      <c r="H21" s="37"/>
      <c r="I21" s="37" t="s">
        <v>355</v>
      </c>
      <c r="J21" s="37" t="s">
        <v>397</v>
      </c>
      <c r="K21" s="45" t="n">
        <v>27.1</v>
      </c>
      <c r="L21" s="46" t="n">
        <v>2007.33</v>
      </c>
    </row>
    <row r="22" customFormat="false" ht="15" hidden="false" customHeight="false" outlineLevel="0" collapsed="false">
      <c r="A22" s="37" t="n">
        <v>500121</v>
      </c>
      <c r="B22" s="37" t="s">
        <v>398</v>
      </c>
      <c r="C22" s="37" t="n">
        <v>202408</v>
      </c>
      <c r="D22" s="37" t="s">
        <v>58</v>
      </c>
      <c r="E22" s="37" t="s">
        <v>98</v>
      </c>
      <c r="F22" s="37" t="s">
        <v>196</v>
      </c>
      <c r="G22" s="37" t="s">
        <v>358</v>
      </c>
      <c r="H22" s="37" t="s">
        <v>359</v>
      </c>
      <c r="I22" s="37" t="s">
        <v>360</v>
      </c>
      <c r="J22" s="37" t="s">
        <v>399</v>
      </c>
      <c r="K22" s="45" t="n">
        <v>0</v>
      </c>
      <c r="L22" s="46" t="n">
        <v>5301.2</v>
      </c>
    </row>
    <row r="23" customFormat="false" ht="15" hidden="false" customHeight="false" outlineLevel="0" collapsed="false">
      <c r="A23" s="37" t="n">
        <v>500277</v>
      </c>
      <c r="B23" s="37" t="s">
        <v>398</v>
      </c>
      <c r="C23" s="37" t="n">
        <v>202408</v>
      </c>
      <c r="D23" s="37" t="s">
        <v>58</v>
      </c>
      <c r="E23" s="37" t="s">
        <v>103</v>
      </c>
      <c r="F23" s="37" t="s">
        <v>205</v>
      </c>
      <c r="G23" s="37" t="s">
        <v>358</v>
      </c>
      <c r="H23" s="37" t="s">
        <v>400</v>
      </c>
      <c r="I23" s="37" t="s">
        <v>401</v>
      </c>
      <c r="J23" s="37" t="s">
        <v>402</v>
      </c>
      <c r="K23" s="45" t="n">
        <v>0</v>
      </c>
      <c r="L23" s="46" t="n">
        <v>2733.72</v>
      </c>
    </row>
    <row r="24" customFormat="false" ht="15" hidden="false" customHeight="false" outlineLevel="0" collapsed="false">
      <c r="A24" s="37" t="n">
        <v>500122</v>
      </c>
      <c r="B24" s="37" t="s">
        <v>403</v>
      </c>
      <c r="C24" s="37" t="n">
        <v>202408</v>
      </c>
      <c r="D24" s="37" t="s">
        <v>58</v>
      </c>
      <c r="E24" s="37" t="s">
        <v>98</v>
      </c>
      <c r="F24" s="37" t="s">
        <v>196</v>
      </c>
      <c r="G24" s="37" t="s">
        <v>358</v>
      </c>
      <c r="H24" s="37" t="s">
        <v>359</v>
      </c>
      <c r="I24" s="37" t="s">
        <v>360</v>
      </c>
      <c r="J24" s="37" t="s">
        <v>404</v>
      </c>
      <c r="K24" s="45" t="n">
        <v>0</v>
      </c>
      <c r="L24" s="46" t="n">
        <v>1967.56</v>
      </c>
    </row>
    <row r="25" customFormat="false" ht="15" hidden="false" customHeight="false" outlineLevel="0" collapsed="false">
      <c r="A25" s="37" t="n">
        <v>500011</v>
      </c>
      <c r="B25" s="37" t="s">
        <v>405</v>
      </c>
      <c r="C25" s="37" t="n">
        <v>202408</v>
      </c>
      <c r="D25" s="37" t="s">
        <v>58</v>
      </c>
      <c r="E25" s="37" t="s">
        <v>97</v>
      </c>
      <c r="F25" s="37" t="s">
        <v>194</v>
      </c>
      <c r="G25" s="37" t="s">
        <v>354</v>
      </c>
      <c r="H25" s="37"/>
      <c r="I25" s="37" t="s">
        <v>355</v>
      </c>
      <c r="J25" s="37" t="s">
        <v>406</v>
      </c>
      <c r="K25" s="45" t="n">
        <v>35.4</v>
      </c>
      <c r="L25" s="46" t="n">
        <v>3259.93</v>
      </c>
    </row>
    <row r="26" customFormat="false" ht="15" hidden="false" customHeight="false" outlineLevel="0" collapsed="false">
      <c r="A26" s="37" t="n">
        <v>500207</v>
      </c>
      <c r="B26" s="37" t="s">
        <v>405</v>
      </c>
      <c r="C26" s="37" t="n">
        <v>202408</v>
      </c>
      <c r="D26" s="37" t="s">
        <v>58</v>
      </c>
      <c r="E26" s="37" t="s">
        <v>101</v>
      </c>
      <c r="F26" s="37" t="s">
        <v>194</v>
      </c>
      <c r="G26" s="37" t="s">
        <v>354</v>
      </c>
      <c r="H26" s="37"/>
      <c r="I26" s="37" t="s">
        <v>355</v>
      </c>
      <c r="J26" s="37" t="s">
        <v>406</v>
      </c>
      <c r="K26" s="45" t="n">
        <v>56.4</v>
      </c>
      <c r="L26" s="46" t="n">
        <v>4174.06</v>
      </c>
    </row>
    <row r="27" customFormat="false" ht="15" hidden="false" customHeight="false" outlineLevel="0" collapsed="false">
      <c r="A27" s="37" t="n">
        <v>500276</v>
      </c>
      <c r="B27" s="37" t="s">
        <v>407</v>
      </c>
      <c r="C27" s="37" t="n">
        <v>202408</v>
      </c>
      <c r="D27" s="37" t="s">
        <v>58</v>
      </c>
      <c r="E27" s="37" t="s">
        <v>103</v>
      </c>
      <c r="F27" s="37" t="s">
        <v>205</v>
      </c>
      <c r="G27" s="37" t="s">
        <v>358</v>
      </c>
      <c r="H27" s="37" t="s">
        <v>400</v>
      </c>
      <c r="I27" s="37" t="s">
        <v>401</v>
      </c>
      <c r="J27" s="37" t="s">
        <v>408</v>
      </c>
      <c r="K27" s="45" t="n">
        <v>0</v>
      </c>
      <c r="L27" s="46" t="n">
        <v>1101.65</v>
      </c>
    </row>
    <row r="28" customFormat="false" ht="15" hidden="false" customHeight="false" outlineLevel="0" collapsed="false">
      <c r="A28" s="37" t="n">
        <v>500253</v>
      </c>
      <c r="B28" s="37" t="s">
        <v>409</v>
      </c>
      <c r="C28" s="37" t="n">
        <v>202408</v>
      </c>
      <c r="D28" s="37" t="s">
        <v>58</v>
      </c>
      <c r="E28" s="37" t="s">
        <v>102</v>
      </c>
      <c r="F28" s="37" t="s">
        <v>205</v>
      </c>
      <c r="G28" s="37" t="s">
        <v>358</v>
      </c>
      <c r="H28" s="37" t="s">
        <v>393</v>
      </c>
      <c r="I28" s="37" t="s">
        <v>394</v>
      </c>
      <c r="J28" s="37" t="s">
        <v>410</v>
      </c>
      <c r="K28" s="45" t="n">
        <v>0</v>
      </c>
      <c r="L28" s="46" t="n">
        <v>8232.65</v>
      </c>
    </row>
    <row r="29" customFormat="false" ht="15" hidden="false" customHeight="false" outlineLevel="0" collapsed="false">
      <c r="A29" s="37" t="n">
        <v>500012</v>
      </c>
      <c r="B29" s="37" t="s">
        <v>411</v>
      </c>
      <c r="C29" s="37" t="n">
        <v>202408</v>
      </c>
      <c r="D29" s="37" t="s">
        <v>58</v>
      </c>
      <c r="E29" s="37" t="s">
        <v>97</v>
      </c>
      <c r="F29" s="37" t="s">
        <v>194</v>
      </c>
      <c r="G29" s="37" t="s">
        <v>354</v>
      </c>
      <c r="H29" s="37"/>
      <c r="I29" s="37" t="s">
        <v>355</v>
      </c>
      <c r="J29" s="37" t="s">
        <v>412</v>
      </c>
      <c r="K29" s="45" t="n">
        <v>22</v>
      </c>
      <c r="L29" s="46" t="n">
        <v>2024.46</v>
      </c>
    </row>
    <row r="30" customFormat="false" ht="15" hidden="false" customHeight="false" outlineLevel="0" collapsed="false">
      <c r="A30" s="37" t="n">
        <v>500208</v>
      </c>
      <c r="B30" s="37" t="s">
        <v>411</v>
      </c>
      <c r="C30" s="37" t="n">
        <v>202408</v>
      </c>
      <c r="D30" s="37" t="s">
        <v>58</v>
      </c>
      <c r="E30" s="37" t="s">
        <v>101</v>
      </c>
      <c r="F30" s="37" t="s">
        <v>194</v>
      </c>
      <c r="G30" s="37" t="s">
        <v>354</v>
      </c>
      <c r="H30" s="37"/>
      <c r="I30" s="37" t="s">
        <v>355</v>
      </c>
      <c r="J30" s="37" t="s">
        <v>412</v>
      </c>
      <c r="K30" s="45" t="n">
        <v>48.8</v>
      </c>
      <c r="L30" s="46" t="n">
        <v>3610.68</v>
      </c>
    </row>
    <row r="31" customFormat="false" ht="15" hidden="false" customHeight="false" outlineLevel="0" collapsed="false">
      <c r="A31" s="37" t="n">
        <v>500278</v>
      </c>
      <c r="B31" s="37" t="s">
        <v>411</v>
      </c>
      <c r="C31" s="37" t="n">
        <v>202408</v>
      </c>
      <c r="D31" s="37" t="s">
        <v>58</v>
      </c>
      <c r="E31" s="37" t="s">
        <v>103</v>
      </c>
      <c r="F31" s="37" t="s">
        <v>205</v>
      </c>
      <c r="G31" s="37" t="s">
        <v>358</v>
      </c>
      <c r="H31" s="37" t="s">
        <v>400</v>
      </c>
      <c r="I31" s="37" t="s">
        <v>401</v>
      </c>
      <c r="J31" s="37" t="s">
        <v>413</v>
      </c>
      <c r="K31" s="45" t="n">
        <v>0</v>
      </c>
      <c r="L31" s="46" t="n">
        <v>1595.59</v>
      </c>
    </row>
    <row r="32" customFormat="false" ht="15" hidden="false" customHeight="false" outlineLevel="0" collapsed="false">
      <c r="A32" s="37" t="n">
        <v>500199</v>
      </c>
      <c r="B32" s="37" t="s">
        <v>414</v>
      </c>
      <c r="C32" s="37" t="n">
        <v>202408</v>
      </c>
      <c r="D32" s="37" t="s">
        <v>58</v>
      </c>
      <c r="E32" s="37" t="s">
        <v>100</v>
      </c>
      <c r="F32" s="37" t="s">
        <v>201</v>
      </c>
      <c r="G32" s="37" t="s">
        <v>358</v>
      </c>
      <c r="H32" s="37" t="s">
        <v>369</v>
      </c>
      <c r="I32" s="37" t="s">
        <v>370</v>
      </c>
      <c r="J32" s="37" t="s">
        <v>415</v>
      </c>
      <c r="K32" s="45" t="n">
        <v>0</v>
      </c>
      <c r="L32" s="46" t="n">
        <v>115010.44</v>
      </c>
    </row>
    <row r="33" customFormat="false" ht="15" hidden="false" customHeight="false" outlineLevel="0" collapsed="false">
      <c r="A33" s="37" t="n">
        <v>500013</v>
      </c>
      <c r="B33" s="37" t="s">
        <v>416</v>
      </c>
      <c r="C33" s="37" t="n">
        <v>202408</v>
      </c>
      <c r="D33" s="37" t="s">
        <v>58</v>
      </c>
      <c r="E33" s="37" t="s">
        <v>97</v>
      </c>
      <c r="F33" s="37" t="s">
        <v>194</v>
      </c>
      <c r="G33" s="37" t="s">
        <v>354</v>
      </c>
      <c r="H33" s="37"/>
      <c r="I33" s="37" t="s">
        <v>355</v>
      </c>
      <c r="J33" s="37" t="s">
        <v>417</v>
      </c>
      <c r="K33" s="45" t="n">
        <v>23.6</v>
      </c>
      <c r="L33" s="46" t="n">
        <v>2167.05</v>
      </c>
    </row>
    <row r="34" customFormat="false" ht="15" hidden="false" customHeight="false" outlineLevel="0" collapsed="false">
      <c r="A34" s="37" t="n">
        <v>500209</v>
      </c>
      <c r="B34" s="37" t="s">
        <v>416</v>
      </c>
      <c r="C34" s="37" t="n">
        <v>202408</v>
      </c>
      <c r="D34" s="37" t="s">
        <v>58</v>
      </c>
      <c r="E34" s="37" t="s">
        <v>101</v>
      </c>
      <c r="F34" s="37" t="s">
        <v>194</v>
      </c>
      <c r="G34" s="37" t="s">
        <v>354</v>
      </c>
      <c r="H34" s="37"/>
      <c r="I34" s="37" t="s">
        <v>355</v>
      </c>
      <c r="J34" s="37" t="s">
        <v>417</v>
      </c>
      <c r="K34" s="45" t="n">
        <v>54.5</v>
      </c>
      <c r="L34" s="46" t="n">
        <v>4036.35</v>
      </c>
    </row>
    <row r="35" customFormat="false" ht="15" hidden="false" customHeight="false" outlineLevel="0" collapsed="false">
      <c r="A35" s="37" t="n">
        <v>500176</v>
      </c>
      <c r="B35" s="37" t="s">
        <v>418</v>
      </c>
      <c r="C35" s="37" t="n">
        <v>202408</v>
      </c>
      <c r="D35" s="37" t="s">
        <v>58</v>
      </c>
      <c r="E35" s="37" t="s">
        <v>99</v>
      </c>
      <c r="F35" s="37" t="s">
        <v>198</v>
      </c>
      <c r="G35" s="37" t="s">
        <v>375</v>
      </c>
      <c r="H35" s="37"/>
      <c r="I35" s="37" t="s">
        <v>376</v>
      </c>
      <c r="J35" s="37" t="s">
        <v>377</v>
      </c>
      <c r="K35" s="45" t="n">
        <v>0</v>
      </c>
      <c r="L35" s="46" t="n">
        <v>7256.19</v>
      </c>
    </row>
    <row r="36" customFormat="false" ht="15" hidden="false" customHeight="false" outlineLevel="0" collapsed="false">
      <c r="A36" s="37" t="n">
        <v>500014</v>
      </c>
      <c r="B36" s="37" t="s">
        <v>419</v>
      </c>
      <c r="C36" s="37" t="n">
        <v>202409</v>
      </c>
      <c r="D36" s="37" t="s">
        <v>58</v>
      </c>
      <c r="E36" s="37" t="s">
        <v>97</v>
      </c>
      <c r="F36" s="37" t="s">
        <v>194</v>
      </c>
      <c r="G36" s="37" t="s">
        <v>354</v>
      </c>
      <c r="H36" s="37"/>
      <c r="I36" s="37" t="s">
        <v>355</v>
      </c>
      <c r="J36" s="37" t="s">
        <v>420</v>
      </c>
      <c r="K36" s="45" t="n">
        <v>71.3</v>
      </c>
      <c r="L36" s="46" t="n">
        <v>6557.49</v>
      </c>
    </row>
    <row r="37" customFormat="false" ht="15" hidden="false" customHeight="false" outlineLevel="0" collapsed="false">
      <c r="A37" s="37" t="n">
        <v>500123</v>
      </c>
      <c r="B37" s="37" t="s">
        <v>419</v>
      </c>
      <c r="C37" s="37" t="n">
        <v>202409</v>
      </c>
      <c r="D37" s="37" t="s">
        <v>58</v>
      </c>
      <c r="E37" s="37" t="s">
        <v>98</v>
      </c>
      <c r="F37" s="37" t="s">
        <v>196</v>
      </c>
      <c r="G37" s="37" t="s">
        <v>358</v>
      </c>
      <c r="H37" s="37" t="s">
        <v>359</v>
      </c>
      <c r="I37" s="37" t="s">
        <v>360</v>
      </c>
      <c r="J37" s="37" t="s">
        <v>421</v>
      </c>
      <c r="K37" s="45" t="n">
        <v>0</v>
      </c>
      <c r="L37" s="46" t="n">
        <v>1627.06</v>
      </c>
    </row>
    <row r="38" customFormat="false" ht="15" hidden="false" customHeight="false" outlineLevel="0" collapsed="false">
      <c r="A38" s="37" t="n">
        <v>500125</v>
      </c>
      <c r="B38" s="37" t="s">
        <v>419</v>
      </c>
      <c r="C38" s="37" t="n">
        <v>202409</v>
      </c>
      <c r="D38" s="37" t="s">
        <v>58</v>
      </c>
      <c r="E38" s="37" t="s">
        <v>98</v>
      </c>
      <c r="F38" s="37" t="s">
        <v>196</v>
      </c>
      <c r="G38" s="37" t="s">
        <v>358</v>
      </c>
      <c r="H38" s="37" t="s">
        <v>359</v>
      </c>
      <c r="I38" s="37" t="s">
        <v>360</v>
      </c>
      <c r="J38" s="37" t="s">
        <v>422</v>
      </c>
      <c r="K38" s="45" t="n">
        <v>0</v>
      </c>
      <c r="L38" s="46" t="n">
        <v>4358.07</v>
      </c>
    </row>
    <row r="39" customFormat="false" ht="15" hidden="false" customHeight="false" outlineLevel="0" collapsed="false">
      <c r="A39" s="37" t="n">
        <v>500210</v>
      </c>
      <c r="B39" s="37" t="s">
        <v>419</v>
      </c>
      <c r="C39" s="37" t="n">
        <v>202409</v>
      </c>
      <c r="D39" s="37" t="s">
        <v>58</v>
      </c>
      <c r="E39" s="37" t="s">
        <v>101</v>
      </c>
      <c r="F39" s="37" t="s">
        <v>194</v>
      </c>
      <c r="G39" s="37" t="s">
        <v>354</v>
      </c>
      <c r="H39" s="37"/>
      <c r="I39" s="37" t="s">
        <v>355</v>
      </c>
      <c r="J39" s="37" t="s">
        <v>420</v>
      </c>
      <c r="K39" s="45" t="n">
        <v>90.2</v>
      </c>
      <c r="L39" s="46" t="n">
        <v>6677.52</v>
      </c>
    </row>
    <row r="40" customFormat="false" ht="15" hidden="false" customHeight="false" outlineLevel="0" collapsed="false">
      <c r="A40" s="37" t="n">
        <v>500279</v>
      </c>
      <c r="B40" s="37" t="s">
        <v>423</v>
      </c>
      <c r="C40" s="37" t="n">
        <v>202409</v>
      </c>
      <c r="D40" s="37" t="s">
        <v>58</v>
      </c>
      <c r="E40" s="37" t="s">
        <v>103</v>
      </c>
      <c r="F40" s="37" t="s">
        <v>205</v>
      </c>
      <c r="G40" s="37" t="s">
        <v>358</v>
      </c>
      <c r="H40" s="37" t="s">
        <v>400</v>
      </c>
      <c r="I40" s="37" t="s">
        <v>401</v>
      </c>
      <c r="J40" s="37" t="s">
        <v>424</v>
      </c>
      <c r="K40" s="45" t="n">
        <v>0</v>
      </c>
      <c r="L40" s="46" t="n">
        <v>33217</v>
      </c>
    </row>
    <row r="41" customFormat="false" ht="15" hidden="false" customHeight="false" outlineLevel="0" collapsed="false">
      <c r="A41" s="37" t="n">
        <v>500015</v>
      </c>
      <c r="B41" s="37" t="s">
        <v>425</v>
      </c>
      <c r="C41" s="37" t="n">
        <v>202409</v>
      </c>
      <c r="D41" s="37" t="s">
        <v>58</v>
      </c>
      <c r="E41" s="37" t="s">
        <v>97</v>
      </c>
      <c r="F41" s="37" t="s">
        <v>194</v>
      </c>
      <c r="G41" s="37" t="s">
        <v>354</v>
      </c>
      <c r="H41" s="37"/>
      <c r="I41" s="37" t="s">
        <v>355</v>
      </c>
      <c r="J41" s="37" t="s">
        <v>426</v>
      </c>
      <c r="K41" s="45" t="n">
        <v>39.5</v>
      </c>
      <c r="L41" s="46" t="n">
        <v>3634.33</v>
      </c>
    </row>
    <row r="42" customFormat="false" ht="15" hidden="false" customHeight="false" outlineLevel="0" collapsed="false">
      <c r="A42" s="37" t="n">
        <v>500211</v>
      </c>
      <c r="B42" s="37" t="s">
        <v>425</v>
      </c>
      <c r="C42" s="37" t="n">
        <v>202409</v>
      </c>
      <c r="D42" s="37" t="s">
        <v>58</v>
      </c>
      <c r="E42" s="37" t="s">
        <v>101</v>
      </c>
      <c r="F42" s="37" t="s">
        <v>194</v>
      </c>
      <c r="G42" s="37" t="s">
        <v>354</v>
      </c>
      <c r="H42" s="37"/>
      <c r="I42" s="37" t="s">
        <v>355</v>
      </c>
      <c r="J42" s="37" t="s">
        <v>426</v>
      </c>
      <c r="K42" s="45" t="n">
        <v>210.1</v>
      </c>
      <c r="L42" s="46" t="n">
        <v>15544.75</v>
      </c>
    </row>
    <row r="43" customFormat="false" ht="15" hidden="false" customHeight="false" outlineLevel="0" collapsed="false">
      <c r="A43" s="37" t="n">
        <v>500257</v>
      </c>
      <c r="B43" s="37" t="s">
        <v>427</v>
      </c>
      <c r="C43" s="37" t="n">
        <v>202409</v>
      </c>
      <c r="D43" s="37" t="s">
        <v>58</v>
      </c>
      <c r="E43" s="37" t="s">
        <v>102</v>
      </c>
      <c r="F43" s="37" t="s">
        <v>205</v>
      </c>
      <c r="G43" s="37" t="s">
        <v>358</v>
      </c>
      <c r="H43" s="37" t="s">
        <v>393</v>
      </c>
      <c r="I43" s="37" t="s">
        <v>394</v>
      </c>
      <c r="J43" s="37" t="s">
        <v>428</v>
      </c>
      <c r="K43" s="45" t="n">
        <v>0</v>
      </c>
      <c r="L43" s="46" t="n">
        <v>13186.76</v>
      </c>
    </row>
    <row r="44" customFormat="false" ht="15" hidden="false" customHeight="false" outlineLevel="0" collapsed="false">
      <c r="A44" s="37" t="n">
        <v>500256</v>
      </c>
      <c r="B44" s="37" t="s">
        <v>429</v>
      </c>
      <c r="C44" s="37" t="n">
        <v>202409</v>
      </c>
      <c r="D44" s="37" t="s">
        <v>58</v>
      </c>
      <c r="E44" s="37" t="s">
        <v>102</v>
      </c>
      <c r="F44" s="37" t="s">
        <v>205</v>
      </c>
      <c r="G44" s="37" t="s">
        <v>358</v>
      </c>
      <c r="H44" s="37" t="s">
        <v>393</v>
      </c>
      <c r="I44" s="37" t="s">
        <v>394</v>
      </c>
      <c r="J44" s="37" t="s">
        <v>430</v>
      </c>
      <c r="K44" s="45" t="n">
        <v>0</v>
      </c>
      <c r="L44" s="46" t="n">
        <v>9332.88</v>
      </c>
    </row>
    <row r="45" customFormat="false" ht="15" hidden="false" customHeight="false" outlineLevel="0" collapsed="false">
      <c r="A45" s="37" t="n">
        <v>500255</v>
      </c>
      <c r="B45" s="37" t="s">
        <v>431</v>
      </c>
      <c r="C45" s="37" t="n">
        <v>202409</v>
      </c>
      <c r="D45" s="37" t="s">
        <v>58</v>
      </c>
      <c r="E45" s="37" t="s">
        <v>102</v>
      </c>
      <c r="F45" s="37" t="s">
        <v>205</v>
      </c>
      <c r="G45" s="37" t="s">
        <v>358</v>
      </c>
      <c r="H45" s="37" t="s">
        <v>393</v>
      </c>
      <c r="I45" s="37" t="s">
        <v>394</v>
      </c>
      <c r="J45" s="37" t="s">
        <v>432</v>
      </c>
      <c r="K45" s="45" t="n">
        <v>0</v>
      </c>
      <c r="L45" s="46" t="n">
        <v>8801.32</v>
      </c>
    </row>
    <row r="46" customFormat="false" ht="15" hidden="false" customHeight="false" outlineLevel="0" collapsed="false">
      <c r="A46" s="37" t="n">
        <v>500016</v>
      </c>
      <c r="B46" s="37" t="s">
        <v>433</v>
      </c>
      <c r="C46" s="37" t="n">
        <v>202409</v>
      </c>
      <c r="D46" s="37" t="s">
        <v>58</v>
      </c>
      <c r="E46" s="37" t="s">
        <v>97</v>
      </c>
      <c r="F46" s="37" t="s">
        <v>194</v>
      </c>
      <c r="G46" s="37" t="s">
        <v>354</v>
      </c>
      <c r="H46" s="37"/>
      <c r="I46" s="37" t="s">
        <v>355</v>
      </c>
      <c r="J46" s="37" t="s">
        <v>434</v>
      </c>
      <c r="K46" s="45" t="n">
        <v>51.6</v>
      </c>
      <c r="L46" s="46" t="n">
        <v>4748.41</v>
      </c>
    </row>
    <row r="47" customFormat="false" ht="15" hidden="false" customHeight="false" outlineLevel="0" collapsed="false">
      <c r="A47" s="37" t="n">
        <v>500212</v>
      </c>
      <c r="B47" s="37" t="s">
        <v>433</v>
      </c>
      <c r="C47" s="37" t="n">
        <v>202409</v>
      </c>
      <c r="D47" s="37" t="s">
        <v>58</v>
      </c>
      <c r="E47" s="37" t="s">
        <v>101</v>
      </c>
      <c r="F47" s="37" t="s">
        <v>194</v>
      </c>
      <c r="G47" s="37" t="s">
        <v>354</v>
      </c>
      <c r="H47" s="37"/>
      <c r="I47" s="37" t="s">
        <v>355</v>
      </c>
      <c r="J47" s="37" t="s">
        <v>434</v>
      </c>
      <c r="K47" s="45" t="n">
        <v>50.1</v>
      </c>
      <c r="L47" s="46" t="n">
        <v>3710.36</v>
      </c>
    </row>
    <row r="48" customFormat="false" ht="15" hidden="false" customHeight="false" outlineLevel="0" collapsed="false">
      <c r="A48" s="37" t="n">
        <v>500124</v>
      </c>
      <c r="B48" s="37" t="s">
        <v>435</v>
      </c>
      <c r="C48" s="37" t="n">
        <v>202409</v>
      </c>
      <c r="D48" s="37" t="s">
        <v>58</v>
      </c>
      <c r="E48" s="37" t="s">
        <v>98</v>
      </c>
      <c r="F48" s="37" t="s">
        <v>196</v>
      </c>
      <c r="G48" s="37" t="s">
        <v>358</v>
      </c>
      <c r="H48" s="37" t="s">
        <v>359</v>
      </c>
      <c r="I48" s="37" t="s">
        <v>360</v>
      </c>
      <c r="J48" s="37" t="s">
        <v>436</v>
      </c>
      <c r="K48" s="45" t="n">
        <v>0</v>
      </c>
      <c r="L48" s="46" t="n">
        <v>1683.9</v>
      </c>
    </row>
    <row r="49" customFormat="false" ht="15" hidden="false" customHeight="false" outlineLevel="0" collapsed="false">
      <c r="A49" s="37" t="n">
        <v>500200</v>
      </c>
      <c r="B49" s="37" t="s">
        <v>437</v>
      </c>
      <c r="C49" s="37" t="n">
        <v>202409</v>
      </c>
      <c r="D49" s="37" t="s">
        <v>58</v>
      </c>
      <c r="E49" s="37" t="s">
        <v>100</v>
      </c>
      <c r="F49" s="37" t="s">
        <v>201</v>
      </c>
      <c r="G49" s="37" t="s">
        <v>358</v>
      </c>
      <c r="H49" s="37" t="s">
        <v>369</v>
      </c>
      <c r="I49" s="37" t="s">
        <v>370</v>
      </c>
      <c r="J49" s="37" t="s">
        <v>438</v>
      </c>
      <c r="K49" s="45" t="n">
        <v>0</v>
      </c>
      <c r="L49" s="46" t="n">
        <v>109163.52</v>
      </c>
    </row>
    <row r="50" customFormat="false" ht="15" hidden="false" customHeight="false" outlineLevel="0" collapsed="false">
      <c r="A50" s="37" t="n">
        <v>500017</v>
      </c>
      <c r="B50" s="37" t="s">
        <v>439</v>
      </c>
      <c r="C50" s="37" t="n">
        <v>202409</v>
      </c>
      <c r="D50" s="37" t="s">
        <v>58</v>
      </c>
      <c r="E50" s="37" t="s">
        <v>97</v>
      </c>
      <c r="F50" s="37" t="s">
        <v>194</v>
      </c>
      <c r="G50" s="37" t="s">
        <v>354</v>
      </c>
      <c r="H50" s="37"/>
      <c r="I50" s="37" t="s">
        <v>355</v>
      </c>
      <c r="J50" s="37" t="s">
        <v>440</v>
      </c>
      <c r="K50" s="45" t="n">
        <v>38</v>
      </c>
      <c r="L50" s="46" t="n">
        <v>3492.82</v>
      </c>
    </row>
    <row r="51" customFormat="false" ht="15" hidden="false" customHeight="false" outlineLevel="0" collapsed="false">
      <c r="A51" s="37" t="n">
        <v>500213</v>
      </c>
      <c r="B51" s="37" t="s">
        <v>439</v>
      </c>
      <c r="C51" s="37" t="n">
        <v>202409</v>
      </c>
      <c r="D51" s="37" t="s">
        <v>58</v>
      </c>
      <c r="E51" s="37" t="s">
        <v>101</v>
      </c>
      <c r="F51" s="37" t="s">
        <v>194</v>
      </c>
      <c r="G51" s="37" t="s">
        <v>354</v>
      </c>
      <c r="H51" s="37"/>
      <c r="I51" s="37" t="s">
        <v>355</v>
      </c>
      <c r="J51" s="37" t="s">
        <v>440</v>
      </c>
      <c r="K51" s="45" t="n">
        <v>126.3</v>
      </c>
      <c r="L51" s="46" t="n">
        <v>9344.29</v>
      </c>
    </row>
    <row r="52" customFormat="false" ht="15" hidden="false" customHeight="false" outlineLevel="0" collapsed="false">
      <c r="A52" s="37" t="n">
        <v>500177</v>
      </c>
      <c r="B52" s="37" t="s">
        <v>441</v>
      </c>
      <c r="C52" s="37" t="n">
        <v>202409</v>
      </c>
      <c r="D52" s="37" t="s">
        <v>58</v>
      </c>
      <c r="E52" s="37" t="s">
        <v>99</v>
      </c>
      <c r="F52" s="37" t="s">
        <v>198</v>
      </c>
      <c r="G52" s="37" t="s">
        <v>375</v>
      </c>
      <c r="H52" s="37"/>
      <c r="I52" s="37" t="s">
        <v>376</v>
      </c>
      <c r="J52" s="37" t="s">
        <v>377</v>
      </c>
      <c r="K52" s="45" t="n">
        <v>0</v>
      </c>
      <c r="L52" s="46" t="n">
        <v>10384.1</v>
      </c>
    </row>
    <row r="53" customFormat="false" ht="15" hidden="false" customHeight="false" outlineLevel="0" collapsed="false">
      <c r="A53" s="37" t="n">
        <v>500018</v>
      </c>
      <c r="B53" s="37" t="s">
        <v>442</v>
      </c>
      <c r="C53" s="37" t="n">
        <v>202410</v>
      </c>
      <c r="D53" s="37" t="s">
        <v>58</v>
      </c>
      <c r="E53" s="37" t="s">
        <v>97</v>
      </c>
      <c r="F53" s="37" t="s">
        <v>194</v>
      </c>
      <c r="G53" s="37" t="s">
        <v>354</v>
      </c>
      <c r="H53" s="37"/>
      <c r="I53" s="37" t="s">
        <v>355</v>
      </c>
      <c r="J53" s="37" t="s">
        <v>443</v>
      </c>
      <c r="K53" s="45" t="n">
        <v>60.1</v>
      </c>
      <c r="L53" s="46" t="n">
        <v>5529.25</v>
      </c>
    </row>
    <row r="54" customFormat="false" ht="15" hidden="false" customHeight="false" outlineLevel="0" collapsed="false">
      <c r="A54" s="37" t="n">
        <v>500214</v>
      </c>
      <c r="B54" s="37" t="s">
        <v>442</v>
      </c>
      <c r="C54" s="37" t="n">
        <v>202410</v>
      </c>
      <c r="D54" s="37" t="s">
        <v>58</v>
      </c>
      <c r="E54" s="37" t="s">
        <v>101</v>
      </c>
      <c r="F54" s="37" t="s">
        <v>194</v>
      </c>
      <c r="G54" s="37" t="s">
        <v>354</v>
      </c>
      <c r="H54" s="37"/>
      <c r="I54" s="37" t="s">
        <v>355</v>
      </c>
      <c r="J54" s="37" t="s">
        <v>443</v>
      </c>
      <c r="K54" s="45" t="n">
        <v>304.3</v>
      </c>
      <c r="L54" s="46" t="n">
        <v>22521.5</v>
      </c>
    </row>
    <row r="55" customFormat="false" ht="15" hidden="false" customHeight="false" outlineLevel="0" collapsed="false">
      <c r="A55" s="37" t="n">
        <v>500127</v>
      </c>
      <c r="B55" s="37" t="s">
        <v>444</v>
      </c>
      <c r="C55" s="37" t="n">
        <v>202410</v>
      </c>
      <c r="D55" s="37" t="s">
        <v>58</v>
      </c>
      <c r="E55" s="37" t="s">
        <v>98</v>
      </c>
      <c r="F55" s="37" t="s">
        <v>196</v>
      </c>
      <c r="G55" s="37" t="s">
        <v>358</v>
      </c>
      <c r="H55" s="37" t="s">
        <v>359</v>
      </c>
      <c r="I55" s="37" t="s">
        <v>360</v>
      </c>
      <c r="J55" s="37" t="s">
        <v>445</v>
      </c>
      <c r="K55" s="45" t="n">
        <v>0</v>
      </c>
      <c r="L55" s="46" t="n">
        <v>5020.31</v>
      </c>
    </row>
    <row r="56" customFormat="false" ht="15" hidden="false" customHeight="false" outlineLevel="0" collapsed="false">
      <c r="A56" s="37" t="n">
        <v>500280</v>
      </c>
      <c r="B56" s="37" t="s">
        <v>444</v>
      </c>
      <c r="C56" s="37" t="n">
        <v>202410</v>
      </c>
      <c r="D56" s="37" t="s">
        <v>58</v>
      </c>
      <c r="E56" s="37" t="s">
        <v>103</v>
      </c>
      <c r="F56" s="37" t="s">
        <v>205</v>
      </c>
      <c r="G56" s="37" t="s">
        <v>358</v>
      </c>
      <c r="H56" s="37" t="s">
        <v>400</v>
      </c>
      <c r="I56" s="37" t="s">
        <v>401</v>
      </c>
      <c r="J56" s="37" t="s">
        <v>446</v>
      </c>
      <c r="K56" s="45" t="n">
        <v>0</v>
      </c>
      <c r="L56" s="46" t="n">
        <v>3777.74</v>
      </c>
    </row>
    <row r="57" customFormat="false" ht="15" hidden="false" customHeight="false" outlineLevel="0" collapsed="false">
      <c r="A57" s="37" t="n">
        <v>500019</v>
      </c>
      <c r="B57" s="37" t="s">
        <v>447</v>
      </c>
      <c r="C57" s="37" t="n">
        <v>202410</v>
      </c>
      <c r="D57" s="37" t="s">
        <v>58</v>
      </c>
      <c r="E57" s="37" t="s">
        <v>97</v>
      </c>
      <c r="F57" s="37" t="s">
        <v>194</v>
      </c>
      <c r="G57" s="37" t="s">
        <v>354</v>
      </c>
      <c r="H57" s="37"/>
      <c r="I57" s="37" t="s">
        <v>355</v>
      </c>
      <c r="J57" s="37" t="s">
        <v>448</v>
      </c>
      <c r="K57" s="45" t="n">
        <v>107.6</v>
      </c>
      <c r="L57" s="46" t="n">
        <v>9903.47</v>
      </c>
    </row>
    <row r="58" customFormat="false" ht="15" hidden="false" customHeight="false" outlineLevel="0" collapsed="false">
      <c r="A58" s="37" t="n">
        <v>500126</v>
      </c>
      <c r="B58" s="37" t="s">
        <v>447</v>
      </c>
      <c r="C58" s="37" t="n">
        <v>202410</v>
      </c>
      <c r="D58" s="37" t="s">
        <v>58</v>
      </c>
      <c r="E58" s="37" t="s">
        <v>98</v>
      </c>
      <c r="F58" s="37" t="s">
        <v>196</v>
      </c>
      <c r="G58" s="37" t="s">
        <v>358</v>
      </c>
      <c r="H58" s="37" t="s">
        <v>359</v>
      </c>
      <c r="I58" s="37" t="s">
        <v>360</v>
      </c>
      <c r="J58" s="37" t="s">
        <v>449</v>
      </c>
      <c r="K58" s="45" t="n">
        <v>0</v>
      </c>
      <c r="L58" s="46" t="n">
        <v>1419.16</v>
      </c>
    </row>
    <row r="59" customFormat="false" ht="15" hidden="false" customHeight="false" outlineLevel="0" collapsed="false">
      <c r="A59" s="37" t="n">
        <v>500215</v>
      </c>
      <c r="B59" s="37" t="s">
        <v>447</v>
      </c>
      <c r="C59" s="37" t="n">
        <v>202410</v>
      </c>
      <c r="D59" s="37" t="s">
        <v>58</v>
      </c>
      <c r="E59" s="37" t="s">
        <v>101</v>
      </c>
      <c r="F59" s="37" t="s">
        <v>194</v>
      </c>
      <c r="G59" s="37" t="s">
        <v>354</v>
      </c>
      <c r="H59" s="37"/>
      <c r="I59" s="37" t="s">
        <v>355</v>
      </c>
      <c r="J59" s="37" t="s">
        <v>448</v>
      </c>
      <c r="K59" s="45" t="n">
        <v>120.2</v>
      </c>
      <c r="L59" s="46" t="n">
        <v>8897.82</v>
      </c>
    </row>
    <row r="60" customFormat="false" ht="15" hidden="false" customHeight="false" outlineLevel="0" collapsed="false">
      <c r="A60" s="37" t="n">
        <v>500128</v>
      </c>
      <c r="B60" s="37" t="s">
        <v>450</v>
      </c>
      <c r="C60" s="37" t="n">
        <v>202410</v>
      </c>
      <c r="D60" s="37" t="s">
        <v>58</v>
      </c>
      <c r="E60" s="37" t="s">
        <v>98</v>
      </c>
      <c r="F60" s="37" t="s">
        <v>196</v>
      </c>
      <c r="G60" s="37" t="s">
        <v>358</v>
      </c>
      <c r="H60" s="37" t="s">
        <v>359</v>
      </c>
      <c r="I60" s="37" t="s">
        <v>360</v>
      </c>
      <c r="J60" s="37" t="s">
        <v>451</v>
      </c>
      <c r="K60" s="45" t="n">
        <v>0</v>
      </c>
      <c r="L60" s="46" t="n">
        <v>2228.98</v>
      </c>
    </row>
    <row r="61" customFormat="false" ht="15" hidden="false" customHeight="false" outlineLevel="0" collapsed="false">
      <c r="A61" s="37" t="n">
        <v>500020</v>
      </c>
      <c r="B61" s="37" t="s">
        <v>452</v>
      </c>
      <c r="C61" s="37" t="n">
        <v>202410</v>
      </c>
      <c r="D61" s="37" t="s">
        <v>58</v>
      </c>
      <c r="E61" s="37" t="s">
        <v>97</v>
      </c>
      <c r="F61" s="37" t="s">
        <v>194</v>
      </c>
      <c r="G61" s="37" t="s">
        <v>354</v>
      </c>
      <c r="H61" s="37"/>
      <c r="I61" s="37" t="s">
        <v>355</v>
      </c>
      <c r="J61" s="37" t="s">
        <v>453</v>
      </c>
      <c r="K61" s="45" t="n">
        <v>41.3</v>
      </c>
      <c r="L61" s="46" t="n">
        <v>3795.32</v>
      </c>
    </row>
    <row r="62" customFormat="false" ht="15" hidden="false" customHeight="false" outlineLevel="0" collapsed="false">
      <c r="A62" s="37" t="n">
        <v>500216</v>
      </c>
      <c r="B62" s="37" t="s">
        <v>452</v>
      </c>
      <c r="C62" s="37" t="n">
        <v>202410</v>
      </c>
      <c r="D62" s="37" t="s">
        <v>58</v>
      </c>
      <c r="E62" s="37" t="s">
        <v>101</v>
      </c>
      <c r="F62" s="37" t="s">
        <v>194</v>
      </c>
      <c r="G62" s="37" t="s">
        <v>354</v>
      </c>
      <c r="H62" s="37"/>
      <c r="I62" s="37" t="s">
        <v>355</v>
      </c>
      <c r="J62" s="37" t="s">
        <v>453</v>
      </c>
      <c r="K62" s="45" t="n">
        <v>87.1</v>
      </c>
      <c r="L62" s="46" t="n">
        <v>6446.52</v>
      </c>
    </row>
    <row r="63" customFormat="false" ht="15" hidden="false" customHeight="false" outlineLevel="0" collapsed="false">
      <c r="A63" s="37" t="n">
        <v>500259</v>
      </c>
      <c r="B63" s="37" t="s">
        <v>452</v>
      </c>
      <c r="C63" s="37" t="n">
        <v>202410</v>
      </c>
      <c r="D63" s="37" t="s">
        <v>58</v>
      </c>
      <c r="E63" s="37" t="s">
        <v>102</v>
      </c>
      <c r="F63" s="37" t="s">
        <v>205</v>
      </c>
      <c r="G63" s="37" t="s">
        <v>358</v>
      </c>
      <c r="H63" s="37" t="s">
        <v>393</v>
      </c>
      <c r="I63" s="37" t="s">
        <v>394</v>
      </c>
      <c r="J63" s="37" t="s">
        <v>454</v>
      </c>
      <c r="K63" s="45" t="n">
        <v>0</v>
      </c>
      <c r="L63" s="46" t="n">
        <v>31161.18</v>
      </c>
    </row>
    <row r="64" customFormat="false" ht="15" hidden="false" customHeight="false" outlineLevel="0" collapsed="false">
      <c r="A64" s="37" t="n">
        <v>500281</v>
      </c>
      <c r="B64" s="37" t="s">
        <v>452</v>
      </c>
      <c r="C64" s="37" t="n">
        <v>202410</v>
      </c>
      <c r="D64" s="37" t="s">
        <v>58</v>
      </c>
      <c r="E64" s="37" t="s">
        <v>103</v>
      </c>
      <c r="F64" s="37" t="s">
        <v>205</v>
      </c>
      <c r="G64" s="37" t="s">
        <v>358</v>
      </c>
      <c r="H64" s="37" t="s">
        <v>400</v>
      </c>
      <c r="I64" s="37" t="s">
        <v>401</v>
      </c>
      <c r="J64" s="37" t="s">
        <v>455</v>
      </c>
      <c r="K64" s="45" t="n">
        <v>0</v>
      </c>
      <c r="L64" s="46" t="n">
        <v>23510.82</v>
      </c>
    </row>
    <row r="65" customFormat="false" ht="15" hidden="false" customHeight="false" outlineLevel="0" collapsed="false">
      <c r="A65" s="37" t="n">
        <v>500282</v>
      </c>
      <c r="B65" s="37" t="s">
        <v>452</v>
      </c>
      <c r="C65" s="37" t="n">
        <v>202410</v>
      </c>
      <c r="D65" s="37" t="s">
        <v>58</v>
      </c>
      <c r="E65" s="37" t="s">
        <v>103</v>
      </c>
      <c r="F65" s="37" t="s">
        <v>205</v>
      </c>
      <c r="G65" s="37" t="s">
        <v>358</v>
      </c>
      <c r="H65" s="37" t="s">
        <v>400</v>
      </c>
      <c r="I65" s="37" t="s">
        <v>401</v>
      </c>
      <c r="J65" s="37" t="s">
        <v>456</v>
      </c>
      <c r="K65" s="45" t="n">
        <v>0</v>
      </c>
      <c r="L65" s="46" t="n">
        <v>43760.43</v>
      </c>
    </row>
    <row r="66" customFormat="false" ht="15" hidden="false" customHeight="false" outlineLevel="0" collapsed="false">
      <c r="A66" s="37" t="n">
        <v>500021</v>
      </c>
      <c r="B66" s="37" t="s">
        <v>457</v>
      </c>
      <c r="C66" s="37" t="n">
        <v>202410</v>
      </c>
      <c r="D66" s="37" t="s">
        <v>58</v>
      </c>
      <c r="E66" s="37" t="s">
        <v>97</v>
      </c>
      <c r="F66" s="37" t="s">
        <v>194</v>
      </c>
      <c r="G66" s="37" t="s">
        <v>354</v>
      </c>
      <c r="H66" s="37"/>
      <c r="I66" s="37" t="s">
        <v>355</v>
      </c>
      <c r="J66" s="37" t="s">
        <v>458</v>
      </c>
      <c r="K66" s="45" t="n">
        <v>76.8</v>
      </c>
      <c r="L66" s="46" t="n">
        <v>7063.92</v>
      </c>
    </row>
    <row r="67" customFormat="false" ht="15" hidden="false" customHeight="false" outlineLevel="0" collapsed="false">
      <c r="A67" s="37" t="n">
        <v>500201</v>
      </c>
      <c r="B67" s="37" t="s">
        <v>457</v>
      </c>
      <c r="C67" s="37" t="n">
        <v>202410</v>
      </c>
      <c r="D67" s="37" t="s">
        <v>58</v>
      </c>
      <c r="E67" s="37" t="s">
        <v>100</v>
      </c>
      <c r="F67" s="37" t="s">
        <v>201</v>
      </c>
      <c r="G67" s="37" t="s">
        <v>358</v>
      </c>
      <c r="H67" s="37" t="s">
        <v>369</v>
      </c>
      <c r="I67" s="37" t="s">
        <v>370</v>
      </c>
      <c r="J67" s="37" t="s">
        <v>459</v>
      </c>
      <c r="K67" s="45" t="n">
        <v>0</v>
      </c>
      <c r="L67" s="46" t="n">
        <v>108653.75</v>
      </c>
    </row>
    <row r="68" customFormat="false" ht="15" hidden="false" customHeight="false" outlineLevel="0" collapsed="false">
      <c r="A68" s="37" t="n">
        <v>500217</v>
      </c>
      <c r="B68" s="37" t="s">
        <v>457</v>
      </c>
      <c r="C68" s="37" t="n">
        <v>202410</v>
      </c>
      <c r="D68" s="37" t="s">
        <v>58</v>
      </c>
      <c r="E68" s="37" t="s">
        <v>101</v>
      </c>
      <c r="F68" s="37" t="s">
        <v>194</v>
      </c>
      <c r="G68" s="37" t="s">
        <v>354</v>
      </c>
      <c r="H68" s="37"/>
      <c r="I68" s="37" t="s">
        <v>355</v>
      </c>
      <c r="J68" s="37" t="s">
        <v>458</v>
      </c>
      <c r="K68" s="45" t="n">
        <v>293.8</v>
      </c>
      <c r="L68" s="46" t="n">
        <v>21742.29</v>
      </c>
    </row>
    <row r="69" customFormat="false" ht="15" hidden="false" customHeight="false" outlineLevel="0" collapsed="false">
      <c r="A69" s="37" t="n">
        <v>500260</v>
      </c>
      <c r="B69" s="37" t="s">
        <v>460</v>
      </c>
      <c r="C69" s="37" t="n">
        <v>202410</v>
      </c>
      <c r="D69" s="37" t="s">
        <v>58</v>
      </c>
      <c r="E69" s="37" t="s">
        <v>102</v>
      </c>
      <c r="F69" s="37" t="s">
        <v>205</v>
      </c>
      <c r="G69" s="37" t="s">
        <v>358</v>
      </c>
      <c r="H69" s="37" t="s">
        <v>393</v>
      </c>
      <c r="I69" s="37" t="s">
        <v>394</v>
      </c>
      <c r="J69" s="37" t="s">
        <v>461</v>
      </c>
      <c r="K69" s="45" t="n">
        <v>0</v>
      </c>
      <c r="L69" s="46" t="n">
        <v>18623.46</v>
      </c>
    </row>
    <row r="70" customFormat="false" ht="15" hidden="false" customHeight="false" outlineLevel="0" collapsed="false">
      <c r="A70" s="37" t="n">
        <v>500258</v>
      </c>
      <c r="B70" s="37" t="s">
        <v>462</v>
      </c>
      <c r="C70" s="37" t="n">
        <v>202410</v>
      </c>
      <c r="D70" s="37" t="s">
        <v>58</v>
      </c>
      <c r="E70" s="37" t="s">
        <v>102</v>
      </c>
      <c r="F70" s="37" t="s">
        <v>205</v>
      </c>
      <c r="G70" s="37" t="s">
        <v>358</v>
      </c>
      <c r="H70" s="37" t="s">
        <v>393</v>
      </c>
      <c r="I70" s="37" t="s">
        <v>394</v>
      </c>
      <c r="J70" s="37" t="s">
        <v>463</v>
      </c>
      <c r="K70" s="45" t="n">
        <v>0</v>
      </c>
      <c r="L70" s="46" t="n">
        <v>8017.75</v>
      </c>
    </row>
    <row r="71" customFormat="false" ht="15" hidden="false" customHeight="false" outlineLevel="0" collapsed="false">
      <c r="A71" s="37" t="n">
        <v>500178</v>
      </c>
      <c r="B71" s="37" t="s">
        <v>464</v>
      </c>
      <c r="C71" s="37" t="n">
        <v>202410</v>
      </c>
      <c r="D71" s="37" t="s">
        <v>58</v>
      </c>
      <c r="E71" s="37" t="s">
        <v>99</v>
      </c>
      <c r="F71" s="37" t="s">
        <v>198</v>
      </c>
      <c r="G71" s="37" t="s">
        <v>375</v>
      </c>
      <c r="H71" s="37"/>
      <c r="I71" s="37" t="s">
        <v>376</v>
      </c>
      <c r="J71" s="37" t="s">
        <v>377</v>
      </c>
      <c r="K71" s="45" t="n">
        <v>0</v>
      </c>
      <c r="L71" s="46" t="n">
        <v>10819.93</v>
      </c>
    </row>
    <row r="72" customFormat="false" ht="15" hidden="false" customHeight="false" outlineLevel="0" collapsed="false">
      <c r="A72" s="37" t="n">
        <v>500022</v>
      </c>
      <c r="B72" s="37" t="s">
        <v>465</v>
      </c>
      <c r="C72" s="37" t="n">
        <v>202411</v>
      </c>
      <c r="D72" s="37" t="s">
        <v>58</v>
      </c>
      <c r="E72" s="37" t="s">
        <v>97</v>
      </c>
      <c r="F72" s="37" t="s">
        <v>194</v>
      </c>
      <c r="G72" s="37" t="s">
        <v>354</v>
      </c>
      <c r="H72" s="37"/>
      <c r="I72" s="37" t="s">
        <v>355</v>
      </c>
      <c r="J72" s="37" t="s">
        <v>466</v>
      </c>
      <c r="K72" s="45" t="n">
        <v>77</v>
      </c>
      <c r="L72" s="46" t="n">
        <v>7083.41</v>
      </c>
    </row>
    <row r="73" customFormat="false" ht="15" hidden="false" customHeight="false" outlineLevel="0" collapsed="false">
      <c r="A73" s="37" t="n">
        <v>500218</v>
      </c>
      <c r="B73" s="37" t="s">
        <v>465</v>
      </c>
      <c r="C73" s="37" t="n">
        <v>202411</v>
      </c>
      <c r="D73" s="37" t="s">
        <v>58</v>
      </c>
      <c r="E73" s="37" t="s">
        <v>101</v>
      </c>
      <c r="F73" s="37" t="s">
        <v>194</v>
      </c>
      <c r="G73" s="37" t="s">
        <v>354</v>
      </c>
      <c r="H73" s="37"/>
      <c r="I73" s="37" t="s">
        <v>355</v>
      </c>
      <c r="J73" s="37" t="s">
        <v>466</v>
      </c>
      <c r="K73" s="45" t="n">
        <v>276.9</v>
      </c>
      <c r="L73" s="46" t="n">
        <v>20489.99</v>
      </c>
    </row>
    <row r="74" customFormat="false" ht="15" hidden="false" customHeight="false" outlineLevel="0" collapsed="false">
      <c r="A74" s="37" t="n">
        <v>500129</v>
      </c>
      <c r="B74" s="37" t="s">
        <v>467</v>
      </c>
      <c r="C74" s="37" t="n">
        <v>202411</v>
      </c>
      <c r="D74" s="37" t="s">
        <v>58</v>
      </c>
      <c r="E74" s="37" t="s">
        <v>98</v>
      </c>
      <c r="F74" s="37" t="s">
        <v>196</v>
      </c>
      <c r="G74" s="37" t="s">
        <v>358</v>
      </c>
      <c r="H74" s="37" t="s">
        <v>359</v>
      </c>
      <c r="I74" s="37" t="s">
        <v>360</v>
      </c>
      <c r="J74" s="37" t="s">
        <v>468</v>
      </c>
      <c r="K74" s="45" t="n">
        <v>0</v>
      </c>
      <c r="L74" s="46" t="n">
        <v>11984.09</v>
      </c>
    </row>
    <row r="75" customFormat="false" ht="15" hidden="false" customHeight="false" outlineLevel="0" collapsed="false">
      <c r="A75" s="37" t="n">
        <v>500023</v>
      </c>
      <c r="B75" s="37" t="s">
        <v>469</v>
      </c>
      <c r="C75" s="37" t="n">
        <v>202411</v>
      </c>
      <c r="D75" s="37" t="s">
        <v>58</v>
      </c>
      <c r="E75" s="37" t="s">
        <v>97</v>
      </c>
      <c r="F75" s="37" t="s">
        <v>194</v>
      </c>
      <c r="G75" s="37" t="s">
        <v>354</v>
      </c>
      <c r="H75" s="37"/>
      <c r="I75" s="37" t="s">
        <v>355</v>
      </c>
      <c r="J75" s="37" t="s">
        <v>470</v>
      </c>
      <c r="K75" s="45" t="n">
        <v>15.8</v>
      </c>
      <c r="L75" s="46" t="n">
        <v>1453.13</v>
      </c>
    </row>
    <row r="76" customFormat="false" ht="15" hidden="false" customHeight="false" outlineLevel="0" collapsed="false">
      <c r="A76" s="37" t="n">
        <v>500219</v>
      </c>
      <c r="B76" s="37" t="s">
        <v>469</v>
      </c>
      <c r="C76" s="37" t="n">
        <v>202411</v>
      </c>
      <c r="D76" s="37" t="s">
        <v>58</v>
      </c>
      <c r="E76" s="37" t="s">
        <v>101</v>
      </c>
      <c r="F76" s="37" t="s">
        <v>194</v>
      </c>
      <c r="G76" s="37" t="s">
        <v>354</v>
      </c>
      <c r="H76" s="37"/>
      <c r="I76" s="37" t="s">
        <v>355</v>
      </c>
      <c r="J76" s="37" t="s">
        <v>470</v>
      </c>
      <c r="K76" s="45" t="n">
        <v>342.3</v>
      </c>
      <c r="L76" s="46" t="n">
        <v>25330.01</v>
      </c>
    </row>
    <row r="77" customFormat="false" ht="15" hidden="false" customHeight="false" outlineLevel="0" collapsed="false">
      <c r="A77" s="37" t="n">
        <v>500283</v>
      </c>
      <c r="B77" s="37" t="s">
        <v>471</v>
      </c>
      <c r="C77" s="37" t="n">
        <v>202411</v>
      </c>
      <c r="D77" s="37" t="s">
        <v>58</v>
      </c>
      <c r="E77" s="37" t="s">
        <v>103</v>
      </c>
      <c r="F77" s="37" t="s">
        <v>205</v>
      </c>
      <c r="G77" s="37" t="s">
        <v>358</v>
      </c>
      <c r="H77" s="37" t="s">
        <v>400</v>
      </c>
      <c r="I77" s="37" t="s">
        <v>401</v>
      </c>
      <c r="J77" s="37" t="s">
        <v>472</v>
      </c>
      <c r="K77" s="45" t="n">
        <v>0</v>
      </c>
      <c r="L77" s="46" t="n">
        <v>108997.25</v>
      </c>
    </row>
    <row r="78" customFormat="false" ht="15" hidden="false" customHeight="false" outlineLevel="0" collapsed="false">
      <c r="A78" s="37" t="n">
        <v>500024</v>
      </c>
      <c r="B78" s="37" t="s">
        <v>473</v>
      </c>
      <c r="C78" s="37" t="n">
        <v>202411</v>
      </c>
      <c r="D78" s="37" t="s">
        <v>58</v>
      </c>
      <c r="E78" s="37" t="s">
        <v>97</v>
      </c>
      <c r="F78" s="37" t="s">
        <v>194</v>
      </c>
      <c r="G78" s="37" t="s">
        <v>354</v>
      </c>
      <c r="H78" s="37"/>
      <c r="I78" s="37" t="s">
        <v>355</v>
      </c>
      <c r="J78" s="37" t="s">
        <v>474</v>
      </c>
      <c r="K78" s="45" t="n">
        <v>25.8</v>
      </c>
      <c r="L78" s="46" t="n">
        <v>2377.58</v>
      </c>
    </row>
    <row r="79" customFormat="false" ht="15" hidden="false" customHeight="false" outlineLevel="0" collapsed="false">
      <c r="A79" s="37" t="n">
        <v>500220</v>
      </c>
      <c r="B79" s="37" t="s">
        <v>473</v>
      </c>
      <c r="C79" s="37" t="n">
        <v>202411</v>
      </c>
      <c r="D79" s="37" t="s">
        <v>58</v>
      </c>
      <c r="E79" s="37" t="s">
        <v>101</v>
      </c>
      <c r="F79" s="37" t="s">
        <v>194</v>
      </c>
      <c r="G79" s="37" t="s">
        <v>354</v>
      </c>
      <c r="H79" s="37"/>
      <c r="I79" s="37" t="s">
        <v>355</v>
      </c>
      <c r="J79" s="37" t="s">
        <v>474</v>
      </c>
      <c r="K79" s="45" t="n">
        <v>167.3</v>
      </c>
      <c r="L79" s="46" t="n">
        <v>12377.48</v>
      </c>
    </row>
    <row r="80" customFormat="false" ht="15" hidden="false" customHeight="false" outlineLevel="0" collapsed="false">
      <c r="A80" s="37" t="n">
        <v>500262</v>
      </c>
      <c r="B80" s="37" t="s">
        <v>475</v>
      </c>
      <c r="C80" s="37" t="n">
        <v>202411</v>
      </c>
      <c r="D80" s="37" t="s">
        <v>58</v>
      </c>
      <c r="E80" s="37" t="s">
        <v>102</v>
      </c>
      <c r="F80" s="37" t="s">
        <v>205</v>
      </c>
      <c r="G80" s="37" t="s">
        <v>358</v>
      </c>
      <c r="H80" s="37" t="s">
        <v>393</v>
      </c>
      <c r="I80" s="37" t="s">
        <v>394</v>
      </c>
      <c r="J80" s="37" t="s">
        <v>476</v>
      </c>
      <c r="K80" s="45" t="n">
        <v>0</v>
      </c>
      <c r="L80" s="46" t="n">
        <v>16924.42</v>
      </c>
    </row>
    <row r="81" customFormat="false" ht="15" hidden="false" customHeight="false" outlineLevel="0" collapsed="false">
      <c r="A81" s="37" t="n">
        <v>500025</v>
      </c>
      <c r="B81" s="37" t="s">
        <v>477</v>
      </c>
      <c r="C81" s="37" t="n">
        <v>202411</v>
      </c>
      <c r="D81" s="37" t="s">
        <v>58</v>
      </c>
      <c r="E81" s="37" t="s">
        <v>97</v>
      </c>
      <c r="F81" s="37" t="s">
        <v>194</v>
      </c>
      <c r="G81" s="37" t="s">
        <v>354</v>
      </c>
      <c r="H81" s="37"/>
      <c r="I81" s="37" t="s">
        <v>355</v>
      </c>
      <c r="J81" s="37" t="s">
        <v>478</v>
      </c>
      <c r="K81" s="45" t="n">
        <v>136.8</v>
      </c>
      <c r="L81" s="46" t="n">
        <v>12583.85</v>
      </c>
    </row>
    <row r="82" customFormat="false" ht="15" hidden="false" customHeight="false" outlineLevel="0" collapsed="false">
      <c r="A82" s="37" t="n">
        <v>500221</v>
      </c>
      <c r="B82" s="37" t="s">
        <v>477</v>
      </c>
      <c r="C82" s="37" t="n">
        <v>202411</v>
      </c>
      <c r="D82" s="37" t="s">
        <v>58</v>
      </c>
      <c r="E82" s="37" t="s">
        <v>101</v>
      </c>
      <c r="F82" s="37" t="s">
        <v>194</v>
      </c>
      <c r="G82" s="37" t="s">
        <v>354</v>
      </c>
      <c r="H82" s="37"/>
      <c r="I82" s="37" t="s">
        <v>355</v>
      </c>
      <c r="J82" s="37" t="s">
        <v>478</v>
      </c>
      <c r="K82" s="45" t="n">
        <v>64.4</v>
      </c>
      <c r="L82" s="46" t="n">
        <v>4768.27</v>
      </c>
    </row>
    <row r="83" customFormat="false" ht="15" hidden="false" customHeight="false" outlineLevel="0" collapsed="false">
      <c r="A83" s="37" t="n">
        <v>500261</v>
      </c>
      <c r="B83" s="37" t="s">
        <v>477</v>
      </c>
      <c r="C83" s="37" t="n">
        <v>202411</v>
      </c>
      <c r="D83" s="37" t="s">
        <v>58</v>
      </c>
      <c r="E83" s="37" t="s">
        <v>102</v>
      </c>
      <c r="F83" s="37" t="s">
        <v>205</v>
      </c>
      <c r="G83" s="37" t="s">
        <v>358</v>
      </c>
      <c r="H83" s="37" t="s">
        <v>393</v>
      </c>
      <c r="I83" s="37" t="s">
        <v>394</v>
      </c>
      <c r="J83" s="37" t="s">
        <v>479</v>
      </c>
      <c r="K83" s="45" t="n">
        <v>0</v>
      </c>
      <c r="L83" s="46" t="n">
        <v>48060.77</v>
      </c>
    </row>
    <row r="84" customFormat="false" ht="15" hidden="false" customHeight="false" outlineLevel="0" collapsed="false">
      <c r="A84" s="37" t="n">
        <v>500202</v>
      </c>
      <c r="B84" s="37" t="s">
        <v>480</v>
      </c>
      <c r="C84" s="37" t="n">
        <v>202411</v>
      </c>
      <c r="D84" s="37" t="s">
        <v>58</v>
      </c>
      <c r="E84" s="37" t="s">
        <v>100</v>
      </c>
      <c r="F84" s="37" t="s">
        <v>201</v>
      </c>
      <c r="G84" s="37" t="s">
        <v>358</v>
      </c>
      <c r="H84" s="37" t="s">
        <v>369</v>
      </c>
      <c r="I84" s="37" t="s">
        <v>370</v>
      </c>
      <c r="J84" s="37" t="s">
        <v>481</v>
      </c>
      <c r="K84" s="45" t="n">
        <v>0</v>
      </c>
      <c r="L84" s="46" t="n">
        <v>54392.1</v>
      </c>
    </row>
    <row r="85" customFormat="false" ht="15" hidden="false" customHeight="false" outlineLevel="0" collapsed="false">
      <c r="A85" s="37" t="n">
        <v>500263</v>
      </c>
      <c r="B85" s="37" t="s">
        <v>482</v>
      </c>
      <c r="C85" s="37" t="n">
        <v>202411</v>
      </c>
      <c r="D85" s="37" t="s">
        <v>58</v>
      </c>
      <c r="E85" s="37" t="s">
        <v>102</v>
      </c>
      <c r="F85" s="37" t="s">
        <v>205</v>
      </c>
      <c r="G85" s="37" t="s">
        <v>358</v>
      </c>
      <c r="H85" s="37" t="s">
        <v>393</v>
      </c>
      <c r="I85" s="37" t="s">
        <v>394</v>
      </c>
      <c r="J85" s="37" t="s">
        <v>483</v>
      </c>
      <c r="K85" s="45" t="n">
        <v>0</v>
      </c>
      <c r="L85" s="46" t="n">
        <v>22203.6</v>
      </c>
    </row>
    <row r="86" customFormat="false" ht="15" hidden="false" customHeight="false" outlineLevel="0" collapsed="false">
      <c r="A86" s="37" t="n">
        <v>500026</v>
      </c>
      <c r="B86" s="37" t="s">
        <v>484</v>
      </c>
      <c r="C86" s="37" t="n">
        <v>202411</v>
      </c>
      <c r="D86" s="37" t="s">
        <v>58</v>
      </c>
      <c r="E86" s="37" t="s">
        <v>97</v>
      </c>
      <c r="F86" s="37" t="s">
        <v>194</v>
      </c>
      <c r="G86" s="37" t="s">
        <v>354</v>
      </c>
      <c r="H86" s="37"/>
      <c r="I86" s="37" t="s">
        <v>355</v>
      </c>
      <c r="J86" s="37" t="s">
        <v>485</v>
      </c>
      <c r="K86" s="45" t="n">
        <v>62.6</v>
      </c>
      <c r="L86" s="46" t="n">
        <v>5763.26</v>
      </c>
    </row>
    <row r="87" customFormat="false" ht="15" hidden="false" customHeight="false" outlineLevel="0" collapsed="false">
      <c r="A87" s="37" t="n">
        <v>500222</v>
      </c>
      <c r="B87" s="37" t="s">
        <v>484</v>
      </c>
      <c r="C87" s="37" t="n">
        <v>202411</v>
      </c>
      <c r="D87" s="37" t="s">
        <v>58</v>
      </c>
      <c r="E87" s="37" t="s">
        <v>101</v>
      </c>
      <c r="F87" s="37" t="s">
        <v>194</v>
      </c>
      <c r="G87" s="37" t="s">
        <v>354</v>
      </c>
      <c r="H87" s="37"/>
      <c r="I87" s="37" t="s">
        <v>355</v>
      </c>
      <c r="J87" s="37" t="s">
        <v>485</v>
      </c>
      <c r="K87" s="45" t="n">
        <v>203.1</v>
      </c>
      <c r="L87" s="46" t="n">
        <v>15026.52</v>
      </c>
    </row>
    <row r="88" customFormat="false" ht="15" hidden="false" customHeight="false" outlineLevel="0" collapsed="false">
      <c r="A88" s="37" t="n">
        <v>500179</v>
      </c>
      <c r="B88" s="37" t="s">
        <v>486</v>
      </c>
      <c r="C88" s="37" t="n">
        <v>202411</v>
      </c>
      <c r="D88" s="37" t="s">
        <v>58</v>
      </c>
      <c r="E88" s="37" t="s">
        <v>99</v>
      </c>
      <c r="F88" s="37" t="s">
        <v>198</v>
      </c>
      <c r="G88" s="37" t="s">
        <v>375</v>
      </c>
      <c r="H88" s="37"/>
      <c r="I88" s="37" t="s">
        <v>376</v>
      </c>
      <c r="J88" s="37" t="s">
        <v>377</v>
      </c>
      <c r="K88" s="45" t="n">
        <v>0</v>
      </c>
      <c r="L88" s="46" t="n">
        <v>14457.77</v>
      </c>
    </row>
    <row r="89" customFormat="false" ht="15" hidden="false" customHeight="false" outlineLevel="0" collapsed="false">
      <c r="A89" s="37" t="n">
        <v>500027</v>
      </c>
      <c r="B89" s="37" t="s">
        <v>487</v>
      </c>
      <c r="C89" s="37" t="n">
        <v>202412</v>
      </c>
      <c r="D89" s="37" t="s">
        <v>58</v>
      </c>
      <c r="E89" s="37" t="s">
        <v>97</v>
      </c>
      <c r="F89" s="37" t="s">
        <v>194</v>
      </c>
      <c r="G89" s="37" t="s">
        <v>354</v>
      </c>
      <c r="H89" s="37"/>
      <c r="I89" s="37" t="s">
        <v>355</v>
      </c>
      <c r="J89" s="37" t="s">
        <v>488</v>
      </c>
      <c r="K89" s="45" t="n">
        <v>59.2</v>
      </c>
      <c r="L89" s="46" t="n">
        <v>5448.18</v>
      </c>
    </row>
    <row r="90" customFormat="false" ht="15" hidden="false" customHeight="false" outlineLevel="0" collapsed="false">
      <c r="A90" s="37" t="n">
        <v>500223</v>
      </c>
      <c r="B90" s="37" t="s">
        <v>487</v>
      </c>
      <c r="C90" s="37" t="n">
        <v>202412</v>
      </c>
      <c r="D90" s="37" t="s">
        <v>58</v>
      </c>
      <c r="E90" s="37" t="s">
        <v>101</v>
      </c>
      <c r="F90" s="37" t="s">
        <v>194</v>
      </c>
      <c r="G90" s="37" t="s">
        <v>354</v>
      </c>
      <c r="H90" s="37"/>
      <c r="I90" s="37" t="s">
        <v>355</v>
      </c>
      <c r="J90" s="37" t="s">
        <v>488</v>
      </c>
      <c r="K90" s="45" t="n">
        <v>273</v>
      </c>
      <c r="L90" s="46" t="n">
        <v>20202.98</v>
      </c>
    </row>
    <row r="91" customFormat="false" ht="15" hidden="false" customHeight="false" outlineLevel="0" collapsed="false">
      <c r="A91" s="37" t="n">
        <v>500130</v>
      </c>
      <c r="B91" s="37" t="s">
        <v>489</v>
      </c>
      <c r="C91" s="37" t="n">
        <v>202412</v>
      </c>
      <c r="D91" s="37" t="s">
        <v>58</v>
      </c>
      <c r="E91" s="37" t="s">
        <v>98</v>
      </c>
      <c r="F91" s="37" t="s">
        <v>196</v>
      </c>
      <c r="G91" s="37" t="s">
        <v>358</v>
      </c>
      <c r="H91" s="37" t="s">
        <v>359</v>
      </c>
      <c r="I91" s="37" t="s">
        <v>360</v>
      </c>
      <c r="J91" s="37" t="s">
        <v>490</v>
      </c>
      <c r="K91" s="45" t="n">
        <v>0</v>
      </c>
      <c r="L91" s="46" t="n">
        <v>2543.84</v>
      </c>
    </row>
    <row r="92" customFormat="false" ht="15" hidden="false" customHeight="false" outlineLevel="0" collapsed="false">
      <c r="A92" s="37" t="n">
        <v>500132</v>
      </c>
      <c r="B92" s="37" t="s">
        <v>491</v>
      </c>
      <c r="C92" s="37" t="n">
        <v>202412</v>
      </c>
      <c r="D92" s="37" t="s">
        <v>58</v>
      </c>
      <c r="E92" s="37" t="s">
        <v>98</v>
      </c>
      <c r="F92" s="37" t="s">
        <v>196</v>
      </c>
      <c r="G92" s="37" t="s">
        <v>358</v>
      </c>
      <c r="H92" s="37" t="s">
        <v>359</v>
      </c>
      <c r="I92" s="37" t="s">
        <v>360</v>
      </c>
      <c r="J92" s="37" t="s">
        <v>492</v>
      </c>
      <c r="K92" s="45" t="n">
        <v>0</v>
      </c>
      <c r="L92" s="46" t="n">
        <v>5813.83</v>
      </c>
    </row>
    <row r="93" customFormat="false" ht="15" hidden="false" customHeight="false" outlineLevel="0" collapsed="false">
      <c r="A93" s="37" t="n">
        <v>500028</v>
      </c>
      <c r="B93" s="37" t="s">
        <v>493</v>
      </c>
      <c r="C93" s="37" t="n">
        <v>202412</v>
      </c>
      <c r="D93" s="37" t="s">
        <v>58</v>
      </c>
      <c r="E93" s="37" t="s">
        <v>97</v>
      </c>
      <c r="F93" s="37" t="s">
        <v>194</v>
      </c>
      <c r="G93" s="37" t="s">
        <v>354</v>
      </c>
      <c r="H93" s="37"/>
      <c r="I93" s="37" t="s">
        <v>355</v>
      </c>
      <c r="J93" s="37" t="s">
        <v>494</v>
      </c>
      <c r="K93" s="45" t="n">
        <v>106.7</v>
      </c>
      <c r="L93" s="46" t="n">
        <v>9815.54</v>
      </c>
    </row>
    <row r="94" customFormat="false" ht="15" hidden="false" customHeight="false" outlineLevel="0" collapsed="false">
      <c r="A94" s="37" t="n">
        <v>500224</v>
      </c>
      <c r="B94" s="37" t="s">
        <v>493</v>
      </c>
      <c r="C94" s="37" t="n">
        <v>202412</v>
      </c>
      <c r="D94" s="37" t="s">
        <v>58</v>
      </c>
      <c r="E94" s="37" t="s">
        <v>101</v>
      </c>
      <c r="F94" s="37" t="s">
        <v>194</v>
      </c>
      <c r="G94" s="37" t="s">
        <v>354</v>
      </c>
      <c r="H94" s="37"/>
      <c r="I94" s="37" t="s">
        <v>355</v>
      </c>
      <c r="J94" s="37" t="s">
        <v>494</v>
      </c>
      <c r="K94" s="45" t="n">
        <v>205.3</v>
      </c>
      <c r="L94" s="46" t="n">
        <v>15191.91</v>
      </c>
    </row>
    <row r="95" customFormat="false" ht="15" hidden="false" customHeight="false" outlineLevel="0" collapsed="false">
      <c r="A95" s="37" t="n">
        <v>500265</v>
      </c>
      <c r="B95" s="37" t="s">
        <v>495</v>
      </c>
      <c r="C95" s="37" t="n">
        <v>202412</v>
      </c>
      <c r="D95" s="37" t="s">
        <v>58</v>
      </c>
      <c r="E95" s="37" t="s">
        <v>102</v>
      </c>
      <c r="F95" s="37" t="s">
        <v>205</v>
      </c>
      <c r="G95" s="37" t="s">
        <v>358</v>
      </c>
      <c r="H95" s="37" t="s">
        <v>393</v>
      </c>
      <c r="I95" s="37" t="s">
        <v>394</v>
      </c>
      <c r="J95" s="37" t="s">
        <v>496</v>
      </c>
      <c r="K95" s="45" t="n">
        <v>0</v>
      </c>
      <c r="L95" s="46" t="n">
        <v>47404.8</v>
      </c>
    </row>
    <row r="96" customFormat="false" ht="15" hidden="false" customHeight="false" outlineLevel="0" collapsed="false">
      <c r="A96" s="37" t="n">
        <v>500285</v>
      </c>
      <c r="B96" s="37" t="s">
        <v>497</v>
      </c>
      <c r="C96" s="37" t="n">
        <v>202412</v>
      </c>
      <c r="D96" s="37" t="s">
        <v>58</v>
      </c>
      <c r="E96" s="37" t="s">
        <v>103</v>
      </c>
      <c r="F96" s="37" t="s">
        <v>205</v>
      </c>
      <c r="G96" s="37" t="s">
        <v>358</v>
      </c>
      <c r="H96" s="37" t="s">
        <v>400</v>
      </c>
      <c r="I96" s="37" t="s">
        <v>401</v>
      </c>
      <c r="J96" s="37" t="s">
        <v>498</v>
      </c>
      <c r="K96" s="45" t="n">
        <v>0</v>
      </c>
      <c r="L96" s="46" t="n">
        <v>50665.31</v>
      </c>
    </row>
    <row r="97" customFormat="false" ht="15" hidden="false" customHeight="false" outlineLevel="0" collapsed="false">
      <c r="A97" s="37" t="n">
        <v>500029</v>
      </c>
      <c r="B97" s="37" t="s">
        <v>499</v>
      </c>
      <c r="C97" s="37" t="n">
        <v>202412</v>
      </c>
      <c r="D97" s="37" t="s">
        <v>58</v>
      </c>
      <c r="E97" s="37" t="s">
        <v>97</v>
      </c>
      <c r="F97" s="37" t="s">
        <v>194</v>
      </c>
      <c r="G97" s="37" t="s">
        <v>354</v>
      </c>
      <c r="H97" s="37"/>
      <c r="I97" s="37" t="s">
        <v>355</v>
      </c>
      <c r="J97" s="37" t="s">
        <v>500</v>
      </c>
      <c r="K97" s="45" t="n">
        <v>89.3</v>
      </c>
      <c r="L97" s="46" t="n">
        <v>8219.28</v>
      </c>
    </row>
    <row r="98" customFormat="false" ht="15" hidden="false" customHeight="false" outlineLevel="0" collapsed="false">
      <c r="A98" s="37" t="n">
        <v>500225</v>
      </c>
      <c r="B98" s="37" t="s">
        <v>499</v>
      </c>
      <c r="C98" s="37" t="n">
        <v>202412</v>
      </c>
      <c r="D98" s="37" t="s">
        <v>58</v>
      </c>
      <c r="E98" s="37" t="s">
        <v>101</v>
      </c>
      <c r="F98" s="37" t="s">
        <v>194</v>
      </c>
      <c r="G98" s="37" t="s">
        <v>354</v>
      </c>
      <c r="H98" s="37"/>
      <c r="I98" s="37" t="s">
        <v>355</v>
      </c>
      <c r="J98" s="37" t="s">
        <v>500</v>
      </c>
      <c r="K98" s="45" t="n">
        <v>634.2</v>
      </c>
      <c r="L98" s="46" t="n">
        <v>46930.49</v>
      </c>
    </row>
    <row r="99" customFormat="false" ht="15" hidden="false" customHeight="false" outlineLevel="0" collapsed="false">
      <c r="A99" s="37" t="n">
        <v>500264</v>
      </c>
      <c r="B99" s="37" t="s">
        <v>501</v>
      </c>
      <c r="C99" s="37" t="n">
        <v>202412</v>
      </c>
      <c r="D99" s="37" t="s">
        <v>58</v>
      </c>
      <c r="E99" s="37" t="s">
        <v>102</v>
      </c>
      <c r="F99" s="37" t="s">
        <v>205</v>
      </c>
      <c r="G99" s="37" t="s">
        <v>358</v>
      </c>
      <c r="H99" s="37" t="s">
        <v>393</v>
      </c>
      <c r="I99" s="37" t="s">
        <v>394</v>
      </c>
      <c r="J99" s="37" t="s">
        <v>502</v>
      </c>
      <c r="K99" s="45" t="n">
        <v>0</v>
      </c>
      <c r="L99" s="46" t="n">
        <v>59197.79</v>
      </c>
    </row>
    <row r="100" customFormat="false" ht="15" hidden="false" customHeight="false" outlineLevel="0" collapsed="false">
      <c r="A100" s="37" t="n">
        <v>500284</v>
      </c>
      <c r="B100" s="37" t="s">
        <v>503</v>
      </c>
      <c r="C100" s="37" t="n">
        <v>202412</v>
      </c>
      <c r="D100" s="37" t="s">
        <v>58</v>
      </c>
      <c r="E100" s="37" t="s">
        <v>103</v>
      </c>
      <c r="F100" s="37" t="s">
        <v>205</v>
      </c>
      <c r="G100" s="37" t="s">
        <v>358</v>
      </c>
      <c r="H100" s="37" t="s">
        <v>400</v>
      </c>
      <c r="I100" s="37" t="s">
        <v>401</v>
      </c>
      <c r="J100" s="37" t="s">
        <v>504</v>
      </c>
      <c r="K100" s="45" t="n">
        <v>0</v>
      </c>
      <c r="L100" s="46" t="n">
        <v>82705.23</v>
      </c>
    </row>
    <row r="101" customFormat="false" ht="15" hidden="false" customHeight="false" outlineLevel="0" collapsed="false">
      <c r="A101" s="37" t="n">
        <v>500203</v>
      </c>
      <c r="B101" s="37" t="s">
        <v>505</v>
      </c>
      <c r="C101" s="37" t="n">
        <v>202412</v>
      </c>
      <c r="D101" s="37" t="s">
        <v>58</v>
      </c>
      <c r="E101" s="37" t="s">
        <v>100</v>
      </c>
      <c r="F101" s="37" t="s">
        <v>201</v>
      </c>
      <c r="G101" s="37" t="s">
        <v>358</v>
      </c>
      <c r="H101" s="37" t="s">
        <v>369</v>
      </c>
      <c r="I101" s="37" t="s">
        <v>370</v>
      </c>
      <c r="J101" s="37" t="s">
        <v>506</v>
      </c>
      <c r="K101" s="45" t="n">
        <v>0</v>
      </c>
      <c r="L101" s="46" t="n">
        <v>19047.48</v>
      </c>
    </row>
    <row r="102" customFormat="false" ht="15" hidden="false" customHeight="false" outlineLevel="0" collapsed="false">
      <c r="A102" s="37" t="n">
        <v>500309</v>
      </c>
      <c r="B102" s="37" t="s">
        <v>505</v>
      </c>
      <c r="C102" s="37" t="n">
        <v>202412</v>
      </c>
      <c r="D102" s="37" t="s">
        <v>58</v>
      </c>
      <c r="E102" s="37" t="s">
        <v>105</v>
      </c>
      <c r="F102" s="37" t="s">
        <v>201</v>
      </c>
      <c r="G102" s="37" t="s">
        <v>358</v>
      </c>
      <c r="H102" s="37" t="s">
        <v>507</v>
      </c>
      <c r="I102" s="37" t="s">
        <v>508</v>
      </c>
      <c r="J102" s="37" t="s">
        <v>506</v>
      </c>
      <c r="K102" s="45" t="n">
        <v>0</v>
      </c>
      <c r="L102" s="46" t="n">
        <v>10518.51</v>
      </c>
    </row>
    <row r="103" customFormat="false" ht="15" hidden="false" customHeight="false" outlineLevel="0" collapsed="false">
      <c r="A103" s="37" t="n">
        <v>500131</v>
      </c>
      <c r="B103" s="37" t="s">
        <v>509</v>
      </c>
      <c r="C103" s="37" t="n">
        <v>202412</v>
      </c>
      <c r="D103" s="37" t="s">
        <v>58</v>
      </c>
      <c r="E103" s="37" t="s">
        <v>98</v>
      </c>
      <c r="F103" s="37" t="s">
        <v>196</v>
      </c>
      <c r="G103" s="37" t="s">
        <v>358</v>
      </c>
      <c r="H103" s="37" t="s">
        <v>359</v>
      </c>
      <c r="I103" s="37" t="s">
        <v>360</v>
      </c>
      <c r="J103" s="37" t="s">
        <v>510</v>
      </c>
      <c r="K103" s="45" t="n">
        <v>0</v>
      </c>
      <c r="L103" s="46" t="n">
        <v>4881.09</v>
      </c>
    </row>
    <row r="104" customFormat="false" ht="15" hidden="false" customHeight="false" outlineLevel="0" collapsed="false">
      <c r="A104" s="37" t="n">
        <v>500030</v>
      </c>
      <c r="B104" s="37" t="s">
        <v>511</v>
      </c>
      <c r="C104" s="37" t="n">
        <v>202412</v>
      </c>
      <c r="D104" s="37" t="s">
        <v>58</v>
      </c>
      <c r="E104" s="37" t="s">
        <v>97</v>
      </c>
      <c r="F104" s="37" t="s">
        <v>194</v>
      </c>
      <c r="G104" s="37" t="s">
        <v>354</v>
      </c>
      <c r="H104" s="37"/>
      <c r="I104" s="37" t="s">
        <v>355</v>
      </c>
      <c r="J104" s="37" t="s">
        <v>512</v>
      </c>
      <c r="K104" s="45" t="n">
        <v>119.9</v>
      </c>
      <c r="L104" s="46" t="n">
        <v>11027.51</v>
      </c>
    </row>
    <row r="105" customFormat="false" ht="15" hidden="false" customHeight="false" outlineLevel="0" collapsed="false">
      <c r="A105" s="37" t="n">
        <v>500226</v>
      </c>
      <c r="B105" s="37" t="s">
        <v>511</v>
      </c>
      <c r="C105" s="37" t="n">
        <v>202412</v>
      </c>
      <c r="D105" s="37" t="s">
        <v>58</v>
      </c>
      <c r="E105" s="37" t="s">
        <v>101</v>
      </c>
      <c r="F105" s="37" t="s">
        <v>194</v>
      </c>
      <c r="G105" s="37" t="s">
        <v>354</v>
      </c>
      <c r="H105" s="37"/>
      <c r="I105" s="37" t="s">
        <v>355</v>
      </c>
      <c r="J105" s="37" t="s">
        <v>512</v>
      </c>
      <c r="K105" s="45" t="n">
        <v>241.2</v>
      </c>
      <c r="L105" s="46" t="n">
        <v>17847.24</v>
      </c>
    </row>
    <row r="106" customFormat="false" ht="15" hidden="false" customHeight="false" outlineLevel="0" collapsed="false">
      <c r="A106" s="37" t="n">
        <v>500180</v>
      </c>
      <c r="B106" s="37" t="s">
        <v>513</v>
      </c>
      <c r="C106" s="37" t="n">
        <v>202412</v>
      </c>
      <c r="D106" s="37" t="s">
        <v>58</v>
      </c>
      <c r="E106" s="37" t="s">
        <v>99</v>
      </c>
      <c r="F106" s="37" t="s">
        <v>198</v>
      </c>
      <c r="G106" s="37" t="s">
        <v>375</v>
      </c>
      <c r="H106" s="37"/>
      <c r="I106" s="37" t="s">
        <v>376</v>
      </c>
      <c r="J106" s="37" t="s">
        <v>377</v>
      </c>
      <c r="K106" s="45" t="n">
        <v>0</v>
      </c>
      <c r="L106" s="46" t="n">
        <v>20640.96</v>
      </c>
    </row>
    <row r="107" customFormat="false" ht="15" hidden="false" customHeight="false" outlineLevel="0" collapsed="false">
      <c r="A107" s="37" t="n">
        <v>500031</v>
      </c>
      <c r="B107" s="37" t="s">
        <v>514</v>
      </c>
      <c r="C107" s="37" t="n">
        <v>202501</v>
      </c>
      <c r="D107" s="37" t="s">
        <v>58</v>
      </c>
      <c r="E107" s="37" t="s">
        <v>97</v>
      </c>
      <c r="F107" s="37" t="s">
        <v>194</v>
      </c>
      <c r="G107" s="37" t="s">
        <v>354</v>
      </c>
      <c r="H107" s="37"/>
      <c r="I107" s="37" t="s">
        <v>355</v>
      </c>
      <c r="J107" s="37" t="s">
        <v>515</v>
      </c>
      <c r="K107" s="45" t="n">
        <v>90.9</v>
      </c>
      <c r="L107" s="46" t="n">
        <v>8363.22</v>
      </c>
    </row>
    <row r="108" customFormat="false" ht="15" hidden="false" customHeight="false" outlineLevel="0" collapsed="false">
      <c r="A108" s="37" t="n">
        <v>500227</v>
      </c>
      <c r="B108" s="37" t="s">
        <v>514</v>
      </c>
      <c r="C108" s="37" t="n">
        <v>202501</v>
      </c>
      <c r="D108" s="37" t="s">
        <v>58</v>
      </c>
      <c r="E108" s="37" t="s">
        <v>101</v>
      </c>
      <c r="F108" s="37" t="s">
        <v>194</v>
      </c>
      <c r="G108" s="37" t="s">
        <v>354</v>
      </c>
      <c r="H108" s="37"/>
      <c r="I108" s="37" t="s">
        <v>355</v>
      </c>
      <c r="J108" s="37" t="s">
        <v>515</v>
      </c>
      <c r="K108" s="45" t="n">
        <v>391.1</v>
      </c>
      <c r="L108" s="46" t="n">
        <v>28943.09</v>
      </c>
    </row>
    <row r="109" customFormat="false" ht="15" hidden="false" customHeight="false" outlineLevel="0" collapsed="false">
      <c r="A109" s="37" t="n">
        <v>500266</v>
      </c>
      <c r="B109" s="37" t="s">
        <v>516</v>
      </c>
      <c r="C109" s="37" t="n">
        <v>202501</v>
      </c>
      <c r="D109" s="37" t="s">
        <v>58</v>
      </c>
      <c r="E109" s="37" t="s">
        <v>102</v>
      </c>
      <c r="F109" s="37" t="s">
        <v>205</v>
      </c>
      <c r="G109" s="37" t="s">
        <v>358</v>
      </c>
      <c r="H109" s="37" t="s">
        <v>393</v>
      </c>
      <c r="I109" s="37" t="s">
        <v>394</v>
      </c>
      <c r="J109" s="37" t="s">
        <v>517</v>
      </c>
      <c r="K109" s="45" t="n">
        <v>0</v>
      </c>
      <c r="L109" s="46" t="n">
        <v>96626.95</v>
      </c>
    </row>
    <row r="110" customFormat="false" ht="15" hidden="false" customHeight="false" outlineLevel="0" collapsed="false">
      <c r="A110" s="37" t="n">
        <v>500032</v>
      </c>
      <c r="B110" s="37" t="s">
        <v>518</v>
      </c>
      <c r="C110" s="37" t="n">
        <v>202501</v>
      </c>
      <c r="D110" s="37" t="s">
        <v>58</v>
      </c>
      <c r="E110" s="37" t="s">
        <v>97</v>
      </c>
      <c r="F110" s="37" t="s">
        <v>194</v>
      </c>
      <c r="G110" s="37" t="s">
        <v>354</v>
      </c>
      <c r="H110" s="37"/>
      <c r="I110" s="37" t="s">
        <v>355</v>
      </c>
      <c r="J110" s="37" t="s">
        <v>519</v>
      </c>
      <c r="K110" s="45" t="n">
        <v>121.2</v>
      </c>
      <c r="L110" s="46" t="n">
        <v>11152.65</v>
      </c>
    </row>
    <row r="111" customFormat="false" ht="15" hidden="false" customHeight="false" outlineLevel="0" collapsed="false">
      <c r="A111" s="37" t="n">
        <v>500228</v>
      </c>
      <c r="B111" s="37" t="s">
        <v>518</v>
      </c>
      <c r="C111" s="37" t="n">
        <v>202501</v>
      </c>
      <c r="D111" s="37" t="s">
        <v>58</v>
      </c>
      <c r="E111" s="37" t="s">
        <v>101</v>
      </c>
      <c r="F111" s="37" t="s">
        <v>194</v>
      </c>
      <c r="G111" s="37" t="s">
        <v>354</v>
      </c>
      <c r="H111" s="37"/>
      <c r="I111" s="37" t="s">
        <v>355</v>
      </c>
      <c r="J111" s="37" t="s">
        <v>519</v>
      </c>
      <c r="K111" s="45" t="n">
        <v>387.8</v>
      </c>
      <c r="L111" s="46" t="n">
        <v>28697.66</v>
      </c>
    </row>
    <row r="112" customFormat="false" ht="15" hidden="false" customHeight="false" outlineLevel="0" collapsed="false">
      <c r="A112" s="37" t="n">
        <v>500287</v>
      </c>
      <c r="B112" s="37" t="s">
        <v>520</v>
      </c>
      <c r="C112" s="37" t="n">
        <v>202501</v>
      </c>
      <c r="D112" s="37" t="s">
        <v>58</v>
      </c>
      <c r="E112" s="37" t="s">
        <v>103</v>
      </c>
      <c r="F112" s="37" t="s">
        <v>205</v>
      </c>
      <c r="G112" s="37" t="s">
        <v>358</v>
      </c>
      <c r="H112" s="37" t="s">
        <v>400</v>
      </c>
      <c r="I112" s="37" t="s">
        <v>401</v>
      </c>
      <c r="J112" s="37" t="s">
        <v>521</v>
      </c>
      <c r="K112" s="45" t="n">
        <v>0</v>
      </c>
      <c r="L112" s="46" t="n">
        <v>122313.38</v>
      </c>
    </row>
    <row r="113" customFormat="false" ht="15" hidden="false" customHeight="false" outlineLevel="0" collapsed="false">
      <c r="A113" s="37" t="n">
        <v>500033</v>
      </c>
      <c r="B113" s="37" t="s">
        <v>522</v>
      </c>
      <c r="C113" s="37" t="n">
        <v>202501</v>
      </c>
      <c r="D113" s="37" t="s">
        <v>58</v>
      </c>
      <c r="E113" s="37" t="s">
        <v>97</v>
      </c>
      <c r="F113" s="37" t="s">
        <v>194</v>
      </c>
      <c r="G113" s="37" t="s">
        <v>354</v>
      </c>
      <c r="H113" s="37"/>
      <c r="I113" s="37" t="s">
        <v>355</v>
      </c>
      <c r="J113" s="37" t="s">
        <v>523</v>
      </c>
      <c r="K113" s="45" t="n">
        <v>15.3</v>
      </c>
      <c r="L113" s="46" t="n">
        <v>1406.65</v>
      </c>
    </row>
    <row r="114" customFormat="false" ht="15" hidden="false" customHeight="false" outlineLevel="0" collapsed="false">
      <c r="A114" s="37" t="n">
        <v>500229</v>
      </c>
      <c r="B114" s="37" t="s">
        <v>522</v>
      </c>
      <c r="C114" s="37" t="n">
        <v>202501</v>
      </c>
      <c r="D114" s="37" t="s">
        <v>58</v>
      </c>
      <c r="E114" s="37" t="s">
        <v>101</v>
      </c>
      <c r="F114" s="37" t="s">
        <v>194</v>
      </c>
      <c r="G114" s="37" t="s">
        <v>354</v>
      </c>
      <c r="H114" s="37"/>
      <c r="I114" s="37" t="s">
        <v>355</v>
      </c>
      <c r="J114" s="37" t="s">
        <v>523</v>
      </c>
      <c r="K114" s="45" t="n">
        <v>256.7</v>
      </c>
      <c r="L114" s="46" t="n">
        <v>18996</v>
      </c>
    </row>
    <row r="115" customFormat="false" ht="15" hidden="false" customHeight="false" outlineLevel="0" collapsed="false">
      <c r="A115" s="37" t="n">
        <v>500286</v>
      </c>
      <c r="B115" s="37" t="s">
        <v>524</v>
      </c>
      <c r="C115" s="37" t="n">
        <v>202501</v>
      </c>
      <c r="D115" s="37" t="s">
        <v>58</v>
      </c>
      <c r="E115" s="37" t="s">
        <v>103</v>
      </c>
      <c r="F115" s="37" t="s">
        <v>205</v>
      </c>
      <c r="G115" s="37" t="s">
        <v>358</v>
      </c>
      <c r="H115" s="37" t="s">
        <v>400</v>
      </c>
      <c r="I115" s="37" t="s">
        <v>401</v>
      </c>
      <c r="J115" s="37" t="s">
        <v>525</v>
      </c>
      <c r="K115" s="45" t="n">
        <v>0</v>
      </c>
      <c r="L115" s="46" t="n">
        <v>69618.82</v>
      </c>
    </row>
    <row r="116" customFormat="false" ht="15" hidden="false" customHeight="false" outlineLevel="0" collapsed="false">
      <c r="A116" s="37" t="n">
        <v>500034</v>
      </c>
      <c r="B116" s="37" t="s">
        <v>526</v>
      </c>
      <c r="C116" s="37" t="n">
        <v>202501</v>
      </c>
      <c r="D116" s="37" t="s">
        <v>58</v>
      </c>
      <c r="E116" s="37" t="s">
        <v>97</v>
      </c>
      <c r="F116" s="37" t="s">
        <v>194</v>
      </c>
      <c r="G116" s="37" t="s">
        <v>354</v>
      </c>
      <c r="H116" s="37"/>
      <c r="I116" s="37" t="s">
        <v>355</v>
      </c>
      <c r="J116" s="37" t="s">
        <v>527</v>
      </c>
      <c r="K116" s="45" t="n">
        <v>50.1</v>
      </c>
      <c r="L116" s="46" t="n">
        <v>4606.36</v>
      </c>
    </row>
    <row r="117" customFormat="false" ht="15" hidden="false" customHeight="false" outlineLevel="0" collapsed="false">
      <c r="A117" s="37" t="n">
        <v>500230</v>
      </c>
      <c r="B117" s="37" t="s">
        <v>526</v>
      </c>
      <c r="C117" s="37" t="n">
        <v>202501</v>
      </c>
      <c r="D117" s="37" t="s">
        <v>58</v>
      </c>
      <c r="E117" s="37" t="s">
        <v>101</v>
      </c>
      <c r="F117" s="37" t="s">
        <v>194</v>
      </c>
      <c r="G117" s="37" t="s">
        <v>354</v>
      </c>
      <c r="H117" s="37"/>
      <c r="I117" s="37" t="s">
        <v>355</v>
      </c>
      <c r="J117" s="37" t="s">
        <v>527</v>
      </c>
      <c r="K117" s="45" t="n">
        <v>298.4</v>
      </c>
      <c r="L117" s="46" t="n">
        <v>22083.36</v>
      </c>
    </row>
    <row r="118" customFormat="false" ht="15" hidden="false" customHeight="false" outlineLevel="0" collapsed="false">
      <c r="A118" s="37" t="n">
        <v>500310</v>
      </c>
      <c r="B118" s="37" t="s">
        <v>528</v>
      </c>
      <c r="C118" s="37" t="n">
        <v>202501</v>
      </c>
      <c r="D118" s="37" t="s">
        <v>58</v>
      </c>
      <c r="E118" s="37" t="s">
        <v>105</v>
      </c>
      <c r="F118" s="37" t="s">
        <v>201</v>
      </c>
      <c r="G118" s="37" t="s">
        <v>358</v>
      </c>
      <c r="H118" s="37" t="s">
        <v>507</v>
      </c>
      <c r="I118" s="37" t="s">
        <v>508</v>
      </c>
      <c r="J118" s="37" t="s">
        <v>529</v>
      </c>
      <c r="K118" s="45" t="n">
        <v>0</v>
      </c>
      <c r="L118" s="46" t="n">
        <v>78996.16</v>
      </c>
    </row>
    <row r="119" customFormat="false" ht="15" hidden="false" customHeight="false" outlineLevel="0" collapsed="false">
      <c r="A119" s="37" t="n">
        <v>500133</v>
      </c>
      <c r="B119" s="37" t="s">
        <v>530</v>
      </c>
      <c r="C119" s="37" t="n">
        <v>202501</v>
      </c>
      <c r="D119" s="37" t="s">
        <v>58</v>
      </c>
      <c r="E119" s="37" t="s">
        <v>98</v>
      </c>
      <c r="F119" s="37" t="s">
        <v>196</v>
      </c>
      <c r="G119" s="37" t="s">
        <v>358</v>
      </c>
      <c r="H119" s="37" t="s">
        <v>359</v>
      </c>
      <c r="I119" s="37" t="s">
        <v>360</v>
      </c>
      <c r="J119" s="37" t="s">
        <v>531</v>
      </c>
      <c r="K119" s="45" t="n">
        <v>0</v>
      </c>
      <c r="L119" s="46" t="n">
        <v>16228.87</v>
      </c>
    </row>
    <row r="120" customFormat="false" ht="15" hidden="false" customHeight="false" outlineLevel="0" collapsed="false">
      <c r="A120" s="37" t="n">
        <v>500035</v>
      </c>
      <c r="B120" s="37" t="s">
        <v>532</v>
      </c>
      <c r="C120" s="37" t="n">
        <v>202501</v>
      </c>
      <c r="D120" s="37" t="s">
        <v>58</v>
      </c>
      <c r="E120" s="37" t="s">
        <v>97</v>
      </c>
      <c r="F120" s="37" t="s">
        <v>194</v>
      </c>
      <c r="G120" s="37" t="s">
        <v>354</v>
      </c>
      <c r="H120" s="37"/>
      <c r="I120" s="37" t="s">
        <v>355</v>
      </c>
      <c r="J120" s="37" t="s">
        <v>533</v>
      </c>
      <c r="K120" s="45" t="n">
        <v>150.6</v>
      </c>
      <c r="L120" s="46" t="n">
        <v>13852.47</v>
      </c>
    </row>
    <row r="121" customFormat="false" ht="15" hidden="false" customHeight="false" outlineLevel="0" collapsed="false">
      <c r="A121" s="37" t="n">
        <v>500181</v>
      </c>
      <c r="B121" s="37" t="s">
        <v>532</v>
      </c>
      <c r="C121" s="37" t="n">
        <v>202501</v>
      </c>
      <c r="D121" s="37" t="s">
        <v>58</v>
      </c>
      <c r="E121" s="37" t="s">
        <v>99</v>
      </c>
      <c r="F121" s="37" t="s">
        <v>198</v>
      </c>
      <c r="G121" s="37" t="s">
        <v>375</v>
      </c>
      <c r="H121" s="37"/>
      <c r="I121" s="37" t="s">
        <v>376</v>
      </c>
      <c r="J121" s="37" t="s">
        <v>377</v>
      </c>
      <c r="K121" s="45" t="n">
        <v>0</v>
      </c>
      <c r="L121" s="46" t="n">
        <v>21469.94</v>
      </c>
    </row>
    <row r="122" customFormat="false" ht="15" hidden="false" customHeight="false" outlineLevel="0" collapsed="false">
      <c r="A122" s="37" t="n">
        <v>500231</v>
      </c>
      <c r="B122" s="37" t="s">
        <v>532</v>
      </c>
      <c r="C122" s="37" t="n">
        <v>202501</v>
      </c>
      <c r="D122" s="37" t="s">
        <v>58</v>
      </c>
      <c r="E122" s="37" t="s">
        <v>101</v>
      </c>
      <c r="F122" s="37" t="s">
        <v>194</v>
      </c>
      <c r="G122" s="37" t="s">
        <v>354</v>
      </c>
      <c r="H122" s="37"/>
      <c r="I122" s="37" t="s">
        <v>355</v>
      </c>
      <c r="J122" s="37" t="s">
        <v>533</v>
      </c>
      <c r="K122" s="45" t="n">
        <v>207.4</v>
      </c>
      <c r="L122" s="46" t="n">
        <v>15346.58</v>
      </c>
    </row>
    <row r="123" customFormat="false" ht="15" hidden="false" customHeight="false" outlineLevel="0" collapsed="false">
      <c r="A123" s="37" t="n">
        <v>500135</v>
      </c>
      <c r="B123" s="37" t="s">
        <v>534</v>
      </c>
      <c r="C123" s="37" t="n">
        <v>202502</v>
      </c>
      <c r="D123" s="37" t="s">
        <v>58</v>
      </c>
      <c r="E123" s="37" t="s">
        <v>98</v>
      </c>
      <c r="F123" s="37" t="s">
        <v>196</v>
      </c>
      <c r="G123" s="37" t="s">
        <v>358</v>
      </c>
      <c r="H123" s="37" t="s">
        <v>359</v>
      </c>
      <c r="I123" s="37" t="s">
        <v>360</v>
      </c>
      <c r="J123" s="37" t="s">
        <v>535</v>
      </c>
      <c r="K123" s="45" t="n">
        <v>0</v>
      </c>
      <c r="L123" s="46" t="n">
        <v>3257.35</v>
      </c>
    </row>
    <row r="124" customFormat="false" ht="15" hidden="false" customHeight="false" outlineLevel="0" collapsed="false">
      <c r="A124" s="37" t="n">
        <v>500036</v>
      </c>
      <c r="B124" s="37" t="s">
        <v>536</v>
      </c>
      <c r="C124" s="37" t="n">
        <v>202502</v>
      </c>
      <c r="D124" s="37" t="s">
        <v>58</v>
      </c>
      <c r="E124" s="37" t="s">
        <v>97</v>
      </c>
      <c r="F124" s="37" t="s">
        <v>194</v>
      </c>
      <c r="G124" s="37" t="s">
        <v>354</v>
      </c>
      <c r="H124" s="37"/>
      <c r="I124" s="37" t="s">
        <v>355</v>
      </c>
      <c r="J124" s="37" t="s">
        <v>537</v>
      </c>
      <c r="K124" s="45" t="n">
        <v>152.8</v>
      </c>
      <c r="L124" s="46" t="n">
        <v>14055.81</v>
      </c>
    </row>
    <row r="125" customFormat="false" ht="15" hidden="false" customHeight="false" outlineLevel="0" collapsed="false">
      <c r="A125" s="37" t="n">
        <v>500232</v>
      </c>
      <c r="B125" s="37" t="s">
        <v>536</v>
      </c>
      <c r="C125" s="37" t="n">
        <v>202502</v>
      </c>
      <c r="D125" s="37" t="s">
        <v>58</v>
      </c>
      <c r="E125" s="37" t="s">
        <v>101</v>
      </c>
      <c r="F125" s="37" t="s">
        <v>194</v>
      </c>
      <c r="G125" s="37" t="s">
        <v>354</v>
      </c>
      <c r="H125" s="37"/>
      <c r="I125" s="37" t="s">
        <v>355</v>
      </c>
      <c r="J125" s="37" t="s">
        <v>537</v>
      </c>
      <c r="K125" s="45" t="n">
        <v>174.2</v>
      </c>
      <c r="L125" s="46" t="n">
        <v>12891.92</v>
      </c>
    </row>
    <row r="126" customFormat="false" ht="15" hidden="false" customHeight="false" outlineLevel="0" collapsed="false">
      <c r="A126" s="37" t="n">
        <v>500267</v>
      </c>
      <c r="B126" s="37" t="s">
        <v>538</v>
      </c>
      <c r="C126" s="37" t="n">
        <v>202502</v>
      </c>
      <c r="D126" s="37" t="s">
        <v>58</v>
      </c>
      <c r="E126" s="37" t="s">
        <v>102</v>
      </c>
      <c r="F126" s="37" t="s">
        <v>205</v>
      </c>
      <c r="G126" s="37" t="s">
        <v>358</v>
      </c>
      <c r="H126" s="37" t="s">
        <v>393</v>
      </c>
      <c r="I126" s="37" t="s">
        <v>394</v>
      </c>
      <c r="J126" s="37" t="s">
        <v>539</v>
      </c>
      <c r="K126" s="45" t="n">
        <v>0</v>
      </c>
      <c r="L126" s="46" t="n">
        <v>30439.55</v>
      </c>
    </row>
    <row r="127" customFormat="false" ht="15" hidden="false" customHeight="false" outlineLevel="0" collapsed="false">
      <c r="A127" s="37" t="n">
        <v>500037</v>
      </c>
      <c r="B127" s="37" t="s">
        <v>540</v>
      </c>
      <c r="C127" s="37" t="n">
        <v>202502</v>
      </c>
      <c r="D127" s="37" t="s">
        <v>58</v>
      </c>
      <c r="E127" s="37" t="s">
        <v>97</v>
      </c>
      <c r="F127" s="37" t="s">
        <v>194</v>
      </c>
      <c r="G127" s="37" t="s">
        <v>354</v>
      </c>
      <c r="H127" s="37"/>
      <c r="I127" s="37" t="s">
        <v>355</v>
      </c>
      <c r="J127" s="37" t="s">
        <v>541</v>
      </c>
      <c r="K127" s="45" t="n">
        <v>132.4</v>
      </c>
      <c r="L127" s="46" t="n">
        <v>12176.69</v>
      </c>
    </row>
    <row r="128" customFormat="false" ht="15" hidden="false" customHeight="false" outlineLevel="0" collapsed="false">
      <c r="A128" s="37" t="n">
        <v>500233</v>
      </c>
      <c r="B128" s="37" t="s">
        <v>540</v>
      </c>
      <c r="C128" s="37" t="n">
        <v>202502</v>
      </c>
      <c r="D128" s="37" t="s">
        <v>58</v>
      </c>
      <c r="E128" s="37" t="s">
        <v>101</v>
      </c>
      <c r="F128" s="37" t="s">
        <v>194</v>
      </c>
      <c r="G128" s="37" t="s">
        <v>354</v>
      </c>
      <c r="H128" s="37"/>
      <c r="I128" s="37" t="s">
        <v>355</v>
      </c>
      <c r="J128" s="37" t="s">
        <v>541</v>
      </c>
      <c r="K128" s="45" t="n">
        <v>389.8</v>
      </c>
      <c r="L128" s="46" t="n">
        <v>28845.93</v>
      </c>
    </row>
    <row r="129" customFormat="false" ht="15" hidden="false" customHeight="false" outlineLevel="0" collapsed="false">
      <c r="A129" s="37" t="n">
        <v>500288</v>
      </c>
      <c r="B129" s="37" t="s">
        <v>540</v>
      </c>
      <c r="C129" s="37" t="n">
        <v>202502</v>
      </c>
      <c r="D129" s="37" t="s">
        <v>58</v>
      </c>
      <c r="E129" s="37" t="s">
        <v>103</v>
      </c>
      <c r="F129" s="37" t="s">
        <v>205</v>
      </c>
      <c r="G129" s="37" t="s">
        <v>358</v>
      </c>
      <c r="H129" s="37" t="s">
        <v>400</v>
      </c>
      <c r="I129" s="37" t="s">
        <v>401</v>
      </c>
      <c r="J129" s="37" t="s">
        <v>542</v>
      </c>
      <c r="K129" s="45" t="n">
        <v>0</v>
      </c>
      <c r="L129" s="46" t="n">
        <v>137207.62</v>
      </c>
    </row>
    <row r="130" customFormat="false" ht="15" hidden="false" customHeight="false" outlineLevel="0" collapsed="false">
      <c r="A130" s="37" t="n">
        <v>500038</v>
      </c>
      <c r="B130" s="37" t="s">
        <v>543</v>
      </c>
      <c r="C130" s="37" t="n">
        <v>202502</v>
      </c>
      <c r="D130" s="37" t="s">
        <v>58</v>
      </c>
      <c r="E130" s="37" t="s">
        <v>97</v>
      </c>
      <c r="F130" s="37" t="s">
        <v>194</v>
      </c>
      <c r="G130" s="37" t="s">
        <v>354</v>
      </c>
      <c r="H130" s="37"/>
      <c r="I130" s="37" t="s">
        <v>355</v>
      </c>
      <c r="J130" s="37" t="s">
        <v>544</v>
      </c>
      <c r="K130" s="45" t="n">
        <v>81.8</v>
      </c>
      <c r="L130" s="46" t="n">
        <v>7527.87</v>
      </c>
    </row>
    <row r="131" customFormat="false" ht="15" hidden="false" customHeight="false" outlineLevel="0" collapsed="false">
      <c r="A131" s="37" t="n">
        <v>500234</v>
      </c>
      <c r="B131" s="37" t="s">
        <v>543</v>
      </c>
      <c r="C131" s="37" t="n">
        <v>202502</v>
      </c>
      <c r="D131" s="37" t="s">
        <v>58</v>
      </c>
      <c r="E131" s="37" t="s">
        <v>101</v>
      </c>
      <c r="F131" s="37" t="s">
        <v>194</v>
      </c>
      <c r="G131" s="37" t="s">
        <v>354</v>
      </c>
      <c r="H131" s="37"/>
      <c r="I131" s="37" t="s">
        <v>355</v>
      </c>
      <c r="J131" s="37" t="s">
        <v>544</v>
      </c>
      <c r="K131" s="45" t="n">
        <v>196.8</v>
      </c>
      <c r="L131" s="46" t="n">
        <v>14562.06</v>
      </c>
    </row>
    <row r="132" customFormat="false" ht="15" hidden="false" customHeight="false" outlineLevel="0" collapsed="false">
      <c r="A132" s="37" t="n">
        <v>500311</v>
      </c>
      <c r="B132" s="37" t="s">
        <v>545</v>
      </c>
      <c r="C132" s="37" t="n">
        <v>202502</v>
      </c>
      <c r="D132" s="37" t="s">
        <v>58</v>
      </c>
      <c r="E132" s="37" t="s">
        <v>105</v>
      </c>
      <c r="F132" s="37" t="s">
        <v>201</v>
      </c>
      <c r="G132" s="37" t="s">
        <v>358</v>
      </c>
      <c r="H132" s="37" t="s">
        <v>507</v>
      </c>
      <c r="I132" s="37" t="s">
        <v>508</v>
      </c>
      <c r="J132" s="37" t="s">
        <v>546</v>
      </c>
      <c r="K132" s="45" t="n">
        <v>0</v>
      </c>
      <c r="L132" s="46" t="n">
        <v>107240.9</v>
      </c>
    </row>
    <row r="133" customFormat="false" ht="15" hidden="false" customHeight="false" outlineLevel="0" collapsed="false">
      <c r="A133" s="37" t="n">
        <v>500410</v>
      </c>
      <c r="B133" s="37" t="s">
        <v>545</v>
      </c>
      <c r="C133" s="37" t="n">
        <v>202502</v>
      </c>
      <c r="D133" s="37" t="s">
        <v>58</v>
      </c>
      <c r="E133" s="37" t="s">
        <v>110</v>
      </c>
      <c r="F133" s="37" t="s">
        <v>201</v>
      </c>
      <c r="G133" s="37" t="s">
        <v>358</v>
      </c>
      <c r="H133" s="37" t="s">
        <v>547</v>
      </c>
      <c r="I133" s="37" t="s">
        <v>548</v>
      </c>
      <c r="J133" s="37" t="s">
        <v>546</v>
      </c>
      <c r="K133" s="45" t="n">
        <v>0</v>
      </c>
      <c r="L133" s="46" t="n">
        <v>30630.72</v>
      </c>
    </row>
    <row r="134" customFormat="false" ht="15" hidden="false" customHeight="false" outlineLevel="0" collapsed="false">
      <c r="A134" s="37" t="n">
        <v>500429</v>
      </c>
      <c r="B134" s="37" t="s">
        <v>545</v>
      </c>
      <c r="C134" s="37" t="n">
        <v>202502</v>
      </c>
      <c r="D134" s="37" t="s">
        <v>58</v>
      </c>
      <c r="E134" s="37" t="s">
        <v>111</v>
      </c>
      <c r="F134" s="37" t="s">
        <v>201</v>
      </c>
      <c r="G134" s="37" t="s">
        <v>358</v>
      </c>
      <c r="H134" s="37" t="s">
        <v>549</v>
      </c>
      <c r="I134" s="37" t="s">
        <v>550</v>
      </c>
      <c r="J134" s="37" t="s">
        <v>546</v>
      </c>
      <c r="K134" s="45" t="n">
        <v>0</v>
      </c>
      <c r="L134" s="46" t="n">
        <v>19650.13</v>
      </c>
    </row>
    <row r="135" customFormat="false" ht="15" hidden="false" customHeight="false" outlineLevel="0" collapsed="false">
      <c r="A135" s="37" t="n">
        <v>500134</v>
      </c>
      <c r="B135" s="37" t="s">
        <v>551</v>
      </c>
      <c r="C135" s="37" t="n">
        <v>202502</v>
      </c>
      <c r="D135" s="37" t="s">
        <v>58</v>
      </c>
      <c r="E135" s="37" t="s">
        <v>98</v>
      </c>
      <c r="F135" s="37" t="s">
        <v>196</v>
      </c>
      <c r="G135" s="37" t="s">
        <v>358</v>
      </c>
      <c r="H135" s="37" t="s">
        <v>359</v>
      </c>
      <c r="I135" s="37" t="s">
        <v>360</v>
      </c>
      <c r="J135" s="37" t="s">
        <v>552</v>
      </c>
      <c r="K135" s="45" t="n">
        <v>0</v>
      </c>
      <c r="L135" s="46" t="n">
        <v>14850.73</v>
      </c>
    </row>
    <row r="136" customFormat="false" ht="15" hidden="false" customHeight="false" outlineLevel="0" collapsed="false">
      <c r="A136" s="37" t="n">
        <v>500268</v>
      </c>
      <c r="B136" s="37" t="s">
        <v>551</v>
      </c>
      <c r="C136" s="37" t="n">
        <v>202502</v>
      </c>
      <c r="D136" s="37" t="s">
        <v>58</v>
      </c>
      <c r="E136" s="37" t="s">
        <v>102</v>
      </c>
      <c r="F136" s="37" t="s">
        <v>205</v>
      </c>
      <c r="G136" s="37" t="s">
        <v>358</v>
      </c>
      <c r="H136" s="37" t="s">
        <v>393</v>
      </c>
      <c r="I136" s="37" t="s">
        <v>394</v>
      </c>
      <c r="J136" s="37" t="s">
        <v>553</v>
      </c>
      <c r="K136" s="45" t="n">
        <v>0</v>
      </c>
      <c r="L136" s="46" t="n">
        <v>29649.99</v>
      </c>
    </row>
    <row r="137" customFormat="false" ht="15" hidden="false" customHeight="false" outlineLevel="0" collapsed="false">
      <c r="A137" s="37" t="n">
        <v>500039</v>
      </c>
      <c r="B137" s="37" t="s">
        <v>554</v>
      </c>
      <c r="C137" s="37" t="n">
        <v>202502</v>
      </c>
      <c r="D137" s="37" t="s">
        <v>58</v>
      </c>
      <c r="E137" s="37" t="s">
        <v>97</v>
      </c>
      <c r="F137" s="37" t="s">
        <v>194</v>
      </c>
      <c r="G137" s="37" t="s">
        <v>354</v>
      </c>
      <c r="H137" s="37"/>
      <c r="I137" s="37" t="s">
        <v>355</v>
      </c>
      <c r="J137" s="37" t="s">
        <v>555</v>
      </c>
      <c r="K137" s="45" t="n">
        <v>172.9</v>
      </c>
      <c r="L137" s="46" t="n">
        <v>15907.83</v>
      </c>
    </row>
    <row r="138" customFormat="false" ht="15" hidden="false" customHeight="false" outlineLevel="0" collapsed="false">
      <c r="A138" s="37" t="n">
        <v>500182</v>
      </c>
      <c r="B138" s="37" t="s">
        <v>554</v>
      </c>
      <c r="C138" s="37" t="n">
        <v>202502</v>
      </c>
      <c r="D138" s="37" t="s">
        <v>58</v>
      </c>
      <c r="E138" s="37" t="s">
        <v>99</v>
      </c>
      <c r="F138" s="37" t="s">
        <v>198</v>
      </c>
      <c r="G138" s="37" t="s">
        <v>375</v>
      </c>
      <c r="H138" s="37"/>
      <c r="I138" s="37" t="s">
        <v>376</v>
      </c>
      <c r="J138" s="37" t="s">
        <v>377</v>
      </c>
      <c r="K138" s="45" t="n">
        <v>0</v>
      </c>
      <c r="L138" s="46" t="n">
        <v>22951.28</v>
      </c>
    </row>
    <row r="139" customFormat="false" ht="15" hidden="false" customHeight="false" outlineLevel="0" collapsed="false">
      <c r="A139" s="37" t="n">
        <v>500235</v>
      </c>
      <c r="B139" s="37" t="s">
        <v>554</v>
      </c>
      <c r="C139" s="37" t="n">
        <v>202502</v>
      </c>
      <c r="D139" s="37" t="s">
        <v>58</v>
      </c>
      <c r="E139" s="37" t="s">
        <v>101</v>
      </c>
      <c r="F139" s="37" t="s">
        <v>194</v>
      </c>
      <c r="G139" s="37" t="s">
        <v>354</v>
      </c>
      <c r="H139" s="37"/>
      <c r="I139" s="37" t="s">
        <v>355</v>
      </c>
      <c r="J139" s="37" t="s">
        <v>555</v>
      </c>
      <c r="K139" s="45" t="n">
        <v>258.3</v>
      </c>
      <c r="L139" s="46" t="n">
        <v>19117.8</v>
      </c>
    </row>
    <row r="140" customFormat="false" ht="15" hidden="false" customHeight="false" outlineLevel="0" collapsed="false">
      <c r="A140" s="37" t="n">
        <v>500531</v>
      </c>
      <c r="B140" s="37" t="s">
        <v>147</v>
      </c>
      <c r="C140" s="37" t="n">
        <v>202503</v>
      </c>
      <c r="D140" s="37" t="s">
        <v>59</v>
      </c>
      <c r="E140" s="37" t="s">
        <v>98</v>
      </c>
      <c r="F140" s="37" t="s">
        <v>196</v>
      </c>
      <c r="G140" s="37" t="s">
        <v>358</v>
      </c>
      <c r="H140" s="37" t="s">
        <v>359</v>
      </c>
      <c r="I140" s="37" t="s">
        <v>360</v>
      </c>
      <c r="J140" s="37" t="s">
        <v>556</v>
      </c>
      <c r="K140" s="45" t="n">
        <v>0</v>
      </c>
      <c r="L140" s="46" t="n">
        <v>1619.13</v>
      </c>
    </row>
    <row r="141" customFormat="false" ht="15" hidden="false" customHeight="false" outlineLevel="0" collapsed="false">
      <c r="A141" s="37" t="n">
        <v>500040</v>
      </c>
      <c r="B141" s="37" t="s">
        <v>557</v>
      </c>
      <c r="C141" s="37" t="n">
        <v>202503</v>
      </c>
      <c r="D141" s="37" t="s">
        <v>58</v>
      </c>
      <c r="E141" s="37" t="s">
        <v>97</v>
      </c>
      <c r="F141" s="37" t="s">
        <v>194</v>
      </c>
      <c r="G141" s="37" t="s">
        <v>354</v>
      </c>
      <c r="H141" s="37"/>
      <c r="I141" s="37" t="s">
        <v>355</v>
      </c>
      <c r="J141" s="37" t="s">
        <v>558</v>
      </c>
      <c r="K141" s="45" t="n">
        <v>247.2</v>
      </c>
      <c r="L141" s="46" t="n">
        <v>22746.42</v>
      </c>
    </row>
    <row r="142" customFormat="false" ht="15" hidden="false" customHeight="false" outlineLevel="0" collapsed="false">
      <c r="A142" s="37" t="n">
        <v>500236</v>
      </c>
      <c r="B142" s="37" t="s">
        <v>557</v>
      </c>
      <c r="C142" s="37" t="n">
        <v>202503</v>
      </c>
      <c r="D142" s="37" t="s">
        <v>58</v>
      </c>
      <c r="E142" s="37" t="s">
        <v>101</v>
      </c>
      <c r="F142" s="37" t="s">
        <v>194</v>
      </c>
      <c r="G142" s="37" t="s">
        <v>354</v>
      </c>
      <c r="H142" s="37"/>
      <c r="I142" s="37" t="s">
        <v>355</v>
      </c>
      <c r="J142" s="37" t="s">
        <v>558</v>
      </c>
      <c r="K142" s="45" t="n">
        <v>128.5</v>
      </c>
      <c r="L142" s="46" t="n">
        <v>9509.47</v>
      </c>
    </row>
    <row r="143" customFormat="false" ht="15" hidden="false" customHeight="false" outlineLevel="0" collapsed="false">
      <c r="A143" s="37" t="n">
        <v>500448</v>
      </c>
      <c r="B143" s="37" t="s">
        <v>557</v>
      </c>
      <c r="C143" s="37" t="n">
        <v>202503</v>
      </c>
      <c r="D143" s="37" t="s">
        <v>59</v>
      </c>
      <c r="E143" s="37" t="s">
        <v>97</v>
      </c>
      <c r="F143" s="37" t="s">
        <v>194</v>
      </c>
      <c r="G143" s="37" t="s">
        <v>354</v>
      </c>
      <c r="H143" s="37"/>
      <c r="I143" s="37" t="s">
        <v>355</v>
      </c>
      <c r="J143" s="37" t="s">
        <v>558</v>
      </c>
      <c r="K143" s="45" t="n">
        <v>62.9</v>
      </c>
      <c r="L143" s="46" t="n">
        <v>5783.33</v>
      </c>
    </row>
    <row r="144" customFormat="false" ht="15" hidden="false" customHeight="false" outlineLevel="0" collapsed="false">
      <c r="A144" s="37" t="n">
        <v>500269</v>
      </c>
      <c r="B144" s="37" t="s">
        <v>559</v>
      </c>
      <c r="C144" s="37" t="n">
        <v>202503</v>
      </c>
      <c r="D144" s="37" t="s">
        <v>58</v>
      </c>
      <c r="E144" s="37" t="s">
        <v>102</v>
      </c>
      <c r="F144" s="37" t="s">
        <v>205</v>
      </c>
      <c r="G144" s="37" t="s">
        <v>358</v>
      </c>
      <c r="H144" s="37" t="s">
        <v>393</v>
      </c>
      <c r="I144" s="37" t="s">
        <v>394</v>
      </c>
      <c r="J144" s="37" t="s">
        <v>560</v>
      </c>
      <c r="K144" s="45" t="n">
        <v>0</v>
      </c>
      <c r="L144" s="46" t="n">
        <v>9574.2</v>
      </c>
    </row>
    <row r="145" customFormat="false" ht="15" hidden="false" customHeight="false" outlineLevel="0" collapsed="false">
      <c r="A145" s="37" t="n">
        <v>500291</v>
      </c>
      <c r="B145" s="37" t="s">
        <v>559</v>
      </c>
      <c r="C145" s="37" t="n">
        <v>202503</v>
      </c>
      <c r="D145" s="37" t="s">
        <v>58</v>
      </c>
      <c r="E145" s="37" t="s">
        <v>103</v>
      </c>
      <c r="F145" s="37" t="s">
        <v>205</v>
      </c>
      <c r="G145" s="37" t="s">
        <v>358</v>
      </c>
      <c r="H145" s="37" t="s">
        <v>400</v>
      </c>
      <c r="I145" s="37" t="s">
        <v>401</v>
      </c>
      <c r="J145" s="37" t="s">
        <v>561</v>
      </c>
      <c r="K145" s="45" t="n">
        <v>0</v>
      </c>
      <c r="L145" s="46" t="n">
        <v>66959.08</v>
      </c>
    </row>
    <row r="146" customFormat="false" ht="15" hidden="false" customHeight="false" outlineLevel="0" collapsed="false">
      <c r="A146" s="37" t="n">
        <v>500532</v>
      </c>
      <c r="B146" s="37" t="s">
        <v>562</v>
      </c>
      <c r="C146" s="37" t="n">
        <v>202503</v>
      </c>
      <c r="D146" s="37" t="s">
        <v>59</v>
      </c>
      <c r="E146" s="37" t="s">
        <v>98</v>
      </c>
      <c r="F146" s="37" t="s">
        <v>196</v>
      </c>
      <c r="G146" s="37" t="s">
        <v>358</v>
      </c>
      <c r="H146" s="37" t="s">
        <v>359</v>
      </c>
      <c r="I146" s="37" t="s">
        <v>360</v>
      </c>
      <c r="J146" s="37" t="s">
        <v>563</v>
      </c>
      <c r="K146" s="45" t="n">
        <v>0</v>
      </c>
      <c r="L146" s="46" t="n">
        <v>2666.44</v>
      </c>
    </row>
    <row r="147" customFormat="false" ht="15" hidden="false" customHeight="false" outlineLevel="0" collapsed="false">
      <c r="A147" s="37" t="n">
        <v>500136</v>
      </c>
      <c r="B147" s="37" t="s">
        <v>564</v>
      </c>
      <c r="C147" s="37" t="n">
        <v>202503</v>
      </c>
      <c r="D147" s="37" t="s">
        <v>58</v>
      </c>
      <c r="E147" s="37" t="s">
        <v>98</v>
      </c>
      <c r="F147" s="37" t="s">
        <v>196</v>
      </c>
      <c r="G147" s="37" t="s">
        <v>358</v>
      </c>
      <c r="H147" s="37" t="s">
        <v>359</v>
      </c>
      <c r="I147" s="37" t="s">
        <v>360</v>
      </c>
      <c r="J147" s="37" t="s">
        <v>565</v>
      </c>
      <c r="K147" s="45" t="n">
        <v>0</v>
      </c>
      <c r="L147" s="46" t="n">
        <v>21369.7</v>
      </c>
    </row>
    <row r="148" customFormat="false" ht="15" hidden="false" customHeight="false" outlineLevel="0" collapsed="false">
      <c r="A148" s="37" t="n">
        <v>500041</v>
      </c>
      <c r="B148" s="37" t="s">
        <v>566</v>
      </c>
      <c r="C148" s="37" t="n">
        <v>202503</v>
      </c>
      <c r="D148" s="37" t="s">
        <v>58</v>
      </c>
      <c r="E148" s="37" t="s">
        <v>97</v>
      </c>
      <c r="F148" s="37" t="s">
        <v>194</v>
      </c>
      <c r="G148" s="37" t="s">
        <v>354</v>
      </c>
      <c r="H148" s="37"/>
      <c r="I148" s="37" t="s">
        <v>355</v>
      </c>
      <c r="J148" s="37" t="s">
        <v>567</v>
      </c>
      <c r="K148" s="45" t="n">
        <v>272.3</v>
      </c>
      <c r="L148" s="46" t="n">
        <v>25050.31</v>
      </c>
    </row>
    <row r="149" customFormat="false" ht="15" hidden="false" customHeight="false" outlineLevel="0" collapsed="false">
      <c r="A149" s="37" t="n">
        <v>500237</v>
      </c>
      <c r="B149" s="37" t="s">
        <v>566</v>
      </c>
      <c r="C149" s="37" t="n">
        <v>202503</v>
      </c>
      <c r="D149" s="37" t="s">
        <v>58</v>
      </c>
      <c r="E149" s="37" t="s">
        <v>101</v>
      </c>
      <c r="F149" s="37" t="s">
        <v>194</v>
      </c>
      <c r="G149" s="37" t="s">
        <v>354</v>
      </c>
      <c r="H149" s="37"/>
      <c r="I149" s="37" t="s">
        <v>355</v>
      </c>
      <c r="J149" s="37" t="s">
        <v>567</v>
      </c>
      <c r="K149" s="45" t="n">
        <v>318.7</v>
      </c>
      <c r="L149" s="46" t="n">
        <v>23586.9</v>
      </c>
    </row>
    <row r="150" customFormat="false" ht="15" hidden="false" customHeight="false" outlineLevel="0" collapsed="false">
      <c r="A150" s="37" t="n">
        <v>500271</v>
      </c>
      <c r="B150" s="37" t="s">
        <v>566</v>
      </c>
      <c r="C150" s="37" t="n">
        <v>202503</v>
      </c>
      <c r="D150" s="37" t="s">
        <v>58</v>
      </c>
      <c r="E150" s="37" t="s">
        <v>102</v>
      </c>
      <c r="F150" s="37" t="s">
        <v>205</v>
      </c>
      <c r="G150" s="37" t="s">
        <v>358</v>
      </c>
      <c r="H150" s="37" t="s">
        <v>393</v>
      </c>
      <c r="I150" s="37" t="s">
        <v>394</v>
      </c>
      <c r="J150" s="37" t="s">
        <v>568</v>
      </c>
      <c r="K150" s="45" t="n">
        <v>0</v>
      </c>
      <c r="L150" s="46" t="n">
        <v>13911.05</v>
      </c>
    </row>
    <row r="151" customFormat="false" ht="15" hidden="false" customHeight="false" outlineLevel="0" collapsed="false">
      <c r="A151" s="37" t="n">
        <v>500449</v>
      </c>
      <c r="B151" s="37" t="s">
        <v>566</v>
      </c>
      <c r="C151" s="37" t="n">
        <v>202503</v>
      </c>
      <c r="D151" s="37" t="s">
        <v>59</v>
      </c>
      <c r="E151" s="37" t="s">
        <v>97</v>
      </c>
      <c r="F151" s="37" t="s">
        <v>194</v>
      </c>
      <c r="G151" s="37" t="s">
        <v>354</v>
      </c>
      <c r="H151" s="37"/>
      <c r="I151" s="37" t="s">
        <v>355</v>
      </c>
      <c r="J151" s="37" t="s">
        <v>567</v>
      </c>
      <c r="K151" s="45" t="n">
        <v>30</v>
      </c>
      <c r="L151" s="46" t="n">
        <v>2762.2</v>
      </c>
    </row>
    <row r="152" customFormat="false" ht="15" hidden="false" customHeight="false" outlineLevel="0" collapsed="false">
      <c r="A152" s="37" t="n">
        <v>500270</v>
      </c>
      <c r="B152" s="37" t="s">
        <v>569</v>
      </c>
      <c r="C152" s="37" t="n">
        <v>202503</v>
      </c>
      <c r="D152" s="37" t="s">
        <v>58</v>
      </c>
      <c r="E152" s="37" t="s">
        <v>102</v>
      </c>
      <c r="F152" s="37" t="s">
        <v>205</v>
      </c>
      <c r="G152" s="37" t="s">
        <v>358</v>
      </c>
      <c r="H152" s="37" t="s">
        <v>393</v>
      </c>
      <c r="I152" s="37" t="s">
        <v>394</v>
      </c>
      <c r="J152" s="37" t="s">
        <v>570</v>
      </c>
      <c r="K152" s="45" t="n">
        <v>0</v>
      </c>
      <c r="L152" s="46" t="n">
        <v>32582.46</v>
      </c>
    </row>
    <row r="153" customFormat="false" ht="15" hidden="false" customHeight="false" outlineLevel="0" collapsed="false">
      <c r="A153" s="37" t="n">
        <v>500290</v>
      </c>
      <c r="B153" s="37" t="s">
        <v>569</v>
      </c>
      <c r="C153" s="37" t="n">
        <v>202503</v>
      </c>
      <c r="D153" s="37" t="s">
        <v>58</v>
      </c>
      <c r="E153" s="37" t="s">
        <v>103</v>
      </c>
      <c r="F153" s="37" t="s">
        <v>205</v>
      </c>
      <c r="G153" s="37" t="s">
        <v>358</v>
      </c>
      <c r="H153" s="37" t="s">
        <v>400</v>
      </c>
      <c r="I153" s="37" t="s">
        <v>401</v>
      </c>
      <c r="J153" s="37" t="s">
        <v>571</v>
      </c>
      <c r="K153" s="45" t="n">
        <v>0</v>
      </c>
      <c r="L153" s="46" t="n">
        <v>44596.93</v>
      </c>
    </row>
    <row r="154" customFormat="false" ht="15" hidden="false" customHeight="false" outlineLevel="0" collapsed="false">
      <c r="A154" s="37" t="n">
        <v>500289</v>
      </c>
      <c r="B154" s="37" t="s">
        <v>572</v>
      </c>
      <c r="C154" s="37" t="n">
        <v>202503</v>
      </c>
      <c r="D154" s="37" t="s">
        <v>58</v>
      </c>
      <c r="E154" s="37" t="s">
        <v>103</v>
      </c>
      <c r="F154" s="37" t="s">
        <v>205</v>
      </c>
      <c r="G154" s="37" t="s">
        <v>358</v>
      </c>
      <c r="H154" s="37" t="s">
        <v>400</v>
      </c>
      <c r="I154" s="37" t="s">
        <v>401</v>
      </c>
      <c r="J154" s="37" t="s">
        <v>573</v>
      </c>
      <c r="K154" s="45" t="n">
        <v>0</v>
      </c>
      <c r="L154" s="46" t="n">
        <v>31702.41</v>
      </c>
    </row>
    <row r="155" customFormat="false" ht="15" hidden="false" customHeight="false" outlineLevel="0" collapsed="false">
      <c r="A155" s="37" t="n">
        <v>500042</v>
      </c>
      <c r="B155" s="37" t="s">
        <v>574</v>
      </c>
      <c r="C155" s="37" t="n">
        <v>202503</v>
      </c>
      <c r="D155" s="37" t="s">
        <v>58</v>
      </c>
      <c r="E155" s="37" t="s">
        <v>97</v>
      </c>
      <c r="F155" s="37" t="s">
        <v>194</v>
      </c>
      <c r="G155" s="37" t="s">
        <v>354</v>
      </c>
      <c r="H155" s="37"/>
      <c r="I155" s="37" t="s">
        <v>355</v>
      </c>
      <c r="J155" s="37" t="s">
        <v>575</v>
      </c>
      <c r="K155" s="45" t="n">
        <v>70</v>
      </c>
      <c r="L155" s="46" t="n">
        <v>6436.62</v>
      </c>
    </row>
    <row r="156" customFormat="false" ht="15" hidden="false" customHeight="false" outlineLevel="0" collapsed="false">
      <c r="A156" s="37" t="n">
        <v>500238</v>
      </c>
      <c r="B156" s="37" t="s">
        <v>574</v>
      </c>
      <c r="C156" s="37" t="n">
        <v>202503</v>
      </c>
      <c r="D156" s="37" t="s">
        <v>58</v>
      </c>
      <c r="E156" s="37" t="s">
        <v>101</v>
      </c>
      <c r="F156" s="37" t="s">
        <v>194</v>
      </c>
      <c r="G156" s="37" t="s">
        <v>354</v>
      </c>
      <c r="H156" s="37"/>
      <c r="I156" s="37" t="s">
        <v>355</v>
      </c>
      <c r="J156" s="37" t="s">
        <v>575</v>
      </c>
      <c r="K156" s="45" t="n">
        <v>178.5</v>
      </c>
      <c r="L156" s="46" t="n">
        <v>13207.27</v>
      </c>
    </row>
    <row r="157" customFormat="false" ht="15" hidden="false" customHeight="false" outlineLevel="0" collapsed="false">
      <c r="A157" s="37" t="n">
        <v>500450</v>
      </c>
      <c r="B157" s="37" t="s">
        <v>574</v>
      </c>
      <c r="C157" s="37" t="n">
        <v>202503</v>
      </c>
      <c r="D157" s="37" t="s">
        <v>59</v>
      </c>
      <c r="E157" s="37" t="s">
        <v>97</v>
      </c>
      <c r="F157" s="37" t="s">
        <v>194</v>
      </c>
      <c r="G157" s="37" t="s">
        <v>354</v>
      </c>
      <c r="H157" s="37"/>
      <c r="I157" s="37" t="s">
        <v>355</v>
      </c>
      <c r="J157" s="37" t="s">
        <v>575</v>
      </c>
      <c r="K157" s="45" t="n">
        <v>51.6</v>
      </c>
      <c r="L157" s="46" t="n">
        <v>4748.59</v>
      </c>
    </row>
    <row r="158" customFormat="false" ht="15" hidden="false" customHeight="false" outlineLevel="0" collapsed="false">
      <c r="A158" s="37" t="n">
        <v>500530</v>
      </c>
      <c r="B158" s="37" t="s">
        <v>574</v>
      </c>
      <c r="C158" s="37" t="n">
        <v>202503</v>
      </c>
      <c r="D158" s="37" t="s">
        <v>59</v>
      </c>
      <c r="E158" s="37" t="s">
        <v>98</v>
      </c>
      <c r="F158" s="37" t="s">
        <v>196</v>
      </c>
      <c r="G158" s="37" t="s">
        <v>358</v>
      </c>
      <c r="H158" s="37" t="s">
        <v>359</v>
      </c>
      <c r="I158" s="37" t="s">
        <v>360</v>
      </c>
      <c r="J158" s="37" t="s">
        <v>576</v>
      </c>
      <c r="K158" s="45" t="n">
        <v>0</v>
      </c>
      <c r="L158" s="46" t="n">
        <v>6334.24</v>
      </c>
    </row>
    <row r="159" customFormat="false" ht="15" hidden="false" customHeight="false" outlineLevel="0" collapsed="false">
      <c r="A159" s="37" t="n">
        <v>500299</v>
      </c>
      <c r="B159" s="37" t="s">
        <v>577</v>
      </c>
      <c r="C159" s="37" t="n">
        <v>202503</v>
      </c>
      <c r="D159" s="37" t="s">
        <v>58</v>
      </c>
      <c r="E159" s="37" t="s">
        <v>104</v>
      </c>
      <c r="F159" s="37" t="s">
        <v>201</v>
      </c>
      <c r="G159" s="37" t="s">
        <v>358</v>
      </c>
      <c r="H159" s="37" t="s">
        <v>578</v>
      </c>
      <c r="I159" s="37" t="s">
        <v>579</v>
      </c>
      <c r="J159" s="37" t="s">
        <v>580</v>
      </c>
      <c r="K159" s="45" t="n">
        <v>0</v>
      </c>
      <c r="L159" s="46" t="n">
        <v>14616.46</v>
      </c>
    </row>
    <row r="160" customFormat="false" ht="15" hidden="false" customHeight="false" outlineLevel="0" collapsed="false">
      <c r="A160" s="37" t="n">
        <v>500312</v>
      </c>
      <c r="B160" s="37" t="s">
        <v>577</v>
      </c>
      <c r="C160" s="37" t="n">
        <v>202503</v>
      </c>
      <c r="D160" s="37" t="s">
        <v>58</v>
      </c>
      <c r="E160" s="37" t="s">
        <v>105</v>
      </c>
      <c r="F160" s="37" t="s">
        <v>201</v>
      </c>
      <c r="G160" s="37" t="s">
        <v>358</v>
      </c>
      <c r="H160" s="37" t="s">
        <v>507</v>
      </c>
      <c r="I160" s="37" t="s">
        <v>508</v>
      </c>
      <c r="J160" s="37" t="s">
        <v>580</v>
      </c>
      <c r="K160" s="45" t="n">
        <v>0</v>
      </c>
      <c r="L160" s="46" t="n">
        <v>190578.21</v>
      </c>
    </row>
    <row r="161" customFormat="false" ht="15" hidden="false" customHeight="false" outlineLevel="0" collapsed="false">
      <c r="A161" s="37" t="n">
        <v>500411</v>
      </c>
      <c r="B161" s="37" t="s">
        <v>577</v>
      </c>
      <c r="C161" s="37" t="n">
        <v>202503</v>
      </c>
      <c r="D161" s="37" t="s">
        <v>58</v>
      </c>
      <c r="E161" s="37" t="s">
        <v>110</v>
      </c>
      <c r="F161" s="37" t="s">
        <v>201</v>
      </c>
      <c r="G161" s="37" t="s">
        <v>358</v>
      </c>
      <c r="H161" s="37" t="s">
        <v>547</v>
      </c>
      <c r="I161" s="37" t="s">
        <v>548</v>
      </c>
      <c r="J161" s="37" t="s">
        <v>580</v>
      </c>
      <c r="K161" s="45" t="n">
        <v>0</v>
      </c>
      <c r="L161" s="46" t="n">
        <v>52615.59</v>
      </c>
    </row>
    <row r="162" customFormat="false" ht="15" hidden="false" customHeight="false" outlineLevel="0" collapsed="false">
      <c r="A162" s="37" t="n">
        <v>500430</v>
      </c>
      <c r="B162" s="37" t="s">
        <v>577</v>
      </c>
      <c r="C162" s="37" t="n">
        <v>202503</v>
      </c>
      <c r="D162" s="37" t="s">
        <v>58</v>
      </c>
      <c r="E162" s="37" t="s">
        <v>111</v>
      </c>
      <c r="F162" s="37" t="s">
        <v>201</v>
      </c>
      <c r="G162" s="37" t="s">
        <v>358</v>
      </c>
      <c r="H162" s="37" t="s">
        <v>549</v>
      </c>
      <c r="I162" s="37" t="s">
        <v>550</v>
      </c>
      <c r="J162" s="37" t="s">
        <v>580</v>
      </c>
      <c r="K162" s="45" t="n">
        <v>0</v>
      </c>
      <c r="L162" s="46" t="n">
        <v>38467.33</v>
      </c>
    </row>
    <row r="163" customFormat="false" ht="15" hidden="false" customHeight="false" outlineLevel="0" collapsed="false">
      <c r="A163" s="37" t="n">
        <v>500589</v>
      </c>
      <c r="B163" s="37" t="s">
        <v>577</v>
      </c>
      <c r="C163" s="37" t="n">
        <v>202503</v>
      </c>
      <c r="D163" s="37" t="s">
        <v>59</v>
      </c>
      <c r="E163" s="37" t="s">
        <v>100</v>
      </c>
      <c r="F163" s="37" t="s">
        <v>201</v>
      </c>
      <c r="G163" s="37" t="s">
        <v>358</v>
      </c>
      <c r="H163" s="37" t="s">
        <v>581</v>
      </c>
      <c r="I163" s="37" t="s">
        <v>370</v>
      </c>
      <c r="J163" s="37" t="s">
        <v>580</v>
      </c>
      <c r="K163" s="45" t="n">
        <v>0</v>
      </c>
      <c r="L163" s="46" t="n">
        <v>106455.88</v>
      </c>
    </row>
    <row r="164" customFormat="false" ht="15" hidden="false" customHeight="false" outlineLevel="0" collapsed="false">
      <c r="A164" s="37" t="n">
        <v>500043</v>
      </c>
      <c r="B164" s="37" t="s">
        <v>582</v>
      </c>
      <c r="C164" s="37" t="n">
        <v>202503</v>
      </c>
      <c r="D164" s="37" t="s">
        <v>58</v>
      </c>
      <c r="E164" s="37" t="s">
        <v>97</v>
      </c>
      <c r="F164" s="37" t="s">
        <v>194</v>
      </c>
      <c r="G164" s="37" t="s">
        <v>354</v>
      </c>
      <c r="H164" s="37"/>
      <c r="I164" s="37" t="s">
        <v>355</v>
      </c>
      <c r="J164" s="37" t="s">
        <v>583</v>
      </c>
      <c r="K164" s="45" t="n">
        <v>68.1</v>
      </c>
      <c r="L164" s="46" t="n">
        <v>6268.78</v>
      </c>
    </row>
    <row r="165" customFormat="false" ht="15" hidden="false" customHeight="false" outlineLevel="0" collapsed="false">
      <c r="A165" s="37" t="n">
        <v>500239</v>
      </c>
      <c r="B165" s="37" t="s">
        <v>582</v>
      </c>
      <c r="C165" s="37" t="n">
        <v>202503</v>
      </c>
      <c r="D165" s="37" t="s">
        <v>58</v>
      </c>
      <c r="E165" s="37" t="s">
        <v>101</v>
      </c>
      <c r="F165" s="37" t="s">
        <v>194</v>
      </c>
      <c r="G165" s="37" t="s">
        <v>354</v>
      </c>
      <c r="H165" s="37"/>
      <c r="I165" s="37" t="s">
        <v>355</v>
      </c>
      <c r="J165" s="37" t="s">
        <v>583</v>
      </c>
      <c r="K165" s="45" t="n">
        <v>218.3</v>
      </c>
      <c r="L165" s="46" t="n">
        <v>16155.15</v>
      </c>
    </row>
    <row r="166" customFormat="false" ht="15" hidden="false" customHeight="false" outlineLevel="0" collapsed="false">
      <c r="A166" s="37" t="n">
        <v>500451</v>
      </c>
      <c r="B166" s="37" t="s">
        <v>582</v>
      </c>
      <c r="C166" s="37" t="n">
        <v>202503</v>
      </c>
      <c r="D166" s="37" t="s">
        <v>59</v>
      </c>
      <c r="E166" s="37" t="s">
        <v>97</v>
      </c>
      <c r="F166" s="37" t="s">
        <v>194</v>
      </c>
      <c r="G166" s="37" t="s">
        <v>354</v>
      </c>
      <c r="H166" s="37"/>
      <c r="I166" s="37" t="s">
        <v>355</v>
      </c>
      <c r="J166" s="37" t="s">
        <v>583</v>
      </c>
      <c r="K166" s="45" t="n">
        <v>56.2</v>
      </c>
      <c r="L166" s="46" t="n">
        <v>5171.46</v>
      </c>
    </row>
    <row r="167" customFormat="false" ht="15" hidden="false" customHeight="false" outlineLevel="0" collapsed="false">
      <c r="A167" s="37" t="n">
        <v>500183</v>
      </c>
      <c r="B167" s="37" t="s">
        <v>584</v>
      </c>
      <c r="C167" s="37" t="n">
        <v>202503</v>
      </c>
      <c r="D167" s="37" t="s">
        <v>58</v>
      </c>
      <c r="E167" s="37" t="s">
        <v>99</v>
      </c>
      <c r="F167" s="37" t="s">
        <v>198</v>
      </c>
      <c r="G167" s="37" t="s">
        <v>375</v>
      </c>
      <c r="H167" s="37"/>
      <c r="I167" s="37" t="s">
        <v>376</v>
      </c>
      <c r="J167" s="37" t="s">
        <v>377</v>
      </c>
      <c r="K167" s="45" t="n">
        <v>0</v>
      </c>
      <c r="L167" s="46" t="n">
        <v>27931.94</v>
      </c>
    </row>
    <row r="168" customFormat="false" ht="15" hidden="false" customHeight="false" outlineLevel="0" collapsed="false">
      <c r="A168" s="37" t="n">
        <v>500570</v>
      </c>
      <c r="B168" s="37" t="s">
        <v>584</v>
      </c>
      <c r="C168" s="37" t="n">
        <v>202503</v>
      </c>
      <c r="D168" s="37" t="s">
        <v>59</v>
      </c>
      <c r="E168" s="37" t="s">
        <v>99</v>
      </c>
      <c r="F168" s="37" t="s">
        <v>198</v>
      </c>
      <c r="G168" s="37" t="s">
        <v>375</v>
      </c>
      <c r="H168" s="37"/>
      <c r="I168" s="37" t="s">
        <v>376</v>
      </c>
      <c r="J168" s="37" t="s">
        <v>377</v>
      </c>
      <c r="K168" s="45" t="n">
        <v>0</v>
      </c>
      <c r="L168" s="46" t="n">
        <v>5541.7</v>
      </c>
    </row>
    <row r="169" customFormat="false" ht="15" hidden="false" customHeight="false" outlineLevel="0" collapsed="false">
      <c r="A169" s="37" t="n">
        <v>500044</v>
      </c>
      <c r="B169" s="37" t="s">
        <v>585</v>
      </c>
      <c r="C169" s="37" t="n">
        <v>202504</v>
      </c>
      <c r="D169" s="37" t="s">
        <v>58</v>
      </c>
      <c r="E169" s="37" t="s">
        <v>97</v>
      </c>
      <c r="F169" s="37" t="s">
        <v>194</v>
      </c>
      <c r="G169" s="37" t="s">
        <v>354</v>
      </c>
      <c r="H169" s="37"/>
      <c r="I169" s="37" t="s">
        <v>355</v>
      </c>
      <c r="J169" s="37" t="s">
        <v>586</v>
      </c>
      <c r="K169" s="45" t="n">
        <v>50.8</v>
      </c>
      <c r="L169" s="46" t="n">
        <v>4673.74</v>
      </c>
    </row>
    <row r="170" customFormat="false" ht="15" hidden="false" customHeight="false" outlineLevel="0" collapsed="false">
      <c r="A170" s="37" t="n">
        <v>500137</v>
      </c>
      <c r="B170" s="37" t="s">
        <v>585</v>
      </c>
      <c r="C170" s="37" t="n">
        <v>202504</v>
      </c>
      <c r="D170" s="37" t="s">
        <v>58</v>
      </c>
      <c r="E170" s="37" t="s">
        <v>98</v>
      </c>
      <c r="F170" s="37" t="s">
        <v>196</v>
      </c>
      <c r="G170" s="37" t="s">
        <v>358</v>
      </c>
      <c r="H170" s="37" t="s">
        <v>359</v>
      </c>
      <c r="I170" s="37" t="s">
        <v>360</v>
      </c>
      <c r="J170" s="37" t="s">
        <v>587</v>
      </c>
      <c r="K170" s="45" t="n">
        <v>0</v>
      </c>
      <c r="L170" s="46" t="n">
        <v>4208.1</v>
      </c>
    </row>
    <row r="171" customFormat="false" ht="15" hidden="false" customHeight="false" outlineLevel="0" collapsed="false">
      <c r="A171" s="37" t="n">
        <v>500240</v>
      </c>
      <c r="B171" s="37" t="s">
        <v>585</v>
      </c>
      <c r="C171" s="37" t="n">
        <v>202504</v>
      </c>
      <c r="D171" s="37" t="s">
        <v>58</v>
      </c>
      <c r="E171" s="37" t="s">
        <v>101</v>
      </c>
      <c r="F171" s="37" t="s">
        <v>194</v>
      </c>
      <c r="G171" s="37" t="s">
        <v>354</v>
      </c>
      <c r="H171" s="37"/>
      <c r="I171" s="37" t="s">
        <v>355</v>
      </c>
      <c r="J171" s="37" t="s">
        <v>586</v>
      </c>
      <c r="K171" s="45" t="n">
        <v>196.6</v>
      </c>
      <c r="L171" s="46" t="n">
        <v>14545.53</v>
      </c>
    </row>
    <row r="172" customFormat="false" ht="15" hidden="false" customHeight="false" outlineLevel="0" collapsed="false">
      <c r="A172" s="37" t="n">
        <v>500318</v>
      </c>
      <c r="B172" s="37" t="s">
        <v>585</v>
      </c>
      <c r="C172" s="37" t="n">
        <v>202504</v>
      </c>
      <c r="D172" s="37" t="s">
        <v>58</v>
      </c>
      <c r="E172" s="37" t="s">
        <v>106</v>
      </c>
      <c r="F172" s="37" t="s">
        <v>194</v>
      </c>
      <c r="G172" s="37" t="s">
        <v>354</v>
      </c>
      <c r="H172" s="37"/>
      <c r="I172" s="37" t="s">
        <v>355</v>
      </c>
      <c r="J172" s="37" t="s">
        <v>586</v>
      </c>
      <c r="K172" s="45" t="n">
        <v>7.5</v>
      </c>
      <c r="L172" s="46" t="n">
        <v>531.11</v>
      </c>
    </row>
    <row r="173" customFormat="false" ht="15" hidden="false" customHeight="false" outlineLevel="0" collapsed="false">
      <c r="A173" s="37" t="n">
        <v>500452</v>
      </c>
      <c r="B173" s="37" t="s">
        <v>585</v>
      </c>
      <c r="C173" s="37" t="n">
        <v>202504</v>
      </c>
      <c r="D173" s="37" t="s">
        <v>59</v>
      </c>
      <c r="E173" s="37" t="s">
        <v>97</v>
      </c>
      <c r="F173" s="37" t="s">
        <v>194</v>
      </c>
      <c r="G173" s="37" t="s">
        <v>354</v>
      </c>
      <c r="H173" s="37"/>
      <c r="I173" s="37" t="s">
        <v>355</v>
      </c>
      <c r="J173" s="37" t="s">
        <v>586</v>
      </c>
      <c r="K173" s="45" t="n">
        <v>107.9</v>
      </c>
      <c r="L173" s="46" t="n">
        <v>9926.22</v>
      </c>
    </row>
    <row r="174" customFormat="false" ht="15" hidden="false" customHeight="false" outlineLevel="0" collapsed="false">
      <c r="A174" s="37" t="n">
        <v>500596</v>
      </c>
      <c r="B174" s="37" t="s">
        <v>585</v>
      </c>
      <c r="C174" s="37" t="n">
        <v>202504</v>
      </c>
      <c r="D174" s="37" t="s">
        <v>59</v>
      </c>
      <c r="E174" s="37" t="s">
        <v>101</v>
      </c>
      <c r="F174" s="37" t="s">
        <v>194</v>
      </c>
      <c r="G174" s="37" t="s">
        <v>354</v>
      </c>
      <c r="H174" s="37"/>
      <c r="I174" s="37" t="s">
        <v>355</v>
      </c>
      <c r="J174" s="37" t="s">
        <v>586</v>
      </c>
      <c r="K174" s="45" t="n">
        <v>23.1</v>
      </c>
      <c r="L174" s="46" t="n">
        <v>1710.79</v>
      </c>
    </row>
    <row r="175" customFormat="false" ht="15" hidden="false" customHeight="false" outlineLevel="0" collapsed="false">
      <c r="A175" s="37" t="n">
        <v>500139</v>
      </c>
      <c r="B175" s="37" t="s">
        <v>588</v>
      </c>
      <c r="C175" s="37" t="n">
        <v>202504</v>
      </c>
      <c r="D175" s="37" t="s">
        <v>58</v>
      </c>
      <c r="E175" s="37" t="s">
        <v>98</v>
      </c>
      <c r="F175" s="37" t="s">
        <v>196</v>
      </c>
      <c r="G175" s="37" t="s">
        <v>358</v>
      </c>
      <c r="H175" s="37" t="s">
        <v>359</v>
      </c>
      <c r="I175" s="37" t="s">
        <v>360</v>
      </c>
      <c r="J175" s="37" t="s">
        <v>589</v>
      </c>
      <c r="K175" s="45" t="n">
        <v>0</v>
      </c>
      <c r="L175" s="46" t="n">
        <v>12302.02</v>
      </c>
    </row>
    <row r="176" customFormat="false" ht="15" hidden="false" customHeight="false" outlineLevel="0" collapsed="false">
      <c r="A176" s="37" t="n">
        <v>500637</v>
      </c>
      <c r="B176" s="37" t="s">
        <v>590</v>
      </c>
      <c r="C176" s="37" t="n">
        <v>202504</v>
      </c>
      <c r="D176" s="37" t="s">
        <v>59</v>
      </c>
      <c r="E176" s="37" t="s">
        <v>102</v>
      </c>
      <c r="F176" s="37" t="s">
        <v>205</v>
      </c>
      <c r="G176" s="37" t="s">
        <v>358</v>
      </c>
      <c r="H176" s="37" t="s">
        <v>591</v>
      </c>
      <c r="I176" s="37" t="s">
        <v>592</v>
      </c>
      <c r="J176" s="37" t="s">
        <v>593</v>
      </c>
      <c r="K176" s="45" t="n">
        <v>0</v>
      </c>
      <c r="L176" s="46" t="n">
        <v>5136.58</v>
      </c>
    </row>
    <row r="177" customFormat="false" ht="15" hidden="false" customHeight="false" outlineLevel="0" collapsed="false">
      <c r="A177" s="37" t="n">
        <v>500138</v>
      </c>
      <c r="B177" s="37" t="s">
        <v>594</v>
      </c>
      <c r="C177" s="37" t="n">
        <v>202504</v>
      </c>
      <c r="D177" s="37" t="s">
        <v>58</v>
      </c>
      <c r="E177" s="37" t="s">
        <v>98</v>
      </c>
      <c r="F177" s="37" t="s">
        <v>196</v>
      </c>
      <c r="G177" s="37" t="s">
        <v>358</v>
      </c>
      <c r="H177" s="37" t="s">
        <v>359</v>
      </c>
      <c r="I177" s="37" t="s">
        <v>360</v>
      </c>
      <c r="J177" s="37" t="s">
        <v>595</v>
      </c>
      <c r="K177" s="45" t="n">
        <v>0</v>
      </c>
      <c r="L177" s="46" t="n">
        <v>6763.79</v>
      </c>
    </row>
    <row r="178" customFormat="false" ht="15" hidden="false" customHeight="false" outlineLevel="0" collapsed="false">
      <c r="A178" s="37" t="n">
        <v>500272</v>
      </c>
      <c r="B178" s="37" t="s">
        <v>594</v>
      </c>
      <c r="C178" s="37" t="n">
        <v>202504</v>
      </c>
      <c r="D178" s="37" t="s">
        <v>58</v>
      </c>
      <c r="E178" s="37" t="s">
        <v>102</v>
      </c>
      <c r="F178" s="37" t="s">
        <v>205</v>
      </c>
      <c r="G178" s="37" t="s">
        <v>358</v>
      </c>
      <c r="H178" s="37" t="s">
        <v>393</v>
      </c>
      <c r="I178" s="37" t="s">
        <v>394</v>
      </c>
      <c r="J178" s="37" t="s">
        <v>596</v>
      </c>
      <c r="K178" s="45" t="n">
        <v>0</v>
      </c>
      <c r="L178" s="46" t="n">
        <v>22861.66</v>
      </c>
    </row>
    <row r="179" customFormat="false" ht="15" hidden="false" customHeight="false" outlineLevel="0" collapsed="false">
      <c r="A179" s="37" t="n">
        <v>500045</v>
      </c>
      <c r="B179" s="37" t="s">
        <v>597</v>
      </c>
      <c r="C179" s="37" t="n">
        <v>202504</v>
      </c>
      <c r="D179" s="37" t="s">
        <v>58</v>
      </c>
      <c r="E179" s="37" t="s">
        <v>97</v>
      </c>
      <c r="F179" s="37" t="s">
        <v>194</v>
      </c>
      <c r="G179" s="37" t="s">
        <v>354</v>
      </c>
      <c r="H179" s="37"/>
      <c r="I179" s="37" t="s">
        <v>355</v>
      </c>
      <c r="J179" s="37" t="s">
        <v>598</v>
      </c>
      <c r="K179" s="45" t="n">
        <v>313.7</v>
      </c>
      <c r="L179" s="46" t="n">
        <v>28856.5</v>
      </c>
    </row>
    <row r="180" customFormat="false" ht="15" hidden="false" customHeight="false" outlineLevel="0" collapsed="false">
      <c r="A180" s="37" t="n">
        <v>500241</v>
      </c>
      <c r="B180" s="37" t="s">
        <v>597</v>
      </c>
      <c r="C180" s="37" t="n">
        <v>202504</v>
      </c>
      <c r="D180" s="37" t="s">
        <v>58</v>
      </c>
      <c r="E180" s="37" t="s">
        <v>101</v>
      </c>
      <c r="F180" s="37" t="s">
        <v>194</v>
      </c>
      <c r="G180" s="37" t="s">
        <v>354</v>
      </c>
      <c r="H180" s="37"/>
      <c r="I180" s="37" t="s">
        <v>355</v>
      </c>
      <c r="J180" s="37" t="s">
        <v>598</v>
      </c>
      <c r="K180" s="45" t="n">
        <v>112.7</v>
      </c>
      <c r="L180" s="46" t="n">
        <v>8339.24</v>
      </c>
    </row>
    <row r="181" customFormat="false" ht="15" hidden="false" customHeight="false" outlineLevel="0" collapsed="false">
      <c r="A181" s="37" t="n">
        <v>500319</v>
      </c>
      <c r="B181" s="37" t="s">
        <v>597</v>
      </c>
      <c r="C181" s="37" t="n">
        <v>202504</v>
      </c>
      <c r="D181" s="37" t="s">
        <v>58</v>
      </c>
      <c r="E181" s="37" t="s">
        <v>106</v>
      </c>
      <c r="F181" s="37" t="s">
        <v>194</v>
      </c>
      <c r="G181" s="37" t="s">
        <v>354</v>
      </c>
      <c r="H181" s="37"/>
      <c r="I181" s="37" t="s">
        <v>355</v>
      </c>
      <c r="J181" s="37" t="s">
        <v>598</v>
      </c>
      <c r="K181" s="45" t="n">
        <v>5.1</v>
      </c>
      <c r="L181" s="46" t="n">
        <v>362.36</v>
      </c>
    </row>
    <row r="182" customFormat="false" ht="15" hidden="false" customHeight="false" outlineLevel="0" collapsed="false">
      <c r="A182" s="37" t="n">
        <v>500453</v>
      </c>
      <c r="B182" s="37" t="s">
        <v>597</v>
      </c>
      <c r="C182" s="37" t="n">
        <v>202504</v>
      </c>
      <c r="D182" s="37" t="s">
        <v>59</v>
      </c>
      <c r="E182" s="37" t="s">
        <v>97</v>
      </c>
      <c r="F182" s="37" t="s">
        <v>194</v>
      </c>
      <c r="G182" s="37" t="s">
        <v>354</v>
      </c>
      <c r="H182" s="37"/>
      <c r="I182" s="37" t="s">
        <v>355</v>
      </c>
      <c r="J182" s="37" t="s">
        <v>598</v>
      </c>
      <c r="K182" s="45" t="n">
        <v>71.8</v>
      </c>
      <c r="L182" s="46" t="n">
        <v>6601.25</v>
      </c>
    </row>
    <row r="183" customFormat="false" ht="15" hidden="false" customHeight="false" outlineLevel="0" collapsed="false">
      <c r="A183" s="37" t="n">
        <v>500597</v>
      </c>
      <c r="B183" s="37" t="s">
        <v>597</v>
      </c>
      <c r="C183" s="37" t="n">
        <v>202504</v>
      </c>
      <c r="D183" s="37" t="s">
        <v>59</v>
      </c>
      <c r="E183" s="37" t="s">
        <v>101</v>
      </c>
      <c r="F183" s="37" t="s">
        <v>194</v>
      </c>
      <c r="G183" s="37" t="s">
        <v>354</v>
      </c>
      <c r="H183" s="37"/>
      <c r="I183" s="37" t="s">
        <v>355</v>
      </c>
      <c r="J183" s="37" t="s">
        <v>598</v>
      </c>
      <c r="K183" s="45" t="n">
        <v>22.3</v>
      </c>
      <c r="L183" s="46" t="n">
        <v>1650.24</v>
      </c>
    </row>
    <row r="184" customFormat="false" ht="15" hidden="false" customHeight="false" outlineLevel="0" collapsed="false">
      <c r="A184" s="37" t="n">
        <v>500292</v>
      </c>
      <c r="B184" s="37" t="s">
        <v>599</v>
      </c>
      <c r="C184" s="37" t="n">
        <v>202504</v>
      </c>
      <c r="D184" s="37" t="s">
        <v>58</v>
      </c>
      <c r="E184" s="37" t="s">
        <v>103</v>
      </c>
      <c r="F184" s="37" t="s">
        <v>205</v>
      </c>
      <c r="G184" s="37" t="s">
        <v>358</v>
      </c>
      <c r="H184" s="37" t="s">
        <v>400</v>
      </c>
      <c r="I184" s="37" t="s">
        <v>401</v>
      </c>
      <c r="J184" s="37" t="s">
        <v>600</v>
      </c>
      <c r="K184" s="45" t="n">
        <v>0</v>
      </c>
      <c r="L184" s="46" t="n">
        <v>81408.87</v>
      </c>
    </row>
    <row r="185" customFormat="false" ht="15" hidden="false" customHeight="false" outlineLevel="0" collapsed="false">
      <c r="A185" s="37" t="n">
        <v>500636</v>
      </c>
      <c r="B185" s="37" t="s">
        <v>599</v>
      </c>
      <c r="C185" s="37" t="n">
        <v>202504</v>
      </c>
      <c r="D185" s="37" t="s">
        <v>59</v>
      </c>
      <c r="E185" s="37" t="s">
        <v>102</v>
      </c>
      <c r="F185" s="37" t="s">
        <v>205</v>
      </c>
      <c r="G185" s="37" t="s">
        <v>358</v>
      </c>
      <c r="H185" s="37" t="s">
        <v>591</v>
      </c>
      <c r="I185" s="37" t="s">
        <v>592</v>
      </c>
      <c r="J185" s="37" t="s">
        <v>601</v>
      </c>
      <c r="K185" s="45" t="n">
        <v>0</v>
      </c>
      <c r="L185" s="46" t="n">
        <v>2875.71</v>
      </c>
    </row>
    <row r="186" customFormat="false" ht="15" hidden="false" customHeight="false" outlineLevel="0" collapsed="false">
      <c r="A186" s="37" t="n">
        <v>500046</v>
      </c>
      <c r="B186" s="37" t="s">
        <v>602</v>
      </c>
      <c r="C186" s="37" t="n">
        <v>202504</v>
      </c>
      <c r="D186" s="37" t="s">
        <v>58</v>
      </c>
      <c r="E186" s="37" t="s">
        <v>97</v>
      </c>
      <c r="F186" s="37" t="s">
        <v>194</v>
      </c>
      <c r="G186" s="37" t="s">
        <v>354</v>
      </c>
      <c r="H186" s="37"/>
      <c r="I186" s="37" t="s">
        <v>355</v>
      </c>
      <c r="J186" s="37" t="s">
        <v>603</v>
      </c>
      <c r="K186" s="45" t="n">
        <v>277.3</v>
      </c>
      <c r="L186" s="46" t="n">
        <v>25514.6</v>
      </c>
    </row>
    <row r="187" customFormat="false" ht="15" hidden="false" customHeight="false" outlineLevel="0" collapsed="false">
      <c r="A187" s="37" t="n">
        <v>500242</v>
      </c>
      <c r="B187" s="37" t="s">
        <v>602</v>
      </c>
      <c r="C187" s="37" t="n">
        <v>202504</v>
      </c>
      <c r="D187" s="37" t="s">
        <v>58</v>
      </c>
      <c r="E187" s="37" t="s">
        <v>101</v>
      </c>
      <c r="F187" s="37" t="s">
        <v>194</v>
      </c>
      <c r="G187" s="37" t="s">
        <v>354</v>
      </c>
      <c r="H187" s="37"/>
      <c r="I187" s="37" t="s">
        <v>355</v>
      </c>
      <c r="J187" s="37" t="s">
        <v>603</v>
      </c>
      <c r="K187" s="45" t="n">
        <v>94.7</v>
      </c>
      <c r="L187" s="46" t="n">
        <v>7011.06</v>
      </c>
    </row>
    <row r="188" customFormat="false" ht="15" hidden="false" customHeight="false" outlineLevel="0" collapsed="false">
      <c r="A188" s="37" t="n">
        <v>500320</v>
      </c>
      <c r="B188" s="37" t="s">
        <v>602</v>
      </c>
      <c r="C188" s="37" t="n">
        <v>202504</v>
      </c>
      <c r="D188" s="37" t="s">
        <v>58</v>
      </c>
      <c r="E188" s="37" t="s">
        <v>106</v>
      </c>
      <c r="F188" s="37" t="s">
        <v>194</v>
      </c>
      <c r="G188" s="37" t="s">
        <v>354</v>
      </c>
      <c r="H188" s="37"/>
      <c r="I188" s="37" t="s">
        <v>355</v>
      </c>
      <c r="J188" s="37" t="s">
        <v>603</v>
      </c>
      <c r="K188" s="45" t="n">
        <v>11</v>
      </c>
      <c r="L188" s="46" t="n">
        <v>779.18</v>
      </c>
    </row>
    <row r="189" customFormat="false" ht="15" hidden="false" customHeight="false" outlineLevel="0" collapsed="false">
      <c r="A189" s="37" t="n">
        <v>500454</v>
      </c>
      <c r="B189" s="37" t="s">
        <v>602</v>
      </c>
      <c r="C189" s="37" t="n">
        <v>202504</v>
      </c>
      <c r="D189" s="37" t="s">
        <v>59</v>
      </c>
      <c r="E189" s="37" t="s">
        <v>97</v>
      </c>
      <c r="F189" s="37" t="s">
        <v>194</v>
      </c>
      <c r="G189" s="37" t="s">
        <v>354</v>
      </c>
      <c r="H189" s="37"/>
      <c r="I189" s="37" t="s">
        <v>355</v>
      </c>
      <c r="J189" s="37" t="s">
        <v>603</v>
      </c>
      <c r="K189" s="45" t="n">
        <v>62.1</v>
      </c>
      <c r="L189" s="46" t="n">
        <v>5713.63</v>
      </c>
    </row>
    <row r="190" customFormat="false" ht="15" hidden="false" customHeight="false" outlineLevel="0" collapsed="false">
      <c r="A190" s="37" t="n">
        <v>500598</v>
      </c>
      <c r="B190" s="37" t="s">
        <v>602</v>
      </c>
      <c r="C190" s="37" t="n">
        <v>202504</v>
      </c>
      <c r="D190" s="37" t="s">
        <v>59</v>
      </c>
      <c r="E190" s="37" t="s">
        <v>101</v>
      </c>
      <c r="F190" s="37" t="s">
        <v>194</v>
      </c>
      <c r="G190" s="37" t="s">
        <v>354</v>
      </c>
      <c r="H190" s="37"/>
      <c r="I190" s="37" t="s">
        <v>355</v>
      </c>
      <c r="J190" s="37" t="s">
        <v>603</v>
      </c>
      <c r="K190" s="45" t="n">
        <v>9.9</v>
      </c>
      <c r="L190" s="46" t="n">
        <v>731.06</v>
      </c>
    </row>
    <row r="191" customFormat="false" ht="15" hidden="false" customHeight="false" outlineLevel="0" collapsed="false">
      <c r="A191" s="37" t="n">
        <v>500635</v>
      </c>
      <c r="B191" s="37" t="s">
        <v>602</v>
      </c>
      <c r="C191" s="37" t="n">
        <v>202504</v>
      </c>
      <c r="D191" s="37" t="s">
        <v>59</v>
      </c>
      <c r="E191" s="37" t="s">
        <v>102</v>
      </c>
      <c r="F191" s="37" t="s">
        <v>205</v>
      </c>
      <c r="G191" s="37" t="s">
        <v>358</v>
      </c>
      <c r="H191" s="37" t="s">
        <v>591</v>
      </c>
      <c r="I191" s="37" t="s">
        <v>592</v>
      </c>
      <c r="J191" s="37" t="s">
        <v>604</v>
      </c>
      <c r="K191" s="45" t="n">
        <v>0</v>
      </c>
      <c r="L191" s="46" t="n">
        <v>899.26</v>
      </c>
    </row>
    <row r="192" customFormat="false" ht="15" hidden="false" customHeight="false" outlineLevel="0" collapsed="false">
      <c r="A192" s="37" t="n">
        <v>500047</v>
      </c>
      <c r="B192" s="37" t="s">
        <v>605</v>
      </c>
      <c r="C192" s="37" t="n">
        <v>202504</v>
      </c>
      <c r="D192" s="37" t="s">
        <v>58</v>
      </c>
      <c r="E192" s="37" t="s">
        <v>97</v>
      </c>
      <c r="F192" s="37" t="s">
        <v>194</v>
      </c>
      <c r="G192" s="37" t="s">
        <v>354</v>
      </c>
      <c r="H192" s="37"/>
      <c r="I192" s="37" t="s">
        <v>355</v>
      </c>
      <c r="J192" s="37" t="s">
        <v>606</v>
      </c>
      <c r="K192" s="45" t="n">
        <v>23</v>
      </c>
      <c r="L192" s="46" t="n">
        <v>2112.94</v>
      </c>
    </row>
    <row r="193" customFormat="false" ht="15" hidden="false" customHeight="false" outlineLevel="0" collapsed="false">
      <c r="A193" s="37" t="n">
        <v>500243</v>
      </c>
      <c r="B193" s="37" t="s">
        <v>605</v>
      </c>
      <c r="C193" s="37" t="n">
        <v>202504</v>
      </c>
      <c r="D193" s="37" t="s">
        <v>58</v>
      </c>
      <c r="E193" s="37" t="s">
        <v>101</v>
      </c>
      <c r="F193" s="37" t="s">
        <v>194</v>
      </c>
      <c r="G193" s="37" t="s">
        <v>354</v>
      </c>
      <c r="H193" s="37"/>
      <c r="I193" s="37" t="s">
        <v>355</v>
      </c>
      <c r="J193" s="37" t="s">
        <v>606</v>
      </c>
      <c r="K193" s="45" t="n">
        <v>201</v>
      </c>
      <c r="L193" s="46" t="n">
        <v>14873.93</v>
      </c>
    </row>
    <row r="194" customFormat="false" ht="15" hidden="false" customHeight="false" outlineLevel="0" collapsed="false">
      <c r="A194" s="37" t="n">
        <v>500300</v>
      </c>
      <c r="B194" s="37" t="s">
        <v>605</v>
      </c>
      <c r="C194" s="37" t="n">
        <v>202504</v>
      </c>
      <c r="D194" s="37" t="s">
        <v>58</v>
      </c>
      <c r="E194" s="37" t="s">
        <v>104</v>
      </c>
      <c r="F194" s="37" t="s">
        <v>201</v>
      </c>
      <c r="G194" s="37" t="s">
        <v>358</v>
      </c>
      <c r="H194" s="37" t="s">
        <v>578</v>
      </c>
      <c r="I194" s="37" t="s">
        <v>579</v>
      </c>
      <c r="J194" s="37" t="s">
        <v>607</v>
      </c>
      <c r="K194" s="45" t="n">
        <v>0</v>
      </c>
      <c r="L194" s="46" t="n">
        <v>52210.62</v>
      </c>
    </row>
    <row r="195" customFormat="false" ht="15" hidden="false" customHeight="false" outlineLevel="0" collapsed="false">
      <c r="A195" s="37" t="n">
        <v>500313</v>
      </c>
      <c r="B195" s="37" t="s">
        <v>605</v>
      </c>
      <c r="C195" s="37" t="n">
        <v>202504</v>
      </c>
      <c r="D195" s="37" t="s">
        <v>58</v>
      </c>
      <c r="E195" s="37" t="s">
        <v>105</v>
      </c>
      <c r="F195" s="37" t="s">
        <v>201</v>
      </c>
      <c r="G195" s="37" t="s">
        <v>358</v>
      </c>
      <c r="H195" s="37" t="s">
        <v>507</v>
      </c>
      <c r="I195" s="37" t="s">
        <v>508</v>
      </c>
      <c r="J195" s="37" t="s">
        <v>607</v>
      </c>
      <c r="K195" s="45" t="n">
        <v>0</v>
      </c>
      <c r="L195" s="46" t="n">
        <v>279254.25</v>
      </c>
    </row>
    <row r="196" customFormat="false" ht="15" hidden="false" customHeight="false" outlineLevel="0" collapsed="false">
      <c r="A196" s="37" t="n">
        <v>500321</v>
      </c>
      <c r="B196" s="37" t="s">
        <v>605</v>
      </c>
      <c r="C196" s="37" t="n">
        <v>202504</v>
      </c>
      <c r="D196" s="37" t="s">
        <v>58</v>
      </c>
      <c r="E196" s="37" t="s">
        <v>106</v>
      </c>
      <c r="F196" s="37" t="s">
        <v>194</v>
      </c>
      <c r="G196" s="37" t="s">
        <v>354</v>
      </c>
      <c r="H196" s="37"/>
      <c r="I196" s="37" t="s">
        <v>355</v>
      </c>
      <c r="J196" s="37" t="s">
        <v>606</v>
      </c>
      <c r="K196" s="45" t="n">
        <v>5.8</v>
      </c>
      <c r="L196" s="46" t="n">
        <v>411</v>
      </c>
    </row>
    <row r="197" customFormat="false" ht="15" hidden="false" customHeight="false" outlineLevel="0" collapsed="false">
      <c r="A197" s="37" t="n">
        <v>500412</v>
      </c>
      <c r="B197" s="37" t="s">
        <v>605</v>
      </c>
      <c r="C197" s="37" t="n">
        <v>202504</v>
      </c>
      <c r="D197" s="37" t="s">
        <v>58</v>
      </c>
      <c r="E197" s="37" t="s">
        <v>110</v>
      </c>
      <c r="F197" s="37" t="s">
        <v>201</v>
      </c>
      <c r="G197" s="37" t="s">
        <v>358</v>
      </c>
      <c r="H197" s="37" t="s">
        <v>547</v>
      </c>
      <c r="I197" s="37" t="s">
        <v>548</v>
      </c>
      <c r="J197" s="37" t="s">
        <v>607</v>
      </c>
      <c r="K197" s="45" t="n">
        <v>0</v>
      </c>
      <c r="L197" s="46" t="n">
        <v>68343.11</v>
      </c>
    </row>
    <row r="198" customFormat="false" ht="15" hidden="false" customHeight="false" outlineLevel="0" collapsed="false">
      <c r="A198" s="37" t="n">
        <v>500431</v>
      </c>
      <c r="B198" s="37" t="s">
        <v>605</v>
      </c>
      <c r="C198" s="37" t="n">
        <v>202504</v>
      </c>
      <c r="D198" s="37" t="s">
        <v>58</v>
      </c>
      <c r="E198" s="37" t="s">
        <v>111</v>
      </c>
      <c r="F198" s="37" t="s">
        <v>201</v>
      </c>
      <c r="G198" s="37" t="s">
        <v>358</v>
      </c>
      <c r="H198" s="37" t="s">
        <v>549</v>
      </c>
      <c r="I198" s="37" t="s">
        <v>550</v>
      </c>
      <c r="J198" s="37" t="s">
        <v>607</v>
      </c>
      <c r="K198" s="45" t="n">
        <v>0</v>
      </c>
      <c r="L198" s="46" t="n">
        <v>40936.79</v>
      </c>
    </row>
    <row r="199" customFormat="false" ht="15" hidden="false" customHeight="false" outlineLevel="0" collapsed="false">
      <c r="A199" s="37" t="n">
        <v>500455</v>
      </c>
      <c r="B199" s="37" t="s">
        <v>605</v>
      </c>
      <c r="C199" s="37" t="n">
        <v>202504</v>
      </c>
      <c r="D199" s="37" t="s">
        <v>59</v>
      </c>
      <c r="E199" s="37" t="s">
        <v>97</v>
      </c>
      <c r="F199" s="37" t="s">
        <v>194</v>
      </c>
      <c r="G199" s="37" t="s">
        <v>354</v>
      </c>
      <c r="H199" s="37"/>
      <c r="I199" s="37" t="s">
        <v>355</v>
      </c>
      <c r="J199" s="37" t="s">
        <v>606</v>
      </c>
      <c r="K199" s="45" t="n">
        <v>19.5</v>
      </c>
      <c r="L199" s="46" t="n">
        <v>1789.85</v>
      </c>
    </row>
    <row r="200" customFormat="false" ht="15" hidden="false" customHeight="false" outlineLevel="0" collapsed="false">
      <c r="A200" s="37" t="n">
        <v>500590</v>
      </c>
      <c r="B200" s="37" t="s">
        <v>605</v>
      </c>
      <c r="C200" s="37" t="n">
        <v>202504</v>
      </c>
      <c r="D200" s="37" t="s">
        <v>59</v>
      </c>
      <c r="E200" s="37" t="s">
        <v>100</v>
      </c>
      <c r="F200" s="37" t="s">
        <v>201</v>
      </c>
      <c r="G200" s="37" t="s">
        <v>358</v>
      </c>
      <c r="H200" s="37" t="s">
        <v>581</v>
      </c>
      <c r="I200" s="37" t="s">
        <v>370</v>
      </c>
      <c r="J200" s="37" t="s">
        <v>607</v>
      </c>
      <c r="K200" s="45" t="n">
        <v>0</v>
      </c>
      <c r="L200" s="46" t="n">
        <v>304283.39</v>
      </c>
    </row>
    <row r="201" customFormat="false" ht="15" hidden="false" customHeight="false" outlineLevel="0" collapsed="false">
      <c r="A201" s="37" t="n">
        <v>500599</v>
      </c>
      <c r="B201" s="37" t="s">
        <v>605</v>
      </c>
      <c r="C201" s="37" t="n">
        <v>202504</v>
      </c>
      <c r="D201" s="37" t="s">
        <v>59</v>
      </c>
      <c r="E201" s="37" t="s">
        <v>101</v>
      </c>
      <c r="F201" s="37" t="s">
        <v>194</v>
      </c>
      <c r="G201" s="37" t="s">
        <v>354</v>
      </c>
      <c r="H201" s="37"/>
      <c r="I201" s="37" t="s">
        <v>355</v>
      </c>
      <c r="J201" s="37" t="s">
        <v>606</v>
      </c>
      <c r="K201" s="45" t="n">
        <v>55.6</v>
      </c>
      <c r="L201" s="46" t="n">
        <v>4110.82</v>
      </c>
    </row>
    <row r="202" customFormat="false" ht="15" hidden="false" customHeight="false" outlineLevel="0" collapsed="false">
      <c r="A202" s="37" t="n">
        <v>500533</v>
      </c>
      <c r="B202" s="37" t="s">
        <v>608</v>
      </c>
      <c r="C202" s="37" t="n">
        <v>202504</v>
      </c>
      <c r="D202" s="37" t="s">
        <v>59</v>
      </c>
      <c r="E202" s="37" t="s">
        <v>98</v>
      </c>
      <c r="F202" s="37" t="s">
        <v>196</v>
      </c>
      <c r="G202" s="37" t="s">
        <v>358</v>
      </c>
      <c r="H202" s="37" t="s">
        <v>359</v>
      </c>
      <c r="I202" s="37" t="s">
        <v>360</v>
      </c>
      <c r="J202" s="37" t="s">
        <v>609</v>
      </c>
      <c r="K202" s="45" t="n">
        <v>0</v>
      </c>
      <c r="L202" s="46" t="n">
        <v>14473.14</v>
      </c>
    </row>
    <row r="203" customFormat="false" ht="15" hidden="false" customHeight="false" outlineLevel="0" collapsed="false">
      <c r="A203" s="37" t="n">
        <v>500184</v>
      </c>
      <c r="B203" s="37" t="s">
        <v>610</v>
      </c>
      <c r="C203" s="37" t="n">
        <v>202504</v>
      </c>
      <c r="D203" s="37" t="s">
        <v>58</v>
      </c>
      <c r="E203" s="37" t="s">
        <v>99</v>
      </c>
      <c r="F203" s="37" t="s">
        <v>198</v>
      </c>
      <c r="G203" s="37" t="s">
        <v>375</v>
      </c>
      <c r="H203" s="37"/>
      <c r="I203" s="37" t="s">
        <v>376</v>
      </c>
      <c r="J203" s="37" t="s">
        <v>377</v>
      </c>
      <c r="K203" s="45" t="n">
        <v>0</v>
      </c>
      <c r="L203" s="46" t="n">
        <v>25393.58</v>
      </c>
    </row>
    <row r="204" customFormat="false" ht="15" hidden="false" customHeight="false" outlineLevel="0" collapsed="false">
      <c r="A204" s="37" t="n">
        <v>500571</v>
      </c>
      <c r="B204" s="37" t="s">
        <v>610</v>
      </c>
      <c r="C204" s="37" t="n">
        <v>202504</v>
      </c>
      <c r="D204" s="37" t="s">
        <v>59</v>
      </c>
      <c r="E204" s="37" t="s">
        <v>99</v>
      </c>
      <c r="F204" s="37" t="s">
        <v>198</v>
      </c>
      <c r="G204" s="37" t="s">
        <v>375</v>
      </c>
      <c r="H204" s="37"/>
      <c r="I204" s="37" t="s">
        <v>376</v>
      </c>
      <c r="J204" s="37" t="s">
        <v>377</v>
      </c>
      <c r="K204" s="45" t="n">
        <v>0</v>
      </c>
      <c r="L204" s="46" t="n">
        <v>15755.29</v>
      </c>
    </row>
    <row r="205" customFormat="false" ht="15" hidden="false" customHeight="false" outlineLevel="0" collapsed="false">
      <c r="A205" s="37" t="n">
        <v>500048</v>
      </c>
      <c r="B205" s="37" t="s">
        <v>611</v>
      </c>
      <c r="C205" s="37" t="n">
        <v>202505</v>
      </c>
      <c r="D205" s="37" t="s">
        <v>58</v>
      </c>
      <c r="E205" s="37" t="s">
        <v>97</v>
      </c>
      <c r="F205" s="37" t="s">
        <v>194</v>
      </c>
      <c r="G205" s="37" t="s">
        <v>354</v>
      </c>
      <c r="H205" s="37"/>
      <c r="I205" s="37" t="s">
        <v>355</v>
      </c>
      <c r="J205" s="37" t="s">
        <v>612</v>
      </c>
      <c r="K205" s="45" t="n">
        <v>48.5</v>
      </c>
      <c r="L205" s="46" t="n">
        <v>4458.76</v>
      </c>
    </row>
    <row r="206" customFormat="false" ht="15" hidden="false" customHeight="false" outlineLevel="0" collapsed="false">
      <c r="A206" s="37" t="n">
        <v>500244</v>
      </c>
      <c r="B206" s="37" t="s">
        <v>611</v>
      </c>
      <c r="C206" s="37" t="n">
        <v>202505</v>
      </c>
      <c r="D206" s="37" t="s">
        <v>58</v>
      </c>
      <c r="E206" s="37" t="s">
        <v>101</v>
      </c>
      <c r="F206" s="37" t="s">
        <v>194</v>
      </c>
      <c r="G206" s="37" t="s">
        <v>354</v>
      </c>
      <c r="H206" s="37"/>
      <c r="I206" s="37" t="s">
        <v>355</v>
      </c>
      <c r="J206" s="37" t="s">
        <v>612</v>
      </c>
      <c r="K206" s="45" t="n">
        <v>44.2</v>
      </c>
      <c r="L206" s="46" t="n">
        <v>3273.06</v>
      </c>
    </row>
    <row r="207" customFormat="false" ht="15" hidden="false" customHeight="false" outlineLevel="0" collapsed="false">
      <c r="A207" s="37" t="n">
        <v>500322</v>
      </c>
      <c r="B207" s="37" t="s">
        <v>611</v>
      </c>
      <c r="C207" s="37" t="n">
        <v>202505</v>
      </c>
      <c r="D207" s="37" t="s">
        <v>58</v>
      </c>
      <c r="E207" s="37" t="s">
        <v>106</v>
      </c>
      <c r="F207" s="37" t="s">
        <v>194</v>
      </c>
      <c r="G207" s="37" t="s">
        <v>354</v>
      </c>
      <c r="H207" s="37"/>
      <c r="I207" s="37" t="s">
        <v>355</v>
      </c>
      <c r="J207" s="37" t="s">
        <v>612</v>
      </c>
      <c r="K207" s="45" t="n">
        <v>75.3</v>
      </c>
      <c r="L207" s="46" t="n">
        <v>5349.17</v>
      </c>
    </row>
    <row r="208" customFormat="false" ht="15" hidden="false" customHeight="false" outlineLevel="0" collapsed="false">
      <c r="A208" s="37" t="n">
        <v>500456</v>
      </c>
      <c r="B208" s="37" t="s">
        <v>611</v>
      </c>
      <c r="C208" s="37" t="n">
        <v>202505</v>
      </c>
      <c r="D208" s="37" t="s">
        <v>59</v>
      </c>
      <c r="E208" s="37" t="s">
        <v>97</v>
      </c>
      <c r="F208" s="37" t="s">
        <v>194</v>
      </c>
      <c r="G208" s="37" t="s">
        <v>354</v>
      </c>
      <c r="H208" s="37"/>
      <c r="I208" s="37" t="s">
        <v>355</v>
      </c>
      <c r="J208" s="37" t="s">
        <v>612</v>
      </c>
      <c r="K208" s="45" t="n">
        <v>138.6</v>
      </c>
      <c r="L208" s="46" t="n">
        <v>12752.99</v>
      </c>
    </row>
    <row r="209" customFormat="false" ht="15" hidden="false" customHeight="false" outlineLevel="0" collapsed="false">
      <c r="A209" s="37" t="n">
        <v>500600</v>
      </c>
      <c r="B209" s="37" t="s">
        <v>611</v>
      </c>
      <c r="C209" s="37" t="n">
        <v>202505</v>
      </c>
      <c r="D209" s="37" t="s">
        <v>59</v>
      </c>
      <c r="E209" s="37" t="s">
        <v>101</v>
      </c>
      <c r="F209" s="37" t="s">
        <v>194</v>
      </c>
      <c r="G209" s="37" t="s">
        <v>354</v>
      </c>
      <c r="H209" s="37"/>
      <c r="I209" s="37" t="s">
        <v>355</v>
      </c>
      <c r="J209" s="37" t="s">
        <v>612</v>
      </c>
      <c r="K209" s="45" t="n">
        <v>160</v>
      </c>
      <c r="L209" s="46" t="n">
        <v>11842.01</v>
      </c>
    </row>
    <row r="210" customFormat="false" ht="15" hidden="false" customHeight="false" outlineLevel="0" collapsed="false">
      <c r="A210" s="37" t="n">
        <v>500785</v>
      </c>
      <c r="B210" s="37" t="s">
        <v>611</v>
      </c>
      <c r="C210" s="37" t="n">
        <v>202505</v>
      </c>
      <c r="D210" s="37" t="s">
        <v>60</v>
      </c>
      <c r="E210" s="37" t="s">
        <v>97</v>
      </c>
      <c r="F210" s="37" t="s">
        <v>194</v>
      </c>
      <c r="G210" s="37" t="s">
        <v>354</v>
      </c>
      <c r="H210" s="37"/>
      <c r="I210" s="37" t="s">
        <v>355</v>
      </c>
      <c r="J210" s="37" t="s">
        <v>612</v>
      </c>
      <c r="K210" s="45" t="n">
        <v>30.4</v>
      </c>
      <c r="L210" s="46" t="n">
        <v>2794.15</v>
      </c>
    </row>
    <row r="211" customFormat="false" ht="15" hidden="false" customHeight="false" outlineLevel="0" collapsed="false">
      <c r="A211" s="37" t="n">
        <v>500860</v>
      </c>
      <c r="B211" s="37" t="s">
        <v>613</v>
      </c>
      <c r="C211" s="37" t="n">
        <v>202505</v>
      </c>
      <c r="D211" s="37" t="s">
        <v>60</v>
      </c>
      <c r="E211" s="37" t="s">
        <v>98</v>
      </c>
      <c r="F211" s="37" t="s">
        <v>196</v>
      </c>
      <c r="G211" s="37" t="s">
        <v>358</v>
      </c>
      <c r="H211" s="37" t="s">
        <v>359</v>
      </c>
      <c r="I211" s="37" t="s">
        <v>360</v>
      </c>
      <c r="J211" s="37" t="s">
        <v>614</v>
      </c>
      <c r="K211" s="45" t="n">
        <v>0</v>
      </c>
      <c r="L211" s="46" t="n">
        <v>4116.98</v>
      </c>
    </row>
    <row r="212" customFormat="false" ht="15" hidden="false" customHeight="false" outlineLevel="0" collapsed="false">
      <c r="A212" s="37" t="n">
        <v>500295</v>
      </c>
      <c r="B212" s="37" t="s">
        <v>615</v>
      </c>
      <c r="C212" s="37" t="n">
        <v>202505</v>
      </c>
      <c r="D212" s="37" t="s">
        <v>58</v>
      </c>
      <c r="E212" s="37" t="s">
        <v>103</v>
      </c>
      <c r="F212" s="37" t="s">
        <v>205</v>
      </c>
      <c r="G212" s="37" t="s">
        <v>358</v>
      </c>
      <c r="H212" s="37" t="s">
        <v>400</v>
      </c>
      <c r="I212" s="37" t="s">
        <v>401</v>
      </c>
      <c r="J212" s="37" t="s">
        <v>616</v>
      </c>
      <c r="K212" s="45" t="n">
        <v>0</v>
      </c>
      <c r="L212" s="46" t="n">
        <v>27802.63</v>
      </c>
    </row>
    <row r="213" customFormat="false" ht="15" hidden="false" customHeight="false" outlineLevel="0" collapsed="false">
      <c r="A213" s="37" t="n">
        <v>500049</v>
      </c>
      <c r="B213" s="37" t="s">
        <v>617</v>
      </c>
      <c r="C213" s="37" t="n">
        <v>202505</v>
      </c>
      <c r="D213" s="37" t="s">
        <v>58</v>
      </c>
      <c r="E213" s="37" t="s">
        <v>97</v>
      </c>
      <c r="F213" s="37" t="s">
        <v>194</v>
      </c>
      <c r="G213" s="37" t="s">
        <v>354</v>
      </c>
      <c r="H213" s="37"/>
      <c r="I213" s="37" t="s">
        <v>355</v>
      </c>
      <c r="J213" s="37" t="s">
        <v>618</v>
      </c>
      <c r="K213" s="45" t="n">
        <v>126.7</v>
      </c>
      <c r="L213" s="46" t="n">
        <v>11656.48</v>
      </c>
    </row>
    <row r="214" customFormat="false" ht="15" hidden="false" customHeight="false" outlineLevel="0" collapsed="false">
      <c r="A214" s="37" t="n">
        <v>500245</v>
      </c>
      <c r="B214" s="37" t="s">
        <v>617</v>
      </c>
      <c r="C214" s="37" t="n">
        <v>202505</v>
      </c>
      <c r="D214" s="37" t="s">
        <v>58</v>
      </c>
      <c r="E214" s="37" t="s">
        <v>101</v>
      </c>
      <c r="F214" s="37" t="s">
        <v>194</v>
      </c>
      <c r="G214" s="37" t="s">
        <v>354</v>
      </c>
      <c r="H214" s="37"/>
      <c r="I214" s="37" t="s">
        <v>355</v>
      </c>
      <c r="J214" s="37" t="s">
        <v>618</v>
      </c>
      <c r="K214" s="45" t="n">
        <v>79.2</v>
      </c>
      <c r="L214" s="46" t="n">
        <v>5863.51</v>
      </c>
    </row>
    <row r="215" customFormat="false" ht="15" hidden="false" customHeight="false" outlineLevel="0" collapsed="false">
      <c r="A215" s="37" t="n">
        <v>500323</v>
      </c>
      <c r="B215" s="37" t="s">
        <v>617</v>
      </c>
      <c r="C215" s="37" t="n">
        <v>202505</v>
      </c>
      <c r="D215" s="37" t="s">
        <v>58</v>
      </c>
      <c r="E215" s="37" t="s">
        <v>106</v>
      </c>
      <c r="F215" s="37" t="s">
        <v>194</v>
      </c>
      <c r="G215" s="37" t="s">
        <v>354</v>
      </c>
      <c r="H215" s="37"/>
      <c r="I215" s="37" t="s">
        <v>355</v>
      </c>
      <c r="J215" s="37" t="s">
        <v>618</v>
      </c>
      <c r="K215" s="45" t="n">
        <v>55.8</v>
      </c>
      <c r="L215" s="46" t="n">
        <v>3961.05</v>
      </c>
    </row>
    <row r="216" customFormat="false" ht="15" hidden="false" customHeight="false" outlineLevel="0" collapsed="false">
      <c r="A216" s="37" t="n">
        <v>500457</v>
      </c>
      <c r="B216" s="37" t="s">
        <v>617</v>
      </c>
      <c r="C216" s="37" t="n">
        <v>202505</v>
      </c>
      <c r="D216" s="37" t="s">
        <v>59</v>
      </c>
      <c r="E216" s="37" t="s">
        <v>97</v>
      </c>
      <c r="F216" s="37" t="s">
        <v>194</v>
      </c>
      <c r="G216" s="37" t="s">
        <v>354</v>
      </c>
      <c r="H216" s="37"/>
      <c r="I216" s="37" t="s">
        <v>355</v>
      </c>
      <c r="J216" s="37" t="s">
        <v>618</v>
      </c>
      <c r="K216" s="45" t="n">
        <v>115.4</v>
      </c>
      <c r="L216" s="46" t="n">
        <v>10619.5</v>
      </c>
    </row>
    <row r="217" customFormat="false" ht="15" hidden="false" customHeight="false" outlineLevel="0" collapsed="false">
      <c r="A217" s="37" t="n">
        <v>500601</v>
      </c>
      <c r="B217" s="37" t="s">
        <v>617</v>
      </c>
      <c r="C217" s="37" t="n">
        <v>202505</v>
      </c>
      <c r="D217" s="37" t="s">
        <v>59</v>
      </c>
      <c r="E217" s="37" t="s">
        <v>101</v>
      </c>
      <c r="F217" s="37" t="s">
        <v>194</v>
      </c>
      <c r="G217" s="37" t="s">
        <v>354</v>
      </c>
      <c r="H217" s="37"/>
      <c r="I217" s="37" t="s">
        <v>355</v>
      </c>
      <c r="J217" s="37" t="s">
        <v>618</v>
      </c>
      <c r="K217" s="45" t="n">
        <v>280.7</v>
      </c>
      <c r="L217" s="46" t="n">
        <v>20770.68</v>
      </c>
    </row>
    <row r="218" customFormat="false" ht="15" hidden="false" customHeight="false" outlineLevel="0" collapsed="false">
      <c r="A218" s="37" t="n">
        <v>500786</v>
      </c>
      <c r="B218" s="37" t="s">
        <v>617</v>
      </c>
      <c r="C218" s="37" t="n">
        <v>202505</v>
      </c>
      <c r="D218" s="37" t="s">
        <v>60</v>
      </c>
      <c r="E218" s="37" t="s">
        <v>97</v>
      </c>
      <c r="F218" s="37" t="s">
        <v>194</v>
      </c>
      <c r="G218" s="37" t="s">
        <v>354</v>
      </c>
      <c r="H218" s="37"/>
      <c r="I218" s="37" t="s">
        <v>355</v>
      </c>
      <c r="J218" s="37" t="s">
        <v>618</v>
      </c>
      <c r="K218" s="45" t="n">
        <v>16</v>
      </c>
      <c r="L218" s="46" t="n">
        <v>1471.39</v>
      </c>
    </row>
    <row r="219" customFormat="false" ht="15" hidden="false" customHeight="false" outlineLevel="0" collapsed="false">
      <c r="A219" s="37" t="n">
        <v>500273</v>
      </c>
      <c r="B219" s="37" t="s">
        <v>619</v>
      </c>
      <c r="C219" s="37" t="n">
        <v>202505</v>
      </c>
      <c r="D219" s="37" t="s">
        <v>58</v>
      </c>
      <c r="E219" s="37" t="s">
        <v>102</v>
      </c>
      <c r="F219" s="37" t="s">
        <v>205</v>
      </c>
      <c r="G219" s="37" t="s">
        <v>358</v>
      </c>
      <c r="H219" s="37" t="s">
        <v>393</v>
      </c>
      <c r="I219" s="37" t="s">
        <v>394</v>
      </c>
      <c r="J219" s="37" t="s">
        <v>620</v>
      </c>
      <c r="K219" s="45" t="n">
        <v>0</v>
      </c>
      <c r="L219" s="46" t="n">
        <v>1407.93</v>
      </c>
    </row>
    <row r="220" customFormat="false" ht="15" hidden="false" customHeight="false" outlineLevel="0" collapsed="false">
      <c r="A220" s="37" t="n">
        <v>500638</v>
      </c>
      <c r="B220" s="37" t="s">
        <v>619</v>
      </c>
      <c r="C220" s="37" t="n">
        <v>202505</v>
      </c>
      <c r="D220" s="37" t="s">
        <v>59</v>
      </c>
      <c r="E220" s="37" t="s">
        <v>102</v>
      </c>
      <c r="F220" s="37" t="s">
        <v>205</v>
      </c>
      <c r="G220" s="37" t="s">
        <v>358</v>
      </c>
      <c r="H220" s="37" t="s">
        <v>591</v>
      </c>
      <c r="I220" s="37" t="s">
        <v>592</v>
      </c>
      <c r="J220" s="37" t="s">
        <v>621</v>
      </c>
      <c r="K220" s="45" t="n">
        <v>0</v>
      </c>
      <c r="L220" s="46" t="n">
        <v>78141.19</v>
      </c>
    </row>
    <row r="221" customFormat="false" ht="15" hidden="false" customHeight="false" outlineLevel="0" collapsed="false">
      <c r="A221" s="37" t="n">
        <v>500657</v>
      </c>
      <c r="B221" s="37" t="s">
        <v>619</v>
      </c>
      <c r="C221" s="37" t="n">
        <v>202505</v>
      </c>
      <c r="D221" s="37" t="s">
        <v>59</v>
      </c>
      <c r="E221" s="37" t="s">
        <v>103</v>
      </c>
      <c r="F221" s="37" t="s">
        <v>205</v>
      </c>
      <c r="G221" s="37" t="s">
        <v>358</v>
      </c>
      <c r="H221" s="37" t="s">
        <v>622</v>
      </c>
      <c r="I221" s="37" t="s">
        <v>623</v>
      </c>
      <c r="J221" s="37" t="s">
        <v>624</v>
      </c>
      <c r="K221" s="45" t="n">
        <v>0</v>
      </c>
      <c r="L221" s="46" t="n">
        <v>28404.92</v>
      </c>
    </row>
    <row r="222" customFormat="false" ht="15" hidden="false" customHeight="false" outlineLevel="0" collapsed="false">
      <c r="A222" s="37" t="n">
        <v>500141</v>
      </c>
      <c r="B222" s="37" t="s">
        <v>625</v>
      </c>
      <c r="C222" s="37" t="n">
        <v>202505</v>
      </c>
      <c r="D222" s="37" t="s">
        <v>58</v>
      </c>
      <c r="E222" s="37" t="s">
        <v>98</v>
      </c>
      <c r="F222" s="37" t="s">
        <v>196</v>
      </c>
      <c r="G222" s="37" t="s">
        <v>358</v>
      </c>
      <c r="H222" s="37" t="s">
        <v>359</v>
      </c>
      <c r="I222" s="37" t="s">
        <v>360</v>
      </c>
      <c r="J222" s="37" t="s">
        <v>626</v>
      </c>
      <c r="K222" s="45" t="n">
        <v>0</v>
      </c>
      <c r="L222" s="46" t="n">
        <v>1575.14</v>
      </c>
    </row>
    <row r="223" customFormat="false" ht="15" hidden="false" customHeight="false" outlineLevel="0" collapsed="false">
      <c r="A223" s="37" t="n">
        <v>500536</v>
      </c>
      <c r="B223" s="37" t="s">
        <v>627</v>
      </c>
      <c r="C223" s="37" t="n">
        <v>202505</v>
      </c>
      <c r="D223" s="37" t="s">
        <v>59</v>
      </c>
      <c r="E223" s="37" t="s">
        <v>98</v>
      </c>
      <c r="F223" s="37" t="s">
        <v>196</v>
      </c>
      <c r="G223" s="37" t="s">
        <v>358</v>
      </c>
      <c r="H223" s="37" t="s">
        <v>359</v>
      </c>
      <c r="I223" s="37" t="s">
        <v>360</v>
      </c>
      <c r="J223" s="37" t="s">
        <v>628</v>
      </c>
      <c r="K223" s="45" t="n">
        <v>0</v>
      </c>
      <c r="L223" s="46" t="n">
        <v>9121.22</v>
      </c>
    </row>
    <row r="224" customFormat="false" ht="15" hidden="false" customHeight="false" outlineLevel="0" collapsed="false">
      <c r="A224" s="37" t="n">
        <v>500050</v>
      </c>
      <c r="B224" s="37" t="s">
        <v>629</v>
      </c>
      <c r="C224" s="37" t="n">
        <v>202505</v>
      </c>
      <c r="D224" s="37" t="s">
        <v>58</v>
      </c>
      <c r="E224" s="37" t="s">
        <v>97</v>
      </c>
      <c r="F224" s="37" t="s">
        <v>194</v>
      </c>
      <c r="G224" s="37" t="s">
        <v>354</v>
      </c>
      <c r="H224" s="37"/>
      <c r="I224" s="37" t="s">
        <v>355</v>
      </c>
      <c r="J224" s="37" t="s">
        <v>630</v>
      </c>
      <c r="K224" s="45" t="n">
        <v>232.4</v>
      </c>
      <c r="L224" s="46" t="n">
        <v>21376.4</v>
      </c>
    </row>
    <row r="225" customFormat="false" ht="15" hidden="false" customHeight="false" outlineLevel="0" collapsed="false">
      <c r="A225" s="37" t="n">
        <v>500246</v>
      </c>
      <c r="B225" s="37" t="s">
        <v>629</v>
      </c>
      <c r="C225" s="37" t="n">
        <v>202505</v>
      </c>
      <c r="D225" s="37" t="s">
        <v>58</v>
      </c>
      <c r="E225" s="37" t="s">
        <v>101</v>
      </c>
      <c r="F225" s="37" t="s">
        <v>194</v>
      </c>
      <c r="G225" s="37" t="s">
        <v>354</v>
      </c>
      <c r="H225" s="37"/>
      <c r="I225" s="37" t="s">
        <v>355</v>
      </c>
      <c r="J225" s="37" t="s">
        <v>630</v>
      </c>
      <c r="K225" s="45" t="n">
        <v>49.8</v>
      </c>
      <c r="L225" s="46" t="n">
        <v>3685.5</v>
      </c>
    </row>
    <row r="226" customFormat="false" ht="15" hidden="false" customHeight="false" outlineLevel="0" collapsed="false">
      <c r="A226" s="37" t="n">
        <v>500294</v>
      </c>
      <c r="B226" s="37" t="s">
        <v>629</v>
      </c>
      <c r="C226" s="37" t="n">
        <v>202505</v>
      </c>
      <c r="D226" s="37" t="s">
        <v>58</v>
      </c>
      <c r="E226" s="37" t="s">
        <v>103</v>
      </c>
      <c r="F226" s="37" t="s">
        <v>205</v>
      </c>
      <c r="G226" s="37" t="s">
        <v>358</v>
      </c>
      <c r="H226" s="37" t="s">
        <v>400</v>
      </c>
      <c r="I226" s="37" t="s">
        <v>401</v>
      </c>
      <c r="J226" s="37" t="s">
        <v>631</v>
      </c>
      <c r="K226" s="45" t="n">
        <v>0</v>
      </c>
      <c r="L226" s="46" t="n">
        <v>28578.28</v>
      </c>
    </row>
    <row r="227" customFormat="false" ht="15" hidden="false" customHeight="false" outlineLevel="0" collapsed="false">
      <c r="A227" s="37" t="n">
        <v>500324</v>
      </c>
      <c r="B227" s="37" t="s">
        <v>629</v>
      </c>
      <c r="C227" s="37" t="n">
        <v>202505</v>
      </c>
      <c r="D227" s="37" t="s">
        <v>58</v>
      </c>
      <c r="E227" s="37" t="s">
        <v>106</v>
      </c>
      <c r="F227" s="37" t="s">
        <v>194</v>
      </c>
      <c r="G227" s="37" t="s">
        <v>354</v>
      </c>
      <c r="H227" s="37"/>
      <c r="I227" s="37" t="s">
        <v>355</v>
      </c>
      <c r="J227" s="37" t="s">
        <v>630</v>
      </c>
      <c r="K227" s="45" t="n">
        <v>50</v>
      </c>
      <c r="L227" s="46" t="n">
        <v>3551.18</v>
      </c>
    </row>
    <row r="228" customFormat="false" ht="15" hidden="false" customHeight="false" outlineLevel="0" collapsed="false">
      <c r="A228" s="37" t="n">
        <v>500458</v>
      </c>
      <c r="B228" s="37" t="s">
        <v>629</v>
      </c>
      <c r="C228" s="37" t="n">
        <v>202505</v>
      </c>
      <c r="D228" s="37" t="s">
        <v>59</v>
      </c>
      <c r="E228" s="37" t="s">
        <v>97</v>
      </c>
      <c r="F228" s="37" t="s">
        <v>194</v>
      </c>
      <c r="G228" s="37" t="s">
        <v>354</v>
      </c>
      <c r="H228" s="37"/>
      <c r="I228" s="37" t="s">
        <v>355</v>
      </c>
      <c r="J228" s="37" t="s">
        <v>630</v>
      </c>
      <c r="K228" s="45" t="n">
        <v>8.4</v>
      </c>
      <c r="L228" s="46" t="n">
        <v>776.53</v>
      </c>
    </row>
    <row r="229" customFormat="false" ht="15" hidden="false" customHeight="false" outlineLevel="0" collapsed="false">
      <c r="A229" s="37" t="n">
        <v>500535</v>
      </c>
      <c r="B229" s="37" t="s">
        <v>629</v>
      </c>
      <c r="C229" s="37" t="n">
        <v>202505</v>
      </c>
      <c r="D229" s="37" t="s">
        <v>59</v>
      </c>
      <c r="E229" s="37" t="s">
        <v>98</v>
      </c>
      <c r="F229" s="37" t="s">
        <v>196</v>
      </c>
      <c r="G229" s="37" t="s">
        <v>358</v>
      </c>
      <c r="H229" s="37" t="s">
        <v>359</v>
      </c>
      <c r="I229" s="37" t="s">
        <v>360</v>
      </c>
      <c r="J229" s="37" t="s">
        <v>632</v>
      </c>
      <c r="K229" s="45" t="n">
        <v>0</v>
      </c>
      <c r="L229" s="46" t="n">
        <v>4445.32</v>
      </c>
    </row>
    <row r="230" customFormat="false" ht="15" hidden="false" customHeight="false" outlineLevel="0" collapsed="false">
      <c r="A230" s="37" t="n">
        <v>500602</v>
      </c>
      <c r="B230" s="37" t="s">
        <v>629</v>
      </c>
      <c r="C230" s="37" t="n">
        <v>202505</v>
      </c>
      <c r="D230" s="37" t="s">
        <v>59</v>
      </c>
      <c r="E230" s="37" t="s">
        <v>101</v>
      </c>
      <c r="F230" s="37" t="s">
        <v>194</v>
      </c>
      <c r="G230" s="37" t="s">
        <v>354</v>
      </c>
      <c r="H230" s="37"/>
      <c r="I230" s="37" t="s">
        <v>355</v>
      </c>
      <c r="J230" s="37" t="s">
        <v>630</v>
      </c>
      <c r="K230" s="45" t="n">
        <v>130.4</v>
      </c>
      <c r="L230" s="46" t="n">
        <v>9647.26</v>
      </c>
    </row>
    <row r="231" customFormat="false" ht="15" hidden="false" customHeight="false" outlineLevel="0" collapsed="false">
      <c r="A231" s="37" t="n">
        <v>500787</v>
      </c>
      <c r="B231" s="37" t="s">
        <v>629</v>
      </c>
      <c r="C231" s="37" t="n">
        <v>202505</v>
      </c>
      <c r="D231" s="37" t="s">
        <v>60</v>
      </c>
      <c r="E231" s="37" t="s">
        <v>97</v>
      </c>
      <c r="F231" s="37" t="s">
        <v>194</v>
      </c>
      <c r="G231" s="37" t="s">
        <v>354</v>
      </c>
      <c r="H231" s="37"/>
      <c r="I231" s="37" t="s">
        <v>355</v>
      </c>
      <c r="J231" s="37" t="s">
        <v>630</v>
      </c>
      <c r="K231" s="45" t="n">
        <v>17.2</v>
      </c>
      <c r="L231" s="46" t="n">
        <v>1583.15</v>
      </c>
    </row>
    <row r="232" customFormat="false" ht="15" hidden="false" customHeight="false" outlineLevel="0" collapsed="false">
      <c r="A232" s="37" t="n">
        <v>500859</v>
      </c>
      <c r="B232" s="37" t="s">
        <v>629</v>
      </c>
      <c r="C232" s="37" t="n">
        <v>202505</v>
      </c>
      <c r="D232" s="37" t="s">
        <v>60</v>
      </c>
      <c r="E232" s="37" t="s">
        <v>98</v>
      </c>
      <c r="F232" s="37" t="s">
        <v>196</v>
      </c>
      <c r="G232" s="37" t="s">
        <v>358</v>
      </c>
      <c r="H232" s="37" t="s">
        <v>359</v>
      </c>
      <c r="I232" s="37" t="s">
        <v>360</v>
      </c>
      <c r="J232" s="37" t="s">
        <v>633</v>
      </c>
      <c r="K232" s="45" t="n">
        <v>0</v>
      </c>
      <c r="L232" s="46" t="n">
        <v>1683.18</v>
      </c>
    </row>
    <row r="233" customFormat="false" ht="15" hidden="false" customHeight="false" outlineLevel="0" collapsed="false">
      <c r="A233" s="37" t="n">
        <v>500274</v>
      </c>
      <c r="B233" s="37" t="s">
        <v>634</v>
      </c>
      <c r="C233" s="37" t="n">
        <v>202505</v>
      </c>
      <c r="D233" s="37" t="s">
        <v>58</v>
      </c>
      <c r="E233" s="37" t="s">
        <v>102</v>
      </c>
      <c r="F233" s="37" t="s">
        <v>205</v>
      </c>
      <c r="G233" s="37" t="s">
        <v>358</v>
      </c>
      <c r="H233" s="37" t="s">
        <v>393</v>
      </c>
      <c r="I233" s="37" t="s">
        <v>394</v>
      </c>
      <c r="J233" s="37" t="s">
        <v>635</v>
      </c>
      <c r="K233" s="45" t="n">
        <v>0</v>
      </c>
      <c r="L233" s="46" t="n">
        <v>2304.37</v>
      </c>
    </row>
    <row r="234" customFormat="false" ht="15" hidden="false" customHeight="false" outlineLevel="0" collapsed="false">
      <c r="A234" s="37" t="n">
        <v>500051</v>
      </c>
      <c r="B234" s="37" t="s">
        <v>636</v>
      </c>
      <c r="C234" s="37" t="n">
        <v>202505</v>
      </c>
      <c r="D234" s="37" t="s">
        <v>58</v>
      </c>
      <c r="E234" s="37" t="s">
        <v>97</v>
      </c>
      <c r="F234" s="37" t="s">
        <v>194</v>
      </c>
      <c r="G234" s="37" t="s">
        <v>354</v>
      </c>
      <c r="H234" s="37"/>
      <c r="I234" s="37" t="s">
        <v>355</v>
      </c>
      <c r="J234" s="37" t="s">
        <v>637</v>
      </c>
      <c r="K234" s="45" t="n">
        <v>149.2</v>
      </c>
      <c r="L234" s="46" t="n">
        <v>13729.74</v>
      </c>
    </row>
    <row r="235" customFormat="false" ht="15" hidden="false" customHeight="false" outlineLevel="0" collapsed="false">
      <c r="A235" s="37" t="n">
        <v>500140</v>
      </c>
      <c r="B235" s="37" t="s">
        <v>636</v>
      </c>
      <c r="C235" s="37" t="n">
        <v>202505</v>
      </c>
      <c r="D235" s="37" t="s">
        <v>58</v>
      </c>
      <c r="E235" s="37" t="s">
        <v>98</v>
      </c>
      <c r="F235" s="37" t="s">
        <v>196</v>
      </c>
      <c r="G235" s="37" t="s">
        <v>358</v>
      </c>
      <c r="H235" s="37" t="s">
        <v>359</v>
      </c>
      <c r="I235" s="37" t="s">
        <v>360</v>
      </c>
      <c r="J235" s="37" t="s">
        <v>638</v>
      </c>
      <c r="K235" s="45" t="n">
        <v>0</v>
      </c>
      <c r="L235" s="46" t="n">
        <v>21055.13</v>
      </c>
    </row>
    <row r="236" customFormat="false" ht="15" hidden="false" customHeight="false" outlineLevel="0" collapsed="false">
      <c r="A236" s="37" t="n">
        <v>500247</v>
      </c>
      <c r="B236" s="37" t="s">
        <v>636</v>
      </c>
      <c r="C236" s="37" t="n">
        <v>202505</v>
      </c>
      <c r="D236" s="37" t="s">
        <v>58</v>
      </c>
      <c r="E236" s="37" t="s">
        <v>101</v>
      </c>
      <c r="F236" s="37" t="s">
        <v>194</v>
      </c>
      <c r="G236" s="37" t="s">
        <v>354</v>
      </c>
      <c r="H236" s="37"/>
      <c r="I236" s="37" t="s">
        <v>355</v>
      </c>
      <c r="J236" s="37" t="s">
        <v>637</v>
      </c>
      <c r="K236" s="45" t="n">
        <v>94.4</v>
      </c>
      <c r="L236" s="46" t="n">
        <v>6986.45</v>
      </c>
    </row>
    <row r="237" customFormat="false" ht="15" hidden="false" customHeight="false" outlineLevel="0" collapsed="false">
      <c r="A237" s="37" t="n">
        <v>500325</v>
      </c>
      <c r="B237" s="37" t="s">
        <v>636</v>
      </c>
      <c r="C237" s="37" t="n">
        <v>202505</v>
      </c>
      <c r="D237" s="37" t="s">
        <v>58</v>
      </c>
      <c r="E237" s="37" t="s">
        <v>106</v>
      </c>
      <c r="F237" s="37" t="s">
        <v>194</v>
      </c>
      <c r="G237" s="37" t="s">
        <v>354</v>
      </c>
      <c r="H237" s="37"/>
      <c r="I237" s="37" t="s">
        <v>355</v>
      </c>
      <c r="J237" s="37" t="s">
        <v>637</v>
      </c>
      <c r="K237" s="45" t="n">
        <v>19.2</v>
      </c>
      <c r="L237" s="46" t="n">
        <v>1366.33</v>
      </c>
    </row>
    <row r="238" customFormat="false" ht="15" hidden="false" customHeight="false" outlineLevel="0" collapsed="false">
      <c r="A238" s="37" t="n">
        <v>500459</v>
      </c>
      <c r="B238" s="37" t="s">
        <v>636</v>
      </c>
      <c r="C238" s="37" t="n">
        <v>202505</v>
      </c>
      <c r="D238" s="37" t="s">
        <v>59</v>
      </c>
      <c r="E238" s="37" t="s">
        <v>97</v>
      </c>
      <c r="F238" s="37" t="s">
        <v>194</v>
      </c>
      <c r="G238" s="37" t="s">
        <v>354</v>
      </c>
      <c r="H238" s="37"/>
      <c r="I238" s="37" t="s">
        <v>355</v>
      </c>
      <c r="J238" s="37" t="s">
        <v>637</v>
      </c>
      <c r="K238" s="45" t="n">
        <v>56.5</v>
      </c>
      <c r="L238" s="46" t="n">
        <v>5195.84</v>
      </c>
    </row>
    <row r="239" customFormat="false" ht="15" hidden="false" customHeight="false" outlineLevel="0" collapsed="false">
      <c r="A239" s="37" t="n">
        <v>500603</v>
      </c>
      <c r="B239" s="37" t="s">
        <v>636</v>
      </c>
      <c r="C239" s="37" t="n">
        <v>202505</v>
      </c>
      <c r="D239" s="37" t="s">
        <v>59</v>
      </c>
      <c r="E239" s="37" t="s">
        <v>101</v>
      </c>
      <c r="F239" s="37" t="s">
        <v>194</v>
      </c>
      <c r="G239" s="37" t="s">
        <v>354</v>
      </c>
      <c r="H239" s="37"/>
      <c r="I239" s="37" t="s">
        <v>355</v>
      </c>
      <c r="J239" s="37" t="s">
        <v>637</v>
      </c>
      <c r="K239" s="45" t="n">
        <v>21.2</v>
      </c>
      <c r="L239" s="46" t="n">
        <v>1569.63</v>
      </c>
    </row>
    <row r="240" customFormat="false" ht="15" hidden="false" customHeight="false" outlineLevel="0" collapsed="false">
      <c r="A240" s="37" t="n">
        <v>500788</v>
      </c>
      <c r="B240" s="37" t="s">
        <v>636</v>
      </c>
      <c r="C240" s="37" t="n">
        <v>202505</v>
      </c>
      <c r="D240" s="37" t="s">
        <v>60</v>
      </c>
      <c r="E240" s="37" t="s">
        <v>97</v>
      </c>
      <c r="F240" s="37" t="s">
        <v>194</v>
      </c>
      <c r="G240" s="37" t="s">
        <v>354</v>
      </c>
      <c r="H240" s="37"/>
      <c r="I240" s="37" t="s">
        <v>355</v>
      </c>
      <c r="J240" s="37" t="s">
        <v>637</v>
      </c>
      <c r="K240" s="45" t="n">
        <v>63.1</v>
      </c>
      <c r="L240" s="46" t="n">
        <v>5805.55</v>
      </c>
    </row>
    <row r="241" customFormat="false" ht="15" hidden="false" customHeight="false" outlineLevel="0" collapsed="false">
      <c r="A241" s="37" t="n">
        <v>500275</v>
      </c>
      <c r="B241" s="37" t="s">
        <v>639</v>
      </c>
      <c r="C241" s="37" t="n">
        <v>202505</v>
      </c>
      <c r="D241" s="37" t="s">
        <v>58</v>
      </c>
      <c r="E241" s="37" t="s">
        <v>102</v>
      </c>
      <c r="F241" s="37" t="s">
        <v>205</v>
      </c>
      <c r="G241" s="37" t="s">
        <v>358</v>
      </c>
      <c r="H241" s="37" t="s">
        <v>393</v>
      </c>
      <c r="I241" s="37" t="s">
        <v>394</v>
      </c>
      <c r="J241" s="37" t="s">
        <v>640</v>
      </c>
      <c r="K241" s="45" t="n">
        <v>0</v>
      </c>
      <c r="L241" s="46" t="n">
        <v>3819.37</v>
      </c>
    </row>
    <row r="242" customFormat="false" ht="15" hidden="false" customHeight="false" outlineLevel="0" collapsed="false">
      <c r="A242" s="37" t="n">
        <v>500534</v>
      </c>
      <c r="B242" s="37" t="s">
        <v>639</v>
      </c>
      <c r="C242" s="37" t="n">
        <v>202505</v>
      </c>
      <c r="D242" s="37" t="s">
        <v>59</v>
      </c>
      <c r="E242" s="37" t="s">
        <v>98</v>
      </c>
      <c r="F242" s="37" t="s">
        <v>196</v>
      </c>
      <c r="G242" s="37" t="s">
        <v>358</v>
      </c>
      <c r="H242" s="37" t="s">
        <v>359</v>
      </c>
      <c r="I242" s="37" t="s">
        <v>360</v>
      </c>
      <c r="J242" s="37" t="s">
        <v>641</v>
      </c>
      <c r="K242" s="45" t="n">
        <v>0</v>
      </c>
      <c r="L242" s="46" t="n">
        <v>8529.73</v>
      </c>
    </row>
    <row r="243" customFormat="false" ht="15" hidden="false" customHeight="false" outlineLevel="0" collapsed="false">
      <c r="A243" s="37" t="n">
        <v>500301</v>
      </c>
      <c r="B243" s="37" t="s">
        <v>642</v>
      </c>
      <c r="C243" s="37" t="n">
        <v>202505</v>
      </c>
      <c r="D243" s="37" t="s">
        <v>58</v>
      </c>
      <c r="E243" s="37" t="s">
        <v>104</v>
      </c>
      <c r="F243" s="37" t="s">
        <v>201</v>
      </c>
      <c r="G243" s="37" t="s">
        <v>358</v>
      </c>
      <c r="H243" s="37" t="s">
        <v>578</v>
      </c>
      <c r="I243" s="37" t="s">
        <v>579</v>
      </c>
      <c r="J243" s="37" t="s">
        <v>643</v>
      </c>
      <c r="K243" s="45" t="n">
        <v>0</v>
      </c>
      <c r="L243" s="46" t="n">
        <v>95630.42</v>
      </c>
    </row>
    <row r="244" customFormat="false" ht="15" hidden="false" customHeight="false" outlineLevel="0" collapsed="false">
      <c r="A244" s="37" t="n">
        <v>500314</v>
      </c>
      <c r="B244" s="37" t="s">
        <v>642</v>
      </c>
      <c r="C244" s="37" t="n">
        <v>202505</v>
      </c>
      <c r="D244" s="37" t="s">
        <v>58</v>
      </c>
      <c r="E244" s="37" t="s">
        <v>105</v>
      </c>
      <c r="F244" s="37" t="s">
        <v>201</v>
      </c>
      <c r="G244" s="37" t="s">
        <v>358</v>
      </c>
      <c r="H244" s="37" t="s">
        <v>507</v>
      </c>
      <c r="I244" s="37" t="s">
        <v>508</v>
      </c>
      <c r="J244" s="37" t="s">
        <v>643</v>
      </c>
      <c r="K244" s="45" t="n">
        <v>0</v>
      </c>
      <c r="L244" s="46" t="n">
        <v>251419.57</v>
      </c>
    </row>
    <row r="245" customFormat="false" ht="15" hidden="false" customHeight="false" outlineLevel="0" collapsed="false">
      <c r="A245" s="37" t="n">
        <v>500413</v>
      </c>
      <c r="B245" s="37" t="s">
        <v>642</v>
      </c>
      <c r="C245" s="37" t="n">
        <v>202505</v>
      </c>
      <c r="D245" s="37" t="s">
        <v>58</v>
      </c>
      <c r="E245" s="37" t="s">
        <v>110</v>
      </c>
      <c r="F245" s="37" t="s">
        <v>201</v>
      </c>
      <c r="G245" s="37" t="s">
        <v>358</v>
      </c>
      <c r="H245" s="37" t="s">
        <v>547</v>
      </c>
      <c r="I245" s="37" t="s">
        <v>548</v>
      </c>
      <c r="J245" s="37" t="s">
        <v>643</v>
      </c>
      <c r="K245" s="45" t="n">
        <v>0</v>
      </c>
      <c r="L245" s="46" t="n">
        <v>99099.99</v>
      </c>
    </row>
    <row r="246" customFormat="false" ht="15" hidden="false" customHeight="false" outlineLevel="0" collapsed="false">
      <c r="A246" s="37" t="n">
        <v>500432</v>
      </c>
      <c r="B246" s="37" t="s">
        <v>642</v>
      </c>
      <c r="C246" s="37" t="n">
        <v>202505</v>
      </c>
      <c r="D246" s="37" t="s">
        <v>58</v>
      </c>
      <c r="E246" s="37" t="s">
        <v>111</v>
      </c>
      <c r="F246" s="37" t="s">
        <v>201</v>
      </c>
      <c r="G246" s="37" t="s">
        <v>358</v>
      </c>
      <c r="H246" s="37" t="s">
        <v>549</v>
      </c>
      <c r="I246" s="37" t="s">
        <v>550</v>
      </c>
      <c r="J246" s="37" t="s">
        <v>643</v>
      </c>
      <c r="K246" s="45" t="n">
        <v>0</v>
      </c>
      <c r="L246" s="46" t="n">
        <v>66736.56</v>
      </c>
    </row>
    <row r="247" customFormat="false" ht="15" hidden="false" customHeight="false" outlineLevel="0" collapsed="false">
      <c r="A247" s="37" t="n">
        <v>500591</v>
      </c>
      <c r="B247" s="37" t="s">
        <v>642</v>
      </c>
      <c r="C247" s="37" t="n">
        <v>202505</v>
      </c>
      <c r="D247" s="37" t="s">
        <v>59</v>
      </c>
      <c r="E247" s="37" t="s">
        <v>100</v>
      </c>
      <c r="F247" s="37" t="s">
        <v>201</v>
      </c>
      <c r="G247" s="37" t="s">
        <v>358</v>
      </c>
      <c r="H247" s="37" t="s">
        <v>581</v>
      </c>
      <c r="I247" s="37" t="s">
        <v>370</v>
      </c>
      <c r="J247" s="37" t="s">
        <v>643</v>
      </c>
      <c r="K247" s="45" t="n">
        <v>0</v>
      </c>
      <c r="L247" s="46" t="n">
        <v>550394.13</v>
      </c>
    </row>
    <row r="248" customFormat="false" ht="15" hidden="false" customHeight="false" outlineLevel="0" collapsed="false">
      <c r="A248" s="37" t="n">
        <v>500659</v>
      </c>
      <c r="B248" s="37" t="s">
        <v>642</v>
      </c>
      <c r="C248" s="37" t="n">
        <v>202505</v>
      </c>
      <c r="D248" s="37" t="s">
        <v>59</v>
      </c>
      <c r="E248" s="37" t="s">
        <v>103</v>
      </c>
      <c r="F248" s="37" t="s">
        <v>205</v>
      </c>
      <c r="G248" s="37" t="s">
        <v>358</v>
      </c>
      <c r="H248" s="37" t="s">
        <v>622</v>
      </c>
      <c r="I248" s="37" t="s">
        <v>623</v>
      </c>
      <c r="J248" s="37" t="s">
        <v>644</v>
      </c>
      <c r="K248" s="45" t="n">
        <v>0</v>
      </c>
      <c r="L248" s="46" t="n">
        <v>4953.62</v>
      </c>
    </row>
    <row r="249" customFormat="false" ht="15" hidden="false" customHeight="false" outlineLevel="0" collapsed="false">
      <c r="A249" s="37" t="n">
        <v>500911</v>
      </c>
      <c r="B249" s="37" t="s">
        <v>642</v>
      </c>
      <c r="C249" s="37" t="n">
        <v>202505</v>
      </c>
      <c r="D249" s="37" t="s">
        <v>60</v>
      </c>
      <c r="E249" s="37" t="s">
        <v>100</v>
      </c>
      <c r="F249" s="37" t="s">
        <v>201</v>
      </c>
      <c r="G249" s="37" t="s">
        <v>358</v>
      </c>
      <c r="H249" s="37" t="s">
        <v>645</v>
      </c>
      <c r="I249" s="37" t="s">
        <v>646</v>
      </c>
      <c r="J249" s="37" t="s">
        <v>643</v>
      </c>
      <c r="K249" s="45" t="n">
        <v>0</v>
      </c>
      <c r="L249" s="46" t="n">
        <v>43431.51</v>
      </c>
    </row>
    <row r="250" customFormat="false" ht="15" hidden="false" customHeight="false" outlineLevel="0" collapsed="false">
      <c r="A250" s="37" t="n">
        <v>500658</v>
      </c>
      <c r="B250" s="37" t="s">
        <v>647</v>
      </c>
      <c r="C250" s="37" t="n">
        <v>202505</v>
      </c>
      <c r="D250" s="37" t="s">
        <v>59</v>
      </c>
      <c r="E250" s="37" t="s">
        <v>103</v>
      </c>
      <c r="F250" s="37" t="s">
        <v>205</v>
      </c>
      <c r="G250" s="37" t="s">
        <v>358</v>
      </c>
      <c r="H250" s="37" t="s">
        <v>622</v>
      </c>
      <c r="I250" s="37" t="s">
        <v>623</v>
      </c>
      <c r="J250" s="37" t="s">
        <v>648</v>
      </c>
      <c r="K250" s="45" t="n">
        <v>0</v>
      </c>
      <c r="L250" s="46" t="n">
        <v>10255.39</v>
      </c>
    </row>
    <row r="251" customFormat="false" ht="15" hidden="false" customHeight="false" outlineLevel="0" collapsed="false">
      <c r="A251" s="37" t="n">
        <v>500293</v>
      </c>
      <c r="B251" s="37" t="s">
        <v>649</v>
      </c>
      <c r="C251" s="37" t="n">
        <v>202505</v>
      </c>
      <c r="D251" s="37" t="s">
        <v>58</v>
      </c>
      <c r="E251" s="37" t="s">
        <v>103</v>
      </c>
      <c r="F251" s="37" t="s">
        <v>205</v>
      </c>
      <c r="G251" s="37" t="s">
        <v>358</v>
      </c>
      <c r="H251" s="37" t="s">
        <v>400</v>
      </c>
      <c r="I251" s="37" t="s">
        <v>401</v>
      </c>
      <c r="J251" s="37" t="s">
        <v>650</v>
      </c>
      <c r="K251" s="45" t="n">
        <v>0</v>
      </c>
      <c r="L251" s="46" t="n">
        <v>5719.41</v>
      </c>
    </row>
    <row r="252" customFormat="false" ht="15" hidden="false" customHeight="false" outlineLevel="0" collapsed="false">
      <c r="A252" s="37" t="n">
        <v>500052</v>
      </c>
      <c r="B252" s="37" t="s">
        <v>651</v>
      </c>
      <c r="C252" s="37" t="n">
        <v>202505</v>
      </c>
      <c r="D252" s="37" t="s">
        <v>58</v>
      </c>
      <c r="E252" s="37" t="s">
        <v>97</v>
      </c>
      <c r="F252" s="37" t="s">
        <v>194</v>
      </c>
      <c r="G252" s="37" t="s">
        <v>354</v>
      </c>
      <c r="H252" s="37"/>
      <c r="I252" s="37" t="s">
        <v>355</v>
      </c>
      <c r="J252" s="37" t="s">
        <v>652</v>
      </c>
      <c r="K252" s="45" t="n">
        <v>125.1</v>
      </c>
      <c r="L252" s="46" t="n">
        <v>11506.63</v>
      </c>
    </row>
    <row r="253" customFormat="false" ht="15" hidden="false" customHeight="false" outlineLevel="0" collapsed="false">
      <c r="A253" s="37" t="n">
        <v>500248</v>
      </c>
      <c r="B253" s="37" t="s">
        <v>651</v>
      </c>
      <c r="C253" s="37" t="n">
        <v>202505</v>
      </c>
      <c r="D253" s="37" t="s">
        <v>58</v>
      </c>
      <c r="E253" s="37" t="s">
        <v>101</v>
      </c>
      <c r="F253" s="37" t="s">
        <v>194</v>
      </c>
      <c r="G253" s="37" t="s">
        <v>354</v>
      </c>
      <c r="H253" s="37"/>
      <c r="I253" s="37" t="s">
        <v>355</v>
      </c>
      <c r="J253" s="37" t="s">
        <v>652</v>
      </c>
      <c r="K253" s="45" t="n">
        <v>90.6</v>
      </c>
      <c r="L253" s="46" t="n">
        <v>6703.1</v>
      </c>
    </row>
    <row r="254" customFormat="false" ht="15" hidden="false" customHeight="false" outlineLevel="0" collapsed="false">
      <c r="A254" s="37" t="n">
        <v>500326</v>
      </c>
      <c r="B254" s="37" t="s">
        <v>651</v>
      </c>
      <c r="C254" s="37" t="n">
        <v>202505</v>
      </c>
      <c r="D254" s="37" t="s">
        <v>58</v>
      </c>
      <c r="E254" s="37" t="s">
        <v>106</v>
      </c>
      <c r="F254" s="37" t="s">
        <v>194</v>
      </c>
      <c r="G254" s="37" t="s">
        <v>354</v>
      </c>
      <c r="H254" s="37"/>
      <c r="I254" s="37" t="s">
        <v>355</v>
      </c>
      <c r="J254" s="37" t="s">
        <v>652</v>
      </c>
      <c r="K254" s="45" t="n">
        <v>48.6</v>
      </c>
      <c r="L254" s="46" t="n">
        <v>3447.71</v>
      </c>
    </row>
    <row r="255" customFormat="false" ht="15" hidden="false" customHeight="false" outlineLevel="0" collapsed="false">
      <c r="A255" s="37" t="n">
        <v>500460</v>
      </c>
      <c r="B255" s="37" t="s">
        <v>651</v>
      </c>
      <c r="C255" s="37" t="n">
        <v>202505</v>
      </c>
      <c r="D255" s="37" t="s">
        <v>59</v>
      </c>
      <c r="E255" s="37" t="s">
        <v>97</v>
      </c>
      <c r="F255" s="37" t="s">
        <v>194</v>
      </c>
      <c r="G255" s="37" t="s">
        <v>354</v>
      </c>
      <c r="H255" s="37"/>
      <c r="I255" s="37" t="s">
        <v>355</v>
      </c>
      <c r="J255" s="37" t="s">
        <v>652</v>
      </c>
      <c r="K255" s="45" t="n">
        <v>64</v>
      </c>
      <c r="L255" s="46" t="n">
        <v>5890.19</v>
      </c>
    </row>
    <row r="256" customFormat="false" ht="15" hidden="false" customHeight="false" outlineLevel="0" collapsed="false">
      <c r="A256" s="37" t="n">
        <v>500604</v>
      </c>
      <c r="B256" s="37" t="s">
        <v>651</v>
      </c>
      <c r="C256" s="37" t="n">
        <v>202505</v>
      </c>
      <c r="D256" s="37" t="s">
        <v>59</v>
      </c>
      <c r="E256" s="37" t="s">
        <v>101</v>
      </c>
      <c r="F256" s="37" t="s">
        <v>194</v>
      </c>
      <c r="G256" s="37" t="s">
        <v>354</v>
      </c>
      <c r="H256" s="37"/>
      <c r="I256" s="37" t="s">
        <v>355</v>
      </c>
      <c r="J256" s="37" t="s">
        <v>652</v>
      </c>
      <c r="K256" s="45" t="n">
        <v>157.5</v>
      </c>
      <c r="L256" s="46" t="n">
        <v>11658.08</v>
      </c>
    </row>
    <row r="257" customFormat="false" ht="15" hidden="false" customHeight="false" outlineLevel="0" collapsed="false">
      <c r="A257" s="37" t="n">
        <v>500789</v>
      </c>
      <c r="B257" s="37" t="s">
        <v>651</v>
      </c>
      <c r="C257" s="37" t="n">
        <v>202505</v>
      </c>
      <c r="D257" s="37" t="s">
        <v>60</v>
      </c>
      <c r="E257" s="37" t="s">
        <v>97</v>
      </c>
      <c r="F257" s="37" t="s">
        <v>194</v>
      </c>
      <c r="G257" s="37" t="s">
        <v>354</v>
      </c>
      <c r="H257" s="37"/>
      <c r="I257" s="37" t="s">
        <v>355</v>
      </c>
      <c r="J257" s="37" t="s">
        <v>652</v>
      </c>
      <c r="K257" s="45" t="n">
        <v>22.5</v>
      </c>
      <c r="L257" s="46" t="n">
        <v>2071.84</v>
      </c>
    </row>
    <row r="258" customFormat="false" ht="15" hidden="false" customHeight="false" outlineLevel="0" collapsed="false">
      <c r="A258" s="37" t="n">
        <v>500185</v>
      </c>
      <c r="B258" s="37" t="s">
        <v>653</v>
      </c>
      <c r="C258" s="37" t="n">
        <v>202505</v>
      </c>
      <c r="D258" s="37" t="s">
        <v>58</v>
      </c>
      <c r="E258" s="37" t="s">
        <v>99</v>
      </c>
      <c r="F258" s="37" t="s">
        <v>198</v>
      </c>
      <c r="G258" s="37" t="s">
        <v>375</v>
      </c>
      <c r="H258" s="37"/>
      <c r="I258" s="37" t="s">
        <v>376</v>
      </c>
      <c r="J258" s="37" t="s">
        <v>377</v>
      </c>
      <c r="K258" s="45" t="n">
        <v>0</v>
      </c>
      <c r="L258" s="46" t="n">
        <v>32641.07</v>
      </c>
    </row>
    <row r="259" customFormat="false" ht="15" hidden="false" customHeight="false" outlineLevel="0" collapsed="false">
      <c r="A259" s="37" t="n">
        <v>500572</v>
      </c>
      <c r="B259" s="37" t="s">
        <v>653</v>
      </c>
      <c r="C259" s="37" t="n">
        <v>202505</v>
      </c>
      <c r="D259" s="37" t="s">
        <v>59</v>
      </c>
      <c r="E259" s="37" t="s">
        <v>99</v>
      </c>
      <c r="F259" s="37" t="s">
        <v>198</v>
      </c>
      <c r="G259" s="37" t="s">
        <v>375</v>
      </c>
      <c r="H259" s="37"/>
      <c r="I259" s="37" t="s">
        <v>376</v>
      </c>
      <c r="J259" s="37" t="s">
        <v>377</v>
      </c>
      <c r="K259" s="45" t="n">
        <v>0</v>
      </c>
      <c r="L259" s="46" t="n">
        <v>20118.38</v>
      </c>
    </row>
    <row r="260" customFormat="false" ht="15" hidden="false" customHeight="false" outlineLevel="0" collapsed="false">
      <c r="A260" s="37" t="n">
        <v>500894</v>
      </c>
      <c r="B260" s="37" t="s">
        <v>653</v>
      </c>
      <c r="C260" s="37" t="n">
        <v>202505</v>
      </c>
      <c r="D260" s="37" t="s">
        <v>60</v>
      </c>
      <c r="E260" s="37" t="s">
        <v>99</v>
      </c>
      <c r="F260" s="37" t="s">
        <v>198</v>
      </c>
      <c r="G260" s="37" t="s">
        <v>375</v>
      </c>
      <c r="H260" s="37"/>
      <c r="I260" s="37" t="s">
        <v>376</v>
      </c>
      <c r="J260" s="37" t="s">
        <v>377</v>
      </c>
      <c r="K260" s="45" t="n">
        <v>0</v>
      </c>
      <c r="L260" s="46" t="n">
        <v>3063.5</v>
      </c>
    </row>
    <row r="261" customFormat="false" ht="15" hidden="false" customHeight="false" outlineLevel="0" collapsed="false">
      <c r="A261" s="37" t="n">
        <v>500537</v>
      </c>
      <c r="B261" s="37" t="s">
        <v>654</v>
      </c>
      <c r="C261" s="37" t="n">
        <v>202506</v>
      </c>
      <c r="D261" s="37" t="s">
        <v>59</v>
      </c>
      <c r="E261" s="37" t="s">
        <v>98</v>
      </c>
      <c r="F261" s="37" t="s">
        <v>196</v>
      </c>
      <c r="G261" s="37" t="s">
        <v>358</v>
      </c>
      <c r="H261" s="37" t="s">
        <v>359</v>
      </c>
      <c r="I261" s="37" t="s">
        <v>360</v>
      </c>
      <c r="J261" s="37" t="s">
        <v>655</v>
      </c>
      <c r="K261" s="45" t="n">
        <v>0</v>
      </c>
      <c r="L261" s="46" t="n">
        <v>25660.43</v>
      </c>
    </row>
    <row r="262" customFormat="false" ht="15" hidden="false" customHeight="false" outlineLevel="0" collapsed="false">
      <c r="A262" s="37" t="n">
        <v>500862</v>
      </c>
      <c r="B262" s="37" t="s">
        <v>654</v>
      </c>
      <c r="C262" s="37" t="n">
        <v>202506</v>
      </c>
      <c r="D262" s="37" t="s">
        <v>60</v>
      </c>
      <c r="E262" s="37" t="s">
        <v>98</v>
      </c>
      <c r="F262" s="37" t="s">
        <v>196</v>
      </c>
      <c r="G262" s="37" t="s">
        <v>358</v>
      </c>
      <c r="H262" s="37" t="s">
        <v>359</v>
      </c>
      <c r="I262" s="37" t="s">
        <v>360</v>
      </c>
      <c r="J262" s="37" t="s">
        <v>656</v>
      </c>
      <c r="K262" s="45" t="n">
        <v>0</v>
      </c>
      <c r="L262" s="46" t="n">
        <v>2258.32</v>
      </c>
    </row>
    <row r="263" customFormat="false" ht="15" hidden="false" customHeight="false" outlineLevel="0" collapsed="false">
      <c r="A263" s="37" t="n">
        <v>500053</v>
      </c>
      <c r="B263" s="37" t="s">
        <v>657</v>
      </c>
      <c r="C263" s="37" t="n">
        <v>202506</v>
      </c>
      <c r="D263" s="37" t="s">
        <v>58</v>
      </c>
      <c r="E263" s="37" t="s">
        <v>97</v>
      </c>
      <c r="F263" s="37" t="s">
        <v>194</v>
      </c>
      <c r="G263" s="37" t="s">
        <v>354</v>
      </c>
      <c r="H263" s="37"/>
      <c r="I263" s="37" t="s">
        <v>355</v>
      </c>
      <c r="J263" s="37" t="s">
        <v>658</v>
      </c>
      <c r="K263" s="45" t="n">
        <v>336.2</v>
      </c>
      <c r="L263" s="46" t="n">
        <v>30932.32</v>
      </c>
    </row>
    <row r="264" customFormat="false" ht="15" hidden="false" customHeight="false" outlineLevel="0" collapsed="false">
      <c r="A264" s="37" t="n">
        <v>500249</v>
      </c>
      <c r="B264" s="37" t="s">
        <v>657</v>
      </c>
      <c r="C264" s="37" t="n">
        <v>202506</v>
      </c>
      <c r="D264" s="37" t="s">
        <v>58</v>
      </c>
      <c r="E264" s="37" t="s">
        <v>101</v>
      </c>
      <c r="F264" s="37" t="s">
        <v>194</v>
      </c>
      <c r="G264" s="37" t="s">
        <v>354</v>
      </c>
      <c r="H264" s="37"/>
      <c r="I264" s="37" t="s">
        <v>355</v>
      </c>
      <c r="J264" s="37" t="s">
        <v>658</v>
      </c>
      <c r="K264" s="45" t="n">
        <v>5.1</v>
      </c>
      <c r="L264" s="46" t="n">
        <v>376.22</v>
      </c>
    </row>
    <row r="265" customFormat="false" ht="15" hidden="false" customHeight="false" outlineLevel="0" collapsed="false">
      <c r="A265" s="37" t="n">
        <v>500327</v>
      </c>
      <c r="B265" s="37" t="s">
        <v>657</v>
      </c>
      <c r="C265" s="37" t="n">
        <v>202506</v>
      </c>
      <c r="D265" s="37" t="s">
        <v>58</v>
      </c>
      <c r="E265" s="37" t="s">
        <v>106</v>
      </c>
      <c r="F265" s="37" t="s">
        <v>194</v>
      </c>
      <c r="G265" s="37" t="s">
        <v>354</v>
      </c>
      <c r="H265" s="37"/>
      <c r="I265" s="37" t="s">
        <v>355</v>
      </c>
      <c r="J265" s="37" t="s">
        <v>658</v>
      </c>
      <c r="K265" s="45" t="n">
        <v>54.2</v>
      </c>
      <c r="L265" s="46" t="n">
        <v>3851.04</v>
      </c>
    </row>
    <row r="266" customFormat="false" ht="15" hidden="false" customHeight="false" outlineLevel="0" collapsed="false">
      <c r="A266" s="37" t="n">
        <v>500461</v>
      </c>
      <c r="B266" s="37" t="s">
        <v>657</v>
      </c>
      <c r="C266" s="37" t="n">
        <v>202506</v>
      </c>
      <c r="D266" s="37" t="s">
        <v>59</v>
      </c>
      <c r="E266" s="37" t="s">
        <v>97</v>
      </c>
      <c r="F266" s="37" t="s">
        <v>194</v>
      </c>
      <c r="G266" s="37" t="s">
        <v>354</v>
      </c>
      <c r="H266" s="37"/>
      <c r="I266" s="37" t="s">
        <v>355</v>
      </c>
      <c r="J266" s="37" t="s">
        <v>658</v>
      </c>
      <c r="K266" s="45" t="n">
        <v>63.3</v>
      </c>
      <c r="L266" s="46" t="n">
        <v>5828.05</v>
      </c>
    </row>
    <row r="267" customFormat="false" ht="15" hidden="false" customHeight="false" outlineLevel="0" collapsed="false">
      <c r="A267" s="37" t="n">
        <v>500605</v>
      </c>
      <c r="B267" s="37" t="s">
        <v>657</v>
      </c>
      <c r="C267" s="37" t="n">
        <v>202506</v>
      </c>
      <c r="D267" s="37" t="s">
        <v>59</v>
      </c>
      <c r="E267" s="37" t="s">
        <v>101</v>
      </c>
      <c r="F267" s="37" t="s">
        <v>194</v>
      </c>
      <c r="G267" s="37" t="s">
        <v>354</v>
      </c>
      <c r="H267" s="37"/>
      <c r="I267" s="37" t="s">
        <v>355</v>
      </c>
      <c r="J267" s="37" t="s">
        <v>658</v>
      </c>
      <c r="K267" s="45" t="n">
        <v>47.6</v>
      </c>
      <c r="L267" s="46" t="n">
        <v>3522.38</v>
      </c>
    </row>
    <row r="268" customFormat="false" ht="15" hidden="false" customHeight="false" outlineLevel="0" collapsed="false">
      <c r="A268" s="37" t="n">
        <v>500790</v>
      </c>
      <c r="B268" s="37" t="s">
        <v>657</v>
      </c>
      <c r="C268" s="37" t="n">
        <v>202506</v>
      </c>
      <c r="D268" s="37" t="s">
        <v>60</v>
      </c>
      <c r="E268" s="37" t="s">
        <v>97</v>
      </c>
      <c r="F268" s="37" t="s">
        <v>194</v>
      </c>
      <c r="G268" s="37" t="s">
        <v>354</v>
      </c>
      <c r="H268" s="37"/>
      <c r="I268" s="37" t="s">
        <v>355</v>
      </c>
      <c r="J268" s="37" t="s">
        <v>658</v>
      </c>
      <c r="K268" s="45" t="n">
        <v>102.7</v>
      </c>
      <c r="L268" s="46" t="n">
        <v>9447.72</v>
      </c>
    </row>
    <row r="269" customFormat="false" ht="15" hidden="false" customHeight="false" outlineLevel="0" collapsed="false">
      <c r="A269" s="37" t="n">
        <v>500918</v>
      </c>
      <c r="B269" s="37" t="s">
        <v>657</v>
      </c>
      <c r="C269" s="37" t="n">
        <v>202506</v>
      </c>
      <c r="D269" s="37" t="s">
        <v>60</v>
      </c>
      <c r="E269" s="37" t="s">
        <v>101</v>
      </c>
      <c r="F269" s="37" t="s">
        <v>194</v>
      </c>
      <c r="G269" s="37" t="s">
        <v>354</v>
      </c>
      <c r="H269" s="37"/>
      <c r="I269" s="37" t="s">
        <v>355</v>
      </c>
      <c r="J269" s="37" t="s">
        <v>658</v>
      </c>
      <c r="K269" s="45" t="n">
        <v>22.3</v>
      </c>
      <c r="L269" s="46" t="n">
        <v>1647.59</v>
      </c>
    </row>
    <row r="270" customFormat="false" ht="15" hidden="false" customHeight="false" outlineLevel="0" collapsed="false">
      <c r="A270" s="37" t="n">
        <v>501097</v>
      </c>
      <c r="B270" s="37" t="s">
        <v>657</v>
      </c>
      <c r="C270" s="37" t="n">
        <v>202506</v>
      </c>
      <c r="D270" s="37" t="s">
        <v>61</v>
      </c>
      <c r="E270" s="37" t="s">
        <v>97</v>
      </c>
      <c r="F270" s="37" t="s">
        <v>194</v>
      </c>
      <c r="G270" s="37" t="s">
        <v>354</v>
      </c>
      <c r="H270" s="37"/>
      <c r="I270" s="37" t="s">
        <v>355</v>
      </c>
      <c r="J270" s="37" t="s">
        <v>658</v>
      </c>
      <c r="K270" s="45" t="n">
        <v>57.2</v>
      </c>
      <c r="L270" s="46" t="n">
        <v>5260.9</v>
      </c>
    </row>
    <row r="271" customFormat="false" ht="15" hidden="false" customHeight="false" outlineLevel="0" collapsed="false">
      <c r="A271" s="37" t="n">
        <v>500640</v>
      </c>
      <c r="B271" s="37" t="s">
        <v>659</v>
      </c>
      <c r="C271" s="37" t="n">
        <v>202506</v>
      </c>
      <c r="D271" s="37" t="s">
        <v>59</v>
      </c>
      <c r="E271" s="37" t="s">
        <v>102</v>
      </c>
      <c r="F271" s="37" t="s">
        <v>205</v>
      </c>
      <c r="G271" s="37" t="s">
        <v>358</v>
      </c>
      <c r="H271" s="37" t="s">
        <v>591</v>
      </c>
      <c r="I271" s="37" t="s">
        <v>592</v>
      </c>
      <c r="J271" s="37" t="s">
        <v>660</v>
      </c>
      <c r="K271" s="45" t="n">
        <v>0</v>
      </c>
      <c r="L271" s="46" t="n">
        <v>119860.95</v>
      </c>
    </row>
    <row r="272" customFormat="false" ht="15" hidden="false" customHeight="false" outlineLevel="0" collapsed="false">
      <c r="A272" s="37" t="n">
        <v>500142</v>
      </c>
      <c r="B272" s="37" t="s">
        <v>661</v>
      </c>
      <c r="C272" s="37" t="n">
        <v>202506</v>
      </c>
      <c r="D272" s="37" t="s">
        <v>58</v>
      </c>
      <c r="E272" s="37" t="s">
        <v>98</v>
      </c>
      <c r="F272" s="37" t="s">
        <v>196</v>
      </c>
      <c r="G272" s="37" t="s">
        <v>358</v>
      </c>
      <c r="H272" s="37" t="s">
        <v>359</v>
      </c>
      <c r="I272" s="37" t="s">
        <v>360</v>
      </c>
      <c r="J272" s="37" t="s">
        <v>662</v>
      </c>
      <c r="K272" s="45" t="n">
        <v>0</v>
      </c>
      <c r="L272" s="46" t="n">
        <v>23940.13</v>
      </c>
    </row>
    <row r="273" customFormat="false" ht="15" hidden="false" customHeight="false" outlineLevel="0" collapsed="false">
      <c r="A273" s="37" t="n">
        <v>500662</v>
      </c>
      <c r="B273" s="37" t="s">
        <v>661</v>
      </c>
      <c r="C273" s="37" t="n">
        <v>202506</v>
      </c>
      <c r="D273" s="37" t="s">
        <v>59</v>
      </c>
      <c r="E273" s="37" t="s">
        <v>103</v>
      </c>
      <c r="F273" s="37" t="s">
        <v>205</v>
      </c>
      <c r="G273" s="37" t="s">
        <v>358</v>
      </c>
      <c r="H273" s="37" t="s">
        <v>622</v>
      </c>
      <c r="I273" s="37" t="s">
        <v>623</v>
      </c>
      <c r="J273" s="37" t="s">
        <v>663</v>
      </c>
      <c r="K273" s="45" t="n">
        <v>0</v>
      </c>
      <c r="L273" s="46" t="n">
        <v>50677.2</v>
      </c>
    </row>
    <row r="274" customFormat="false" ht="15" hidden="false" customHeight="false" outlineLevel="0" collapsed="false">
      <c r="A274" s="37" t="n">
        <v>500660</v>
      </c>
      <c r="B274" s="37" t="s">
        <v>664</v>
      </c>
      <c r="C274" s="37" t="n">
        <v>202506</v>
      </c>
      <c r="D274" s="37" t="s">
        <v>59</v>
      </c>
      <c r="E274" s="37" t="s">
        <v>103</v>
      </c>
      <c r="F274" s="37" t="s">
        <v>205</v>
      </c>
      <c r="G274" s="37" t="s">
        <v>358</v>
      </c>
      <c r="H274" s="37" t="s">
        <v>622</v>
      </c>
      <c r="I274" s="37" t="s">
        <v>623</v>
      </c>
      <c r="J274" s="37" t="s">
        <v>665</v>
      </c>
      <c r="K274" s="45" t="n">
        <v>0</v>
      </c>
      <c r="L274" s="46" t="n">
        <v>68754.91</v>
      </c>
    </row>
    <row r="275" customFormat="false" ht="15" hidden="false" customHeight="false" outlineLevel="0" collapsed="false">
      <c r="A275" s="37" t="n">
        <v>500661</v>
      </c>
      <c r="B275" s="37" t="s">
        <v>666</v>
      </c>
      <c r="C275" s="37" t="n">
        <v>202506</v>
      </c>
      <c r="D275" s="37" t="s">
        <v>59</v>
      </c>
      <c r="E275" s="37" t="s">
        <v>103</v>
      </c>
      <c r="F275" s="37" t="s">
        <v>205</v>
      </c>
      <c r="G275" s="37" t="s">
        <v>358</v>
      </c>
      <c r="H275" s="37" t="s">
        <v>622</v>
      </c>
      <c r="I275" s="37" t="s">
        <v>623</v>
      </c>
      <c r="J275" s="37" t="s">
        <v>667</v>
      </c>
      <c r="K275" s="45" t="n">
        <v>0</v>
      </c>
      <c r="L275" s="46" t="n">
        <v>8033.35</v>
      </c>
    </row>
    <row r="276" customFormat="false" ht="15" hidden="false" customHeight="false" outlineLevel="0" collapsed="false">
      <c r="A276" s="37" t="n">
        <v>500054</v>
      </c>
      <c r="B276" s="37" t="s">
        <v>668</v>
      </c>
      <c r="C276" s="37" t="n">
        <v>202506</v>
      </c>
      <c r="D276" s="37" t="s">
        <v>58</v>
      </c>
      <c r="E276" s="37" t="s">
        <v>97</v>
      </c>
      <c r="F276" s="37" t="s">
        <v>194</v>
      </c>
      <c r="G276" s="37" t="s">
        <v>354</v>
      </c>
      <c r="H276" s="37"/>
      <c r="I276" s="37" t="s">
        <v>355</v>
      </c>
      <c r="J276" s="37" t="s">
        <v>669</v>
      </c>
      <c r="K276" s="45" t="n">
        <v>235.9</v>
      </c>
      <c r="L276" s="46" t="n">
        <v>21705.49</v>
      </c>
    </row>
    <row r="277" customFormat="false" ht="15" hidden="false" customHeight="false" outlineLevel="0" collapsed="false">
      <c r="A277" s="37" t="n">
        <v>500250</v>
      </c>
      <c r="B277" s="37" t="s">
        <v>668</v>
      </c>
      <c r="C277" s="37" t="n">
        <v>202506</v>
      </c>
      <c r="D277" s="37" t="s">
        <v>58</v>
      </c>
      <c r="E277" s="37" t="s">
        <v>101</v>
      </c>
      <c r="F277" s="37" t="s">
        <v>194</v>
      </c>
      <c r="G277" s="37" t="s">
        <v>354</v>
      </c>
      <c r="H277" s="37"/>
      <c r="I277" s="37" t="s">
        <v>355</v>
      </c>
      <c r="J277" s="37" t="s">
        <v>669</v>
      </c>
      <c r="K277" s="45" t="n">
        <v>15.5</v>
      </c>
      <c r="L277" s="46" t="n">
        <v>1149.4</v>
      </c>
    </row>
    <row r="278" customFormat="false" ht="15" hidden="false" customHeight="false" outlineLevel="0" collapsed="false">
      <c r="A278" s="37" t="n">
        <v>500328</v>
      </c>
      <c r="B278" s="37" t="s">
        <v>668</v>
      </c>
      <c r="C278" s="37" t="n">
        <v>202506</v>
      </c>
      <c r="D278" s="37" t="s">
        <v>58</v>
      </c>
      <c r="E278" s="37" t="s">
        <v>106</v>
      </c>
      <c r="F278" s="37" t="s">
        <v>194</v>
      </c>
      <c r="G278" s="37" t="s">
        <v>354</v>
      </c>
      <c r="H278" s="37"/>
      <c r="I278" s="37" t="s">
        <v>355</v>
      </c>
      <c r="J278" s="37" t="s">
        <v>669</v>
      </c>
      <c r="K278" s="45" t="n">
        <v>74.8</v>
      </c>
      <c r="L278" s="46" t="n">
        <v>5312.09</v>
      </c>
    </row>
    <row r="279" customFormat="false" ht="15" hidden="false" customHeight="false" outlineLevel="0" collapsed="false">
      <c r="A279" s="37" t="n">
        <v>500462</v>
      </c>
      <c r="B279" s="37" t="s">
        <v>668</v>
      </c>
      <c r="C279" s="37" t="n">
        <v>202506</v>
      </c>
      <c r="D279" s="37" t="s">
        <v>59</v>
      </c>
      <c r="E279" s="37" t="s">
        <v>97</v>
      </c>
      <c r="F279" s="37" t="s">
        <v>194</v>
      </c>
      <c r="G279" s="37" t="s">
        <v>354</v>
      </c>
      <c r="H279" s="37"/>
      <c r="I279" s="37" t="s">
        <v>355</v>
      </c>
      <c r="J279" s="37" t="s">
        <v>669</v>
      </c>
      <c r="K279" s="45" t="n">
        <v>28.7</v>
      </c>
      <c r="L279" s="46" t="n">
        <v>2641.76</v>
      </c>
    </row>
    <row r="280" customFormat="false" ht="15" hidden="false" customHeight="false" outlineLevel="0" collapsed="false">
      <c r="A280" s="37" t="n">
        <v>500606</v>
      </c>
      <c r="B280" s="37" t="s">
        <v>668</v>
      </c>
      <c r="C280" s="37" t="n">
        <v>202506</v>
      </c>
      <c r="D280" s="37" t="s">
        <v>59</v>
      </c>
      <c r="E280" s="37" t="s">
        <v>101</v>
      </c>
      <c r="F280" s="37" t="s">
        <v>194</v>
      </c>
      <c r="G280" s="37" t="s">
        <v>354</v>
      </c>
      <c r="H280" s="37"/>
      <c r="I280" s="37" t="s">
        <v>355</v>
      </c>
      <c r="J280" s="37" t="s">
        <v>669</v>
      </c>
      <c r="K280" s="45" t="n">
        <v>652.7</v>
      </c>
      <c r="L280" s="46" t="n">
        <v>48297.72</v>
      </c>
    </row>
    <row r="281" customFormat="false" ht="15" hidden="false" customHeight="false" outlineLevel="0" collapsed="false">
      <c r="A281" s="37" t="n">
        <v>500791</v>
      </c>
      <c r="B281" s="37" t="s">
        <v>668</v>
      </c>
      <c r="C281" s="37" t="n">
        <v>202506</v>
      </c>
      <c r="D281" s="37" t="s">
        <v>60</v>
      </c>
      <c r="E281" s="37" t="s">
        <v>97</v>
      </c>
      <c r="F281" s="37" t="s">
        <v>194</v>
      </c>
      <c r="G281" s="37" t="s">
        <v>354</v>
      </c>
      <c r="H281" s="37"/>
      <c r="I281" s="37" t="s">
        <v>355</v>
      </c>
      <c r="J281" s="37" t="s">
        <v>669</v>
      </c>
      <c r="K281" s="45" t="n">
        <v>49.6</v>
      </c>
      <c r="L281" s="46" t="n">
        <v>4567.79</v>
      </c>
    </row>
    <row r="282" customFormat="false" ht="15" hidden="false" customHeight="false" outlineLevel="0" collapsed="false">
      <c r="A282" s="37" t="n">
        <v>500919</v>
      </c>
      <c r="B282" s="37" t="s">
        <v>668</v>
      </c>
      <c r="C282" s="37" t="n">
        <v>202506</v>
      </c>
      <c r="D282" s="37" t="s">
        <v>60</v>
      </c>
      <c r="E282" s="37" t="s">
        <v>101</v>
      </c>
      <c r="F282" s="37" t="s">
        <v>194</v>
      </c>
      <c r="G282" s="37" t="s">
        <v>354</v>
      </c>
      <c r="H282" s="37"/>
      <c r="I282" s="37" t="s">
        <v>355</v>
      </c>
      <c r="J282" s="37" t="s">
        <v>669</v>
      </c>
      <c r="K282" s="45" t="n">
        <v>8.9</v>
      </c>
      <c r="L282" s="46" t="n">
        <v>656.31</v>
      </c>
    </row>
    <row r="283" customFormat="false" ht="15" hidden="false" customHeight="false" outlineLevel="0" collapsed="false">
      <c r="A283" s="37" t="n">
        <v>500958</v>
      </c>
      <c r="B283" s="37" t="s">
        <v>668</v>
      </c>
      <c r="C283" s="37" t="n">
        <v>202506</v>
      </c>
      <c r="D283" s="37" t="s">
        <v>60</v>
      </c>
      <c r="E283" s="37" t="s">
        <v>102</v>
      </c>
      <c r="F283" s="37" t="s">
        <v>205</v>
      </c>
      <c r="G283" s="37" t="s">
        <v>358</v>
      </c>
      <c r="H283" s="37" t="s">
        <v>670</v>
      </c>
      <c r="I283" s="37" t="s">
        <v>671</v>
      </c>
      <c r="J283" s="37" t="s">
        <v>672</v>
      </c>
      <c r="K283" s="45" t="n">
        <v>0</v>
      </c>
      <c r="L283" s="46" t="n">
        <v>2217.62</v>
      </c>
    </row>
    <row r="284" customFormat="false" ht="15" hidden="false" customHeight="false" outlineLevel="0" collapsed="false">
      <c r="A284" s="37" t="n">
        <v>501098</v>
      </c>
      <c r="B284" s="37" t="s">
        <v>668</v>
      </c>
      <c r="C284" s="37" t="n">
        <v>202506</v>
      </c>
      <c r="D284" s="37" t="s">
        <v>61</v>
      </c>
      <c r="E284" s="37" t="s">
        <v>97</v>
      </c>
      <c r="F284" s="37" t="s">
        <v>194</v>
      </c>
      <c r="G284" s="37" t="s">
        <v>354</v>
      </c>
      <c r="H284" s="37"/>
      <c r="I284" s="37" t="s">
        <v>355</v>
      </c>
      <c r="J284" s="37" t="s">
        <v>669</v>
      </c>
      <c r="K284" s="45" t="n">
        <v>65</v>
      </c>
      <c r="L284" s="46" t="n">
        <v>5981.28</v>
      </c>
    </row>
    <row r="285" customFormat="false" ht="15" hidden="false" customHeight="false" outlineLevel="0" collapsed="false">
      <c r="A285" s="37" t="n">
        <v>500957</v>
      </c>
      <c r="B285" s="37" t="s">
        <v>673</v>
      </c>
      <c r="C285" s="37" t="n">
        <v>202506</v>
      </c>
      <c r="D285" s="37" t="s">
        <v>60</v>
      </c>
      <c r="E285" s="37" t="s">
        <v>102</v>
      </c>
      <c r="F285" s="37" t="s">
        <v>205</v>
      </c>
      <c r="G285" s="37" t="s">
        <v>358</v>
      </c>
      <c r="H285" s="37" t="s">
        <v>670</v>
      </c>
      <c r="I285" s="37" t="s">
        <v>671</v>
      </c>
      <c r="J285" s="37" t="s">
        <v>674</v>
      </c>
      <c r="K285" s="45" t="n">
        <v>0</v>
      </c>
      <c r="L285" s="46" t="n">
        <v>548.92</v>
      </c>
    </row>
    <row r="286" customFormat="false" ht="15" hidden="false" customHeight="false" outlineLevel="0" collapsed="false">
      <c r="A286" s="37" t="n">
        <v>501166</v>
      </c>
      <c r="B286" s="37" t="s">
        <v>675</v>
      </c>
      <c r="C286" s="37" t="n">
        <v>202506</v>
      </c>
      <c r="D286" s="37" t="s">
        <v>61</v>
      </c>
      <c r="E286" s="37" t="s">
        <v>98</v>
      </c>
      <c r="F286" s="37" t="s">
        <v>196</v>
      </c>
      <c r="G286" s="37" t="s">
        <v>358</v>
      </c>
      <c r="H286" s="37" t="s">
        <v>359</v>
      </c>
      <c r="I286" s="37" t="s">
        <v>360</v>
      </c>
      <c r="J286" s="37" t="s">
        <v>676</v>
      </c>
      <c r="K286" s="45" t="n">
        <v>0</v>
      </c>
      <c r="L286" s="46" t="n">
        <v>3983.78</v>
      </c>
    </row>
    <row r="287" customFormat="false" ht="15" hidden="false" customHeight="false" outlineLevel="0" collapsed="false">
      <c r="A287" s="37" t="n">
        <v>500055</v>
      </c>
      <c r="B287" s="37" t="s">
        <v>677</v>
      </c>
      <c r="C287" s="37" t="n">
        <v>202506</v>
      </c>
      <c r="D287" s="37" t="s">
        <v>58</v>
      </c>
      <c r="E287" s="37" t="s">
        <v>97</v>
      </c>
      <c r="F287" s="37" t="s">
        <v>194</v>
      </c>
      <c r="G287" s="37" t="s">
        <v>354</v>
      </c>
      <c r="H287" s="37"/>
      <c r="I287" s="37" t="s">
        <v>355</v>
      </c>
      <c r="J287" s="37" t="s">
        <v>678</v>
      </c>
      <c r="K287" s="45" t="n">
        <v>162.2</v>
      </c>
      <c r="L287" s="46" t="n">
        <v>14924.33</v>
      </c>
    </row>
    <row r="288" customFormat="false" ht="15" hidden="false" customHeight="false" outlineLevel="0" collapsed="false">
      <c r="A288" s="37" t="n">
        <v>500251</v>
      </c>
      <c r="B288" s="37" t="s">
        <v>677</v>
      </c>
      <c r="C288" s="37" t="n">
        <v>202506</v>
      </c>
      <c r="D288" s="37" t="s">
        <v>58</v>
      </c>
      <c r="E288" s="37" t="s">
        <v>101</v>
      </c>
      <c r="F288" s="37" t="s">
        <v>194</v>
      </c>
      <c r="G288" s="37" t="s">
        <v>354</v>
      </c>
      <c r="H288" s="37"/>
      <c r="I288" s="37" t="s">
        <v>355</v>
      </c>
      <c r="J288" s="37" t="s">
        <v>678</v>
      </c>
      <c r="K288" s="45" t="n">
        <v>5.4</v>
      </c>
      <c r="L288" s="46" t="n">
        <v>400.59</v>
      </c>
    </row>
    <row r="289" customFormat="false" ht="15" hidden="false" customHeight="false" outlineLevel="0" collapsed="false">
      <c r="A289" s="37" t="n">
        <v>500329</v>
      </c>
      <c r="B289" s="37" t="s">
        <v>677</v>
      </c>
      <c r="C289" s="37" t="n">
        <v>202506</v>
      </c>
      <c r="D289" s="37" t="s">
        <v>58</v>
      </c>
      <c r="E289" s="37" t="s">
        <v>106</v>
      </c>
      <c r="F289" s="37" t="s">
        <v>194</v>
      </c>
      <c r="G289" s="37" t="s">
        <v>354</v>
      </c>
      <c r="H289" s="37"/>
      <c r="I289" s="37" t="s">
        <v>355</v>
      </c>
      <c r="J289" s="37" t="s">
        <v>678</v>
      </c>
      <c r="K289" s="45" t="n">
        <v>199.8</v>
      </c>
      <c r="L289" s="46" t="n">
        <v>14182.81</v>
      </c>
    </row>
    <row r="290" customFormat="false" ht="15" hidden="false" customHeight="false" outlineLevel="0" collapsed="false">
      <c r="A290" s="37" t="n">
        <v>500463</v>
      </c>
      <c r="B290" s="37" t="s">
        <v>677</v>
      </c>
      <c r="C290" s="37" t="n">
        <v>202506</v>
      </c>
      <c r="D290" s="37" t="s">
        <v>59</v>
      </c>
      <c r="E290" s="37" t="s">
        <v>97</v>
      </c>
      <c r="F290" s="37" t="s">
        <v>194</v>
      </c>
      <c r="G290" s="37" t="s">
        <v>354</v>
      </c>
      <c r="H290" s="37"/>
      <c r="I290" s="37" t="s">
        <v>355</v>
      </c>
      <c r="J290" s="37" t="s">
        <v>678</v>
      </c>
      <c r="K290" s="45" t="n">
        <v>192.3</v>
      </c>
      <c r="L290" s="46" t="n">
        <v>17693.92</v>
      </c>
    </row>
    <row r="291" customFormat="false" ht="15" hidden="false" customHeight="false" outlineLevel="0" collapsed="false">
      <c r="A291" s="37" t="n">
        <v>500607</v>
      </c>
      <c r="B291" s="37" t="s">
        <v>677</v>
      </c>
      <c r="C291" s="37" t="n">
        <v>202506</v>
      </c>
      <c r="D291" s="37" t="s">
        <v>59</v>
      </c>
      <c r="E291" s="37" t="s">
        <v>101</v>
      </c>
      <c r="F291" s="37" t="s">
        <v>194</v>
      </c>
      <c r="G291" s="37" t="s">
        <v>354</v>
      </c>
      <c r="H291" s="37"/>
      <c r="I291" s="37" t="s">
        <v>355</v>
      </c>
      <c r="J291" s="37" t="s">
        <v>678</v>
      </c>
      <c r="K291" s="45" t="n">
        <v>402</v>
      </c>
      <c r="L291" s="46" t="n">
        <v>29751.45</v>
      </c>
    </row>
    <row r="292" customFormat="false" ht="15" hidden="false" customHeight="false" outlineLevel="0" collapsed="false">
      <c r="A292" s="37" t="n">
        <v>500792</v>
      </c>
      <c r="B292" s="37" t="s">
        <v>677</v>
      </c>
      <c r="C292" s="37" t="n">
        <v>202506</v>
      </c>
      <c r="D292" s="37" t="s">
        <v>60</v>
      </c>
      <c r="E292" s="37" t="s">
        <v>97</v>
      </c>
      <c r="F292" s="37" t="s">
        <v>194</v>
      </c>
      <c r="G292" s="37" t="s">
        <v>354</v>
      </c>
      <c r="H292" s="37"/>
      <c r="I292" s="37" t="s">
        <v>355</v>
      </c>
      <c r="J292" s="37" t="s">
        <v>678</v>
      </c>
      <c r="K292" s="45" t="n">
        <v>79.1</v>
      </c>
      <c r="L292" s="46" t="n">
        <v>7274.68</v>
      </c>
    </row>
    <row r="293" customFormat="false" ht="15" hidden="false" customHeight="false" outlineLevel="0" collapsed="false">
      <c r="A293" s="37" t="n">
        <v>500920</v>
      </c>
      <c r="B293" s="37" t="s">
        <v>677</v>
      </c>
      <c r="C293" s="37" t="n">
        <v>202506</v>
      </c>
      <c r="D293" s="37" t="s">
        <v>60</v>
      </c>
      <c r="E293" s="37" t="s">
        <v>101</v>
      </c>
      <c r="F293" s="37" t="s">
        <v>194</v>
      </c>
      <c r="G293" s="37" t="s">
        <v>354</v>
      </c>
      <c r="H293" s="37"/>
      <c r="I293" s="37" t="s">
        <v>355</v>
      </c>
      <c r="J293" s="37" t="s">
        <v>678</v>
      </c>
      <c r="K293" s="45" t="n">
        <v>18.2</v>
      </c>
      <c r="L293" s="46" t="n">
        <v>1344.68</v>
      </c>
    </row>
    <row r="294" customFormat="false" ht="15" hidden="false" customHeight="false" outlineLevel="0" collapsed="false">
      <c r="A294" s="37" t="n">
        <v>501099</v>
      </c>
      <c r="B294" s="37" t="s">
        <v>677</v>
      </c>
      <c r="C294" s="37" t="n">
        <v>202506</v>
      </c>
      <c r="D294" s="37" t="s">
        <v>61</v>
      </c>
      <c r="E294" s="37" t="s">
        <v>97</v>
      </c>
      <c r="F294" s="37" t="s">
        <v>194</v>
      </c>
      <c r="G294" s="37" t="s">
        <v>354</v>
      </c>
      <c r="H294" s="37"/>
      <c r="I294" s="37" t="s">
        <v>355</v>
      </c>
      <c r="J294" s="37" t="s">
        <v>678</v>
      </c>
      <c r="K294" s="45" t="n">
        <v>39.5</v>
      </c>
      <c r="L294" s="46" t="n">
        <v>3632.89</v>
      </c>
    </row>
    <row r="295" customFormat="false" ht="15" hidden="false" customHeight="false" outlineLevel="0" collapsed="false">
      <c r="A295" s="37" t="n">
        <v>500863</v>
      </c>
      <c r="B295" s="37" t="s">
        <v>679</v>
      </c>
      <c r="C295" s="37" t="n">
        <v>202506</v>
      </c>
      <c r="D295" s="37" t="s">
        <v>60</v>
      </c>
      <c r="E295" s="37" t="s">
        <v>98</v>
      </c>
      <c r="F295" s="37" t="s">
        <v>196</v>
      </c>
      <c r="G295" s="37" t="s">
        <v>358</v>
      </c>
      <c r="H295" s="37" t="s">
        <v>359</v>
      </c>
      <c r="I295" s="37" t="s">
        <v>360</v>
      </c>
      <c r="J295" s="37" t="s">
        <v>680</v>
      </c>
      <c r="K295" s="45" t="n">
        <v>0</v>
      </c>
      <c r="L295" s="46" t="n">
        <v>4989.41</v>
      </c>
    </row>
    <row r="296" customFormat="false" ht="15" hidden="false" customHeight="false" outlineLevel="0" collapsed="false">
      <c r="A296" s="37" t="n">
        <v>500959</v>
      </c>
      <c r="B296" s="37" t="s">
        <v>679</v>
      </c>
      <c r="C296" s="37" t="n">
        <v>202506</v>
      </c>
      <c r="D296" s="37" t="s">
        <v>60</v>
      </c>
      <c r="E296" s="37" t="s">
        <v>102</v>
      </c>
      <c r="F296" s="37" t="s">
        <v>205</v>
      </c>
      <c r="G296" s="37" t="s">
        <v>358</v>
      </c>
      <c r="H296" s="37" t="s">
        <v>670</v>
      </c>
      <c r="I296" s="37" t="s">
        <v>671</v>
      </c>
      <c r="J296" s="37" t="s">
        <v>681</v>
      </c>
      <c r="K296" s="45" t="n">
        <v>0</v>
      </c>
      <c r="L296" s="46" t="n">
        <v>849.26</v>
      </c>
    </row>
    <row r="297" customFormat="false" ht="15" hidden="false" customHeight="false" outlineLevel="0" collapsed="false">
      <c r="A297" s="37" t="n">
        <v>500302</v>
      </c>
      <c r="B297" s="37" t="s">
        <v>682</v>
      </c>
      <c r="C297" s="37" t="n">
        <v>202506</v>
      </c>
      <c r="D297" s="37" t="s">
        <v>58</v>
      </c>
      <c r="E297" s="37" t="s">
        <v>104</v>
      </c>
      <c r="F297" s="37" t="s">
        <v>201</v>
      </c>
      <c r="G297" s="37" t="s">
        <v>358</v>
      </c>
      <c r="H297" s="37" t="s">
        <v>578</v>
      </c>
      <c r="I297" s="37" t="s">
        <v>579</v>
      </c>
      <c r="J297" s="37" t="s">
        <v>683</v>
      </c>
      <c r="K297" s="45" t="n">
        <v>0</v>
      </c>
      <c r="L297" s="46" t="n">
        <v>135970.33</v>
      </c>
    </row>
    <row r="298" customFormat="false" ht="15" hidden="false" customHeight="false" outlineLevel="0" collapsed="false">
      <c r="A298" s="37" t="n">
        <v>500315</v>
      </c>
      <c r="B298" s="37" t="s">
        <v>682</v>
      </c>
      <c r="C298" s="37" t="n">
        <v>202506</v>
      </c>
      <c r="D298" s="37" t="s">
        <v>58</v>
      </c>
      <c r="E298" s="37" t="s">
        <v>105</v>
      </c>
      <c r="F298" s="37" t="s">
        <v>201</v>
      </c>
      <c r="G298" s="37" t="s">
        <v>358</v>
      </c>
      <c r="H298" s="37" t="s">
        <v>507</v>
      </c>
      <c r="I298" s="37" t="s">
        <v>508</v>
      </c>
      <c r="J298" s="37" t="s">
        <v>683</v>
      </c>
      <c r="K298" s="45" t="n">
        <v>0</v>
      </c>
      <c r="L298" s="46" t="n">
        <v>151514.49</v>
      </c>
    </row>
    <row r="299" customFormat="false" ht="15" hidden="false" customHeight="false" outlineLevel="0" collapsed="false">
      <c r="A299" s="37" t="n">
        <v>500370</v>
      </c>
      <c r="B299" s="37" t="s">
        <v>682</v>
      </c>
      <c r="C299" s="37" t="n">
        <v>202506</v>
      </c>
      <c r="D299" s="37" t="s">
        <v>58</v>
      </c>
      <c r="E299" s="37" t="s">
        <v>107</v>
      </c>
      <c r="F299" s="37" t="s">
        <v>201</v>
      </c>
      <c r="G299" s="37" t="s">
        <v>358</v>
      </c>
      <c r="H299" s="37" t="s">
        <v>684</v>
      </c>
      <c r="I299" s="37" t="s">
        <v>685</v>
      </c>
      <c r="J299" s="37" t="s">
        <v>683</v>
      </c>
      <c r="K299" s="45" t="n">
        <v>0</v>
      </c>
      <c r="L299" s="46" t="n">
        <v>36756.1</v>
      </c>
    </row>
    <row r="300" customFormat="false" ht="15" hidden="false" customHeight="false" outlineLevel="0" collapsed="false">
      <c r="A300" s="37" t="n">
        <v>500414</v>
      </c>
      <c r="B300" s="37" t="s">
        <v>682</v>
      </c>
      <c r="C300" s="37" t="n">
        <v>202506</v>
      </c>
      <c r="D300" s="37" t="s">
        <v>58</v>
      </c>
      <c r="E300" s="37" t="s">
        <v>110</v>
      </c>
      <c r="F300" s="37" t="s">
        <v>201</v>
      </c>
      <c r="G300" s="37" t="s">
        <v>358</v>
      </c>
      <c r="H300" s="37" t="s">
        <v>547</v>
      </c>
      <c r="I300" s="37" t="s">
        <v>548</v>
      </c>
      <c r="J300" s="37" t="s">
        <v>683</v>
      </c>
      <c r="K300" s="45" t="n">
        <v>0</v>
      </c>
      <c r="L300" s="46" t="n">
        <v>116320.29</v>
      </c>
    </row>
    <row r="301" customFormat="false" ht="15" hidden="false" customHeight="false" outlineLevel="0" collapsed="false">
      <c r="A301" s="37" t="n">
        <v>500433</v>
      </c>
      <c r="B301" s="37" t="s">
        <v>682</v>
      </c>
      <c r="C301" s="37" t="n">
        <v>202506</v>
      </c>
      <c r="D301" s="37" t="s">
        <v>58</v>
      </c>
      <c r="E301" s="37" t="s">
        <v>111</v>
      </c>
      <c r="F301" s="37" t="s">
        <v>201</v>
      </c>
      <c r="G301" s="37" t="s">
        <v>358</v>
      </c>
      <c r="H301" s="37" t="s">
        <v>549</v>
      </c>
      <c r="I301" s="37" t="s">
        <v>550</v>
      </c>
      <c r="J301" s="37" t="s">
        <v>683</v>
      </c>
      <c r="K301" s="45" t="n">
        <v>0</v>
      </c>
      <c r="L301" s="46" t="n">
        <v>88883.81</v>
      </c>
    </row>
    <row r="302" customFormat="false" ht="15" hidden="false" customHeight="false" outlineLevel="0" collapsed="false">
      <c r="A302" s="37" t="n">
        <v>500592</v>
      </c>
      <c r="B302" s="37" t="s">
        <v>682</v>
      </c>
      <c r="C302" s="37" t="n">
        <v>202506</v>
      </c>
      <c r="D302" s="37" t="s">
        <v>59</v>
      </c>
      <c r="E302" s="37" t="s">
        <v>100</v>
      </c>
      <c r="F302" s="37" t="s">
        <v>201</v>
      </c>
      <c r="G302" s="37" t="s">
        <v>358</v>
      </c>
      <c r="H302" s="37" t="s">
        <v>581</v>
      </c>
      <c r="I302" s="37" t="s">
        <v>370</v>
      </c>
      <c r="J302" s="37" t="s">
        <v>683</v>
      </c>
      <c r="K302" s="45" t="n">
        <v>0</v>
      </c>
      <c r="L302" s="46" t="n">
        <v>392375.18</v>
      </c>
    </row>
    <row r="303" customFormat="false" ht="15" hidden="false" customHeight="false" outlineLevel="0" collapsed="false">
      <c r="A303" s="37" t="n">
        <v>500861</v>
      </c>
      <c r="B303" s="37" t="s">
        <v>682</v>
      </c>
      <c r="C303" s="37" t="n">
        <v>202506</v>
      </c>
      <c r="D303" s="37" t="s">
        <v>60</v>
      </c>
      <c r="E303" s="37" t="s">
        <v>98</v>
      </c>
      <c r="F303" s="37" t="s">
        <v>196</v>
      </c>
      <c r="G303" s="37" t="s">
        <v>358</v>
      </c>
      <c r="H303" s="37" t="s">
        <v>359</v>
      </c>
      <c r="I303" s="37" t="s">
        <v>360</v>
      </c>
      <c r="J303" s="37" t="s">
        <v>686</v>
      </c>
      <c r="K303" s="45" t="n">
        <v>0</v>
      </c>
      <c r="L303" s="46" t="n">
        <v>1514.08</v>
      </c>
    </row>
    <row r="304" customFormat="false" ht="15" hidden="false" customHeight="false" outlineLevel="0" collapsed="false">
      <c r="A304" s="37" t="n">
        <v>500912</v>
      </c>
      <c r="B304" s="37" t="s">
        <v>682</v>
      </c>
      <c r="C304" s="37" t="n">
        <v>202506</v>
      </c>
      <c r="D304" s="37" t="s">
        <v>60</v>
      </c>
      <c r="E304" s="37" t="s">
        <v>100</v>
      </c>
      <c r="F304" s="37" t="s">
        <v>201</v>
      </c>
      <c r="G304" s="37" t="s">
        <v>358</v>
      </c>
      <c r="H304" s="37" t="s">
        <v>645</v>
      </c>
      <c r="I304" s="37" t="s">
        <v>646</v>
      </c>
      <c r="J304" s="37" t="s">
        <v>683</v>
      </c>
      <c r="K304" s="45" t="n">
        <v>0</v>
      </c>
      <c r="L304" s="46" t="n">
        <v>115200.31</v>
      </c>
    </row>
    <row r="305" customFormat="false" ht="15" hidden="false" customHeight="false" outlineLevel="0" collapsed="false">
      <c r="A305" s="37" t="n">
        <v>501210</v>
      </c>
      <c r="B305" s="37" t="s">
        <v>682</v>
      </c>
      <c r="C305" s="37" t="n">
        <v>202506</v>
      </c>
      <c r="D305" s="37" t="s">
        <v>61</v>
      </c>
      <c r="E305" s="37" t="s">
        <v>100</v>
      </c>
      <c r="F305" s="37" t="s">
        <v>201</v>
      </c>
      <c r="G305" s="37" t="s">
        <v>358</v>
      </c>
      <c r="H305" s="37" t="s">
        <v>687</v>
      </c>
      <c r="I305" s="37" t="s">
        <v>688</v>
      </c>
      <c r="J305" s="37" t="s">
        <v>683</v>
      </c>
      <c r="K305" s="45" t="n">
        <v>0</v>
      </c>
      <c r="L305" s="46" t="n">
        <v>75333.02</v>
      </c>
    </row>
    <row r="306" customFormat="false" ht="15" hidden="false" customHeight="false" outlineLevel="0" collapsed="false">
      <c r="A306" s="37" t="n">
        <v>500296</v>
      </c>
      <c r="B306" s="37" t="s">
        <v>689</v>
      </c>
      <c r="C306" s="37" t="n">
        <v>202506</v>
      </c>
      <c r="D306" s="37" t="s">
        <v>58</v>
      </c>
      <c r="E306" s="37" t="s">
        <v>103</v>
      </c>
      <c r="F306" s="37" t="s">
        <v>205</v>
      </c>
      <c r="G306" s="37" t="s">
        <v>358</v>
      </c>
      <c r="H306" s="37" t="s">
        <v>400</v>
      </c>
      <c r="I306" s="37" t="s">
        <v>401</v>
      </c>
      <c r="J306" s="37" t="s">
        <v>690</v>
      </c>
      <c r="K306" s="45" t="n">
        <v>0</v>
      </c>
      <c r="L306" s="46" t="n">
        <v>27666.89</v>
      </c>
    </row>
    <row r="307" customFormat="false" ht="15" hidden="false" customHeight="false" outlineLevel="0" collapsed="false">
      <c r="A307" s="37" t="n">
        <v>500056</v>
      </c>
      <c r="B307" s="37" t="s">
        <v>691</v>
      </c>
      <c r="C307" s="37" t="n">
        <v>202506</v>
      </c>
      <c r="D307" s="37" t="s">
        <v>58</v>
      </c>
      <c r="E307" s="37" t="s">
        <v>97</v>
      </c>
      <c r="F307" s="37" t="s">
        <v>194</v>
      </c>
      <c r="G307" s="37" t="s">
        <v>354</v>
      </c>
      <c r="H307" s="37"/>
      <c r="I307" s="37" t="s">
        <v>355</v>
      </c>
      <c r="J307" s="37" t="s">
        <v>692</v>
      </c>
      <c r="K307" s="45" t="n">
        <v>85.8</v>
      </c>
      <c r="L307" s="46" t="n">
        <v>7890.92</v>
      </c>
    </row>
    <row r="308" customFormat="false" ht="15" hidden="false" customHeight="false" outlineLevel="0" collapsed="false">
      <c r="A308" s="37" t="n">
        <v>500252</v>
      </c>
      <c r="B308" s="37" t="s">
        <v>691</v>
      </c>
      <c r="C308" s="37" t="n">
        <v>202506</v>
      </c>
      <c r="D308" s="37" t="s">
        <v>58</v>
      </c>
      <c r="E308" s="37" t="s">
        <v>101</v>
      </c>
      <c r="F308" s="37" t="s">
        <v>194</v>
      </c>
      <c r="G308" s="37" t="s">
        <v>354</v>
      </c>
      <c r="H308" s="37"/>
      <c r="I308" s="37" t="s">
        <v>355</v>
      </c>
      <c r="J308" s="37" t="s">
        <v>692</v>
      </c>
      <c r="K308" s="45" t="n">
        <v>8</v>
      </c>
      <c r="L308" s="46" t="n">
        <v>590.22</v>
      </c>
    </row>
    <row r="309" customFormat="false" ht="15" hidden="false" customHeight="false" outlineLevel="0" collapsed="false">
      <c r="A309" s="37" t="n">
        <v>500330</v>
      </c>
      <c r="B309" s="37" t="s">
        <v>691</v>
      </c>
      <c r="C309" s="37" t="n">
        <v>202506</v>
      </c>
      <c r="D309" s="37" t="s">
        <v>58</v>
      </c>
      <c r="E309" s="37" t="s">
        <v>106</v>
      </c>
      <c r="F309" s="37" t="s">
        <v>194</v>
      </c>
      <c r="G309" s="37" t="s">
        <v>354</v>
      </c>
      <c r="H309" s="37"/>
      <c r="I309" s="37" t="s">
        <v>355</v>
      </c>
      <c r="J309" s="37" t="s">
        <v>692</v>
      </c>
      <c r="K309" s="45" t="n">
        <v>154</v>
      </c>
      <c r="L309" s="46" t="n">
        <v>10931.89</v>
      </c>
    </row>
    <row r="310" customFormat="false" ht="15" hidden="false" customHeight="false" outlineLevel="0" collapsed="false">
      <c r="A310" s="37" t="n">
        <v>500464</v>
      </c>
      <c r="B310" s="37" t="s">
        <v>691</v>
      </c>
      <c r="C310" s="37" t="n">
        <v>202506</v>
      </c>
      <c r="D310" s="37" t="s">
        <v>59</v>
      </c>
      <c r="E310" s="37" t="s">
        <v>97</v>
      </c>
      <c r="F310" s="37" t="s">
        <v>194</v>
      </c>
      <c r="G310" s="37" t="s">
        <v>354</v>
      </c>
      <c r="H310" s="37"/>
      <c r="I310" s="37" t="s">
        <v>355</v>
      </c>
      <c r="J310" s="37" t="s">
        <v>692</v>
      </c>
      <c r="K310" s="45" t="n">
        <v>95.8</v>
      </c>
      <c r="L310" s="46" t="n">
        <v>8816.02</v>
      </c>
    </row>
    <row r="311" customFormat="false" ht="15" hidden="false" customHeight="false" outlineLevel="0" collapsed="false">
      <c r="A311" s="37" t="n">
        <v>500608</v>
      </c>
      <c r="B311" s="37" t="s">
        <v>691</v>
      </c>
      <c r="C311" s="37" t="n">
        <v>202506</v>
      </c>
      <c r="D311" s="37" t="s">
        <v>59</v>
      </c>
      <c r="E311" s="37" t="s">
        <v>101</v>
      </c>
      <c r="F311" s="37" t="s">
        <v>194</v>
      </c>
      <c r="G311" s="37" t="s">
        <v>354</v>
      </c>
      <c r="H311" s="37"/>
      <c r="I311" s="37" t="s">
        <v>355</v>
      </c>
      <c r="J311" s="37" t="s">
        <v>692</v>
      </c>
      <c r="K311" s="45" t="n">
        <v>303.5</v>
      </c>
      <c r="L311" s="46" t="n">
        <v>22458.51</v>
      </c>
    </row>
    <row r="312" customFormat="false" ht="15" hidden="false" customHeight="false" outlineLevel="0" collapsed="false">
      <c r="A312" s="37" t="n">
        <v>500639</v>
      </c>
      <c r="B312" s="37" t="s">
        <v>691</v>
      </c>
      <c r="C312" s="37" t="n">
        <v>202506</v>
      </c>
      <c r="D312" s="37" t="s">
        <v>59</v>
      </c>
      <c r="E312" s="37" t="s">
        <v>102</v>
      </c>
      <c r="F312" s="37" t="s">
        <v>205</v>
      </c>
      <c r="G312" s="37" t="s">
        <v>358</v>
      </c>
      <c r="H312" s="37" t="s">
        <v>591</v>
      </c>
      <c r="I312" s="37" t="s">
        <v>592</v>
      </c>
      <c r="J312" s="37" t="s">
        <v>693</v>
      </c>
      <c r="K312" s="45" t="n">
        <v>0</v>
      </c>
      <c r="L312" s="46" t="n">
        <v>44920.43</v>
      </c>
    </row>
    <row r="313" customFormat="false" ht="15" hidden="false" customHeight="false" outlineLevel="0" collapsed="false">
      <c r="A313" s="37" t="n">
        <v>500793</v>
      </c>
      <c r="B313" s="37" t="s">
        <v>691</v>
      </c>
      <c r="C313" s="37" t="n">
        <v>202506</v>
      </c>
      <c r="D313" s="37" t="s">
        <v>60</v>
      </c>
      <c r="E313" s="37" t="s">
        <v>97</v>
      </c>
      <c r="F313" s="37" t="s">
        <v>194</v>
      </c>
      <c r="G313" s="37" t="s">
        <v>354</v>
      </c>
      <c r="H313" s="37"/>
      <c r="I313" s="37" t="s">
        <v>355</v>
      </c>
      <c r="J313" s="37" t="s">
        <v>692</v>
      </c>
      <c r="K313" s="45" t="n">
        <v>35.5</v>
      </c>
      <c r="L313" s="46" t="n">
        <v>3268.32</v>
      </c>
    </row>
    <row r="314" customFormat="false" ht="15" hidden="false" customHeight="false" outlineLevel="0" collapsed="false">
      <c r="A314" s="37" t="n">
        <v>500921</v>
      </c>
      <c r="B314" s="37" t="s">
        <v>691</v>
      </c>
      <c r="C314" s="37" t="n">
        <v>202506</v>
      </c>
      <c r="D314" s="37" t="s">
        <v>60</v>
      </c>
      <c r="E314" s="37" t="s">
        <v>101</v>
      </c>
      <c r="F314" s="37" t="s">
        <v>194</v>
      </c>
      <c r="G314" s="37" t="s">
        <v>354</v>
      </c>
      <c r="H314" s="37"/>
      <c r="I314" s="37" t="s">
        <v>355</v>
      </c>
      <c r="J314" s="37" t="s">
        <v>692</v>
      </c>
      <c r="K314" s="45" t="n">
        <v>18.5</v>
      </c>
      <c r="L314" s="46" t="n">
        <v>1372.56</v>
      </c>
    </row>
    <row r="315" customFormat="false" ht="15" hidden="false" customHeight="false" outlineLevel="0" collapsed="false">
      <c r="A315" s="37" t="n">
        <v>501100</v>
      </c>
      <c r="B315" s="37" t="s">
        <v>691</v>
      </c>
      <c r="C315" s="37" t="n">
        <v>202506</v>
      </c>
      <c r="D315" s="37" t="s">
        <v>61</v>
      </c>
      <c r="E315" s="37" t="s">
        <v>97</v>
      </c>
      <c r="F315" s="37" t="s">
        <v>194</v>
      </c>
      <c r="G315" s="37" t="s">
        <v>354</v>
      </c>
      <c r="H315" s="37"/>
      <c r="I315" s="37" t="s">
        <v>355</v>
      </c>
      <c r="J315" s="37" t="s">
        <v>692</v>
      </c>
      <c r="K315" s="45" t="n">
        <v>19.4</v>
      </c>
      <c r="L315" s="46" t="n">
        <v>1784.91</v>
      </c>
    </row>
    <row r="316" customFormat="false" ht="15" hidden="false" customHeight="false" outlineLevel="0" collapsed="false">
      <c r="A316" s="37" t="n">
        <v>500186</v>
      </c>
      <c r="B316" s="37" t="s">
        <v>694</v>
      </c>
      <c r="C316" s="37" t="n">
        <v>202506</v>
      </c>
      <c r="D316" s="37" t="s">
        <v>58</v>
      </c>
      <c r="E316" s="37" t="s">
        <v>99</v>
      </c>
      <c r="F316" s="37" t="s">
        <v>198</v>
      </c>
      <c r="G316" s="37" t="s">
        <v>375</v>
      </c>
      <c r="H316" s="37"/>
      <c r="I316" s="37" t="s">
        <v>376</v>
      </c>
      <c r="J316" s="37" t="s">
        <v>377</v>
      </c>
      <c r="K316" s="45" t="n">
        <v>0</v>
      </c>
      <c r="L316" s="46" t="n">
        <v>33021.59</v>
      </c>
    </row>
    <row r="317" customFormat="false" ht="15" hidden="false" customHeight="false" outlineLevel="0" collapsed="false">
      <c r="A317" s="37" t="n">
        <v>500573</v>
      </c>
      <c r="B317" s="37" t="s">
        <v>694</v>
      </c>
      <c r="C317" s="37" t="n">
        <v>202506</v>
      </c>
      <c r="D317" s="37" t="s">
        <v>59</v>
      </c>
      <c r="E317" s="37" t="s">
        <v>99</v>
      </c>
      <c r="F317" s="37" t="s">
        <v>198</v>
      </c>
      <c r="G317" s="37" t="s">
        <v>375</v>
      </c>
      <c r="H317" s="37"/>
      <c r="I317" s="37" t="s">
        <v>376</v>
      </c>
      <c r="J317" s="37" t="s">
        <v>377</v>
      </c>
      <c r="K317" s="45" t="n">
        <v>0</v>
      </c>
      <c r="L317" s="46" t="n">
        <v>29090.86</v>
      </c>
    </row>
    <row r="318" customFormat="false" ht="15" hidden="false" customHeight="false" outlineLevel="0" collapsed="false">
      <c r="A318" s="37" t="n">
        <v>500895</v>
      </c>
      <c r="B318" s="37" t="s">
        <v>694</v>
      </c>
      <c r="C318" s="37" t="n">
        <v>202506</v>
      </c>
      <c r="D318" s="37" t="s">
        <v>60</v>
      </c>
      <c r="E318" s="37" t="s">
        <v>99</v>
      </c>
      <c r="F318" s="37" t="s">
        <v>198</v>
      </c>
      <c r="G318" s="37" t="s">
        <v>375</v>
      </c>
      <c r="H318" s="37"/>
      <c r="I318" s="37" t="s">
        <v>376</v>
      </c>
      <c r="J318" s="37" t="s">
        <v>377</v>
      </c>
      <c r="K318" s="45" t="n">
        <v>0</v>
      </c>
      <c r="L318" s="46" t="n">
        <v>7420.41</v>
      </c>
    </row>
    <row r="319" customFormat="false" ht="15" hidden="false" customHeight="false" outlineLevel="0" collapsed="false">
      <c r="A319" s="37" t="n">
        <v>501195</v>
      </c>
      <c r="B319" s="37" t="s">
        <v>694</v>
      </c>
      <c r="C319" s="37" t="n">
        <v>202506</v>
      </c>
      <c r="D319" s="37" t="s">
        <v>61</v>
      </c>
      <c r="E319" s="37" t="s">
        <v>99</v>
      </c>
      <c r="F319" s="37" t="s">
        <v>198</v>
      </c>
      <c r="G319" s="37" t="s">
        <v>375</v>
      </c>
      <c r="H319" s="37"/>
      <c r="I319" s="37" t="s">
        <v>376</v>
      </c>
      <c r="J319" s="37" t="s">
        <v>377</v>
      </c>
      <c r="K319" s="45" t="n">
        <v>0</v>
      </c>
      <c r="L319" s="46" t="n">
        <v>3920.06</v>
      </c>
    </row>
    <row r="320" customFormat="false" ht="15" hidden="false" customHeight="false" outlineLevel="0" collapsed="false">
      <c r="A320" s="37" t="n">
        <v>500145</v>
      </c>
      <c r="B320" s="37" t="s">
        <v>695</v>
      </c>
      <c r="C320" s="37" t="n">
        <v>202507</v>
      </c>
      <c r="D320" s="37" t="s">
        <v>58</v>
      </c>
      <c r="E320" s="37" t="s">
        <v>98</v>
      </c>
      <c r="F320" s="37" t="s">
        <v>196</v>
      </c>
      <c r="G320" s="37" t="s">
        <v>358</v>
      </c>
      <c r="H320" s="37" t="s">
        <v>359</v>
      </c>
      <c r="I320" s="37" t="s">
        <v>360</v>
      </c>
      <c r="J320" s="37" t="s">
        <v>696</v>
      </c>
      <c r="K320" s="45" t="n">
        <v>0</v>
      </c>
      <c r="L320" s="46" t="n">
        <v>11532.82</v>
      </c>
    </row>
    <row r="321" customFormat="false" ht="15" hidden="false" customHeight="false" outlineLevel="0" collapsed="false">
      <c r="A321" s="37" t="n">
        <v>500057</v>
      </c>
      <c r="B321" s="37" t="s">
        <v>697</v>
      </c>
      <c r="C321" s="37" t="n">
        <v>202507</v>
      </c>
      <c r="D321" s="37" t="s">
        <v>58</v>
      </c>
      <c r="E321" s="37" t="s">
        <v>97</v>
      </c>
      <c r="F321" s="37" t="s">
        <v>194</v>
      </c>
      <c r="G321" s="37" t="s">
        <v>354</v>
      </c>
      <c r="H321" s="37"/>
      <c r="I321" s="37" t="s">
        <v>355</v>
      </c>
      <c r="J321" s="37" t="s">
        <v>698</v>
      </c>
      <c r="K321" s="45" t="n">
        <v>184.1</v>
      </c>
      <c r="L321" s="46" t="n">
        <v>16941.46</v>
      </c>
    </row>
    <row r="322" customFormat="false" ht="15" hidden="false" customHeight="false" outlineLevel="0" collapsed="false">
      <c r="A322" s="37" t="n">
        <v>500331</v>
      </c>
      <c r="B322" s="37" t="s">
        <v>697</v>
      </c>
      <c r="C322" s="37" t="n">
        <v>202507</v>
      </c>
      <c r="D322" s="37" t="s">
        <v>58</v>
      </c>
      <c r="E322" s="37" t="s">
        <v>106</v>
      </c>
      <c r="F322" s="37" t="s">
        <v>194</v>
      </c>
      <c r="G322" s="37" t="s">
        <v>354</v>
      </c>
      <c r="H322" s="37"/>
      <c r="I322" s="37" t="s">
        <v>355</v>
      </c>
      <c r="J322" s="37" t="s">
        <v>698</v>
      </c>
      <c r="K322" s="45" t="n">
        <v>201</v>
      </c>
      <c r="L322" s="46" t="n">
        <v>14272.08</v>
      </c>
    </row>
    <row r="323" customFormat="false" ht="15" hidden="false" customHeight="false" outlineLevel="0" collapsed="false">
      <c r="A323" s="37" t="n">
        <v>500465</v>
      </c>
      <c r="B323" s="37" t="s">
        <v>697</v>
      </c>
      <c r="C323" s="37" t="n">
        <v>202507</v>
      </c>
      <c r="D323" s="37" t="s">
        <v>59</v>
      </c>
      <c r="E323" s="37" t="s">
        <v>97</v>
      </c>
      <c r="F323" s="37" t="s">
        <v>194</v>
      </c>
      <c r="G323" s="37" t="s">
        <v>354</v>
      </c>
      <c r="H323" s="37"/>
      <c r="I323" s="37" t="s">
        <v>355</v>
      </c>
      <c r="J323" s="37" t="s">
        <v>698</v>
      </c>
      <c r="K323" s="45" t="n">
        <v>225.7</v>
      </c>
      <c r="L323" s="46" t="n">
        <v>20768.57</v>
      </c>
    </row>
    <row r="324" customFormat="false" ht="15" hidden="false" customHeight="false" outlineLevel="0" collapsed="false">
      <c r="A324" s="37" t="n">
        <v>500609</v>
      </c>
      <c r="B324" s="37" t="s">
        <v>697</v>
      </c>
      <c r="C324" s="37" t="n">
        <v>202507</v>
      </c>
      <c r="D324" s="37" t="s">
        <v>59</v>
      </c>
      <c r="E324" s="37" t="s">
        <v>101</v>
      </c>
      <c r="F324" s="37" t="s">
        <v>194</v>
      </c>
      <c r="G324" s="37" t="s">
        <v>354</v>
      </c>
      <c r="H324" s="37"/>
      <c r="I324" s="37" t="s">
        <v>355</v>
      </c>
      <c r="J324" s="37" t="s">
        <v>698</v>
      </c>
      <c r="K324" s="45" t="n">
        <v>1012.9</v>
      </c>
      <c r="L324" s="46" t="n">
        <v>74956.04</v>
      </c>
    </row>
    <row r="325" customFormat="false" ht="15" hidden="false" customHeight="false" outlineLevel="0" collapsed="false">
      <c r="A325" s="37" t="n">
        <v>500794</v>
      </c>
      <c r="B325" s="37" t="s">
        <v>697</v>
      </c>
      <c r="C325" s="37" t="n">
        <v>202507</v>
      </c>
      <c r="D325" s="37" t="s">
        <v>60</v>
      </c>
      <c r="E325" s="37" t="s">
        <v>97</v>
      </c>
      <c r="F325" s="37" t="s">
        <v>194</v>
      </c>
      <c r="G325" s="37" t="s">
        <v>354</v>
      </c>
      <c r="H325" s="37"/>
      <c r="I325" s="37" t="s">
        <v>355</v>
      </c>
      <c r="J325" s="37" t="s">
        <v>698</v>
      </c>
      <c r="K325" s="45" t="n">
        <v>123</v>
      </c>
      <c r="L325" s="46" t="n">
        <v>11313.33</v>
      </c>
    </row>
    <row r="326" customFormat="false" ht="15" hidden="false" customHeight="false" outlineLevel="0" collapsed="false">
      <c r="A326" s="37" t="n">
        <v>500922</v>
      </c>
      <c r="B326" s="37" t="s">
        <v>697</v>
      </c>
      <c r="C326" s="37" t="n">
        <v>202507</v>
      </c>
      <c r="D326" s="37" t="s">
        <v>60</v>
      </c>
      <c r="E326" s="37" t="s">
        <v>101</v>
      </c>
      <c r="F326" s="37" t="s">
        <v>194</v>
      </c>
      <c r="G326" s="37" t="s">
        <v>354</v>
      </c>
      <c r="H326" s="37"/>
      <c r="I326" s="37" t="s">
        <v>355</v>
      </c>
      <c r="J326" s="37" t="s">
        <v>698</v>
      </c>
      <c r="K326" s="45" t="n">
        <v>233.7</v>
      </c>
      <c r="L326" s="46" t="n">
        <v>17291.69</v>
      </c>
    </row>
    <row r="327" customFormat="false" ht="15" hidden="false" customHeight="false" outlineLevel="0" collapsed="false">
      <c r="A327" s="37" t="n">
        <v>501101</v>
      </c>
      <c r="B327" s="37" t="s">
        <v>697</v>
      </c>
      <c r="C327" s="37" t="n">
        <v>202507</v>
      </c>
      <c r="D327" s="37" t="s">
        <v>61</v>
      </c>
      <c r="E327" s="37" t="s">
        <v>97</v>
      </c>
      <c r="F327" s="37" t="s">
        <v>194</v>
      </c>
      <c r="G327" s="37" t="s">
        <v>354</v>
      </c>
      <c r="H327" s="37"/>
      <c r="I327" s="37" t="s">
        <v>355</v>
      </c>
      <c r="J327" s="37" t="s">
        <v>698</v>
      </c>
      <c r="K327" s="45" t="n">
        <v>83.9</v>
      </c>
      <c r="L327" s="46" t="n">
        <v>7714.35</v>
      </c>
    </row>
    <row r="328" customFormat="false" ht="15" hidden="false" customHeight="false" outlineLevel="0" collapsed="false">
      <c r="A328" s="37" t="n">
        <v>501215</v>
      </c>
      <c r="B328" s="37" t="s">
        <v>697</v>
      </c>
      <c r="C328" s="37" t="n">
        <v>202507</v>
      </c>
      <c r="D328" s="37" t="s">
        <v>61</v>
      </c>
      <c r="E328" s="37" t="s">
        <v>101</v>
      </c>
      <c r="F328" s="37" t="s">
        <v>194</v>
      </c>
      <c r="G328" s="37" t="s">
        <v>354</v>
      </c>
      <c r="H328" s="37"/>
      <c r="I328" s="37" t="s">
        <v>355</v>
      </c>
      <c r="J328" s="37" t="s">
        <v>698</v>
      </c>
      <c r="K328" s="45" t="n">
        <v>46.9</v>
      </c>
      <c r="L328" s="46" t="n">
        <v>3472.45</v>
      </c>
    </row>
    <row r="329" customFormat="false" ht="15" hidden="false" customHeight="false" outlineLevel="0" collapsed="false">
      <c r="A329" s="37" t="n">
        <v>500864</v>
      </c>
      <c r="B329" s="37" t="s">
        <v>699</v>
      </c>
      <c r="C329" s="37" t="n">
        <v>202507</v>
      </c>
      <c r="D329" s="37" t="s">
        <v>60</v>
      </c>
      <c r="E329" s="37" t="s">
        <v>98</v>
      </c>
      <c r="F329" s="37" t="s">
        <v>196</v>
      </c>
      <c r="G329" s="37" t="s">
        <v>358</v>
      </c>
      <c r="H329" s="37" t="s">
        <v>359</v>
      </c>
      <c r="I329" s="37" t="s">
        <v>360</v>
      </c>
      <c r="J329" s="37" t="s">
        <v>700</v>
      </c>
      <c r="K329" s="45" t="n">
        <v>0</v>
      </c>
      <c r="L329" s="46" t="n">
        <v>10928.32</v>
      </c>
    </row>
    <row r="330" customFormat="false" ht="15" hidden="false" customHeight="false" outlineLevel="0" collapsed="false">
      <c r="A330" s="37" t="n">
        <v>500540</v>
      </c>
      <c r="B330" s="37" t="s">
        <v>701</v>
      </c>
      <c r="C330" s="37" t="n">
        <v>202507</v>
      </c>
      <c r="D330" s="37" t="s">
        <v>59</v>
      </c>
      <c r="E330" s="37" t="s">
        <v>98</v>
      </c>
      <c r="F330" s="37" t="s">
        <v>196</v>
      </c>
      <c r="G330" s="37" t="s">
        <v>358</v>
      </c>
      <c r="H330" s="37" t="s">
        <v>359</v>
      </c>
      <c r="I330" s="37" t="s">
        <v>360</v>
      </c>
      <c r="J330" s="37" t="s">
        <v>702</v>
      </c>
      <c r="K330" s="45" t="n">
        <v>0</v>
      </c>
      <c r="L330" s="46" t="n">
        <v>12791.73</v>
      </c>
    </row>
    <row r="331" customFormat="false" ht="15" hidden="false" customHeight="false" outlineLevel="0" collapsed="false">
      <c r="A331" s="37" t="n">
        <v>501167</v>
      </c>
      <c r="B331" s="37" t="s">
        <v>703</v>
      </c>
      <c r="C331" s="37" t="n">
        <v>202507</v>
      </c>
      <c r="D331" s="37" t="s">
        <v>61</v>
      </c>
      <c r="E331" s="37" t="s">
        <v>98</v>
      </c>
      <c r="F331" s="37" t="s">
        <v>196</v>
      </c>
      <c r="G331" s="37" t="s">
        <v>358</v>
      </c>
      <c r="H331" s="37" t="s">
        <v>359</v>
      </c>
      <c r="I331" s="37" t="s">
        <v>360</v>
      </c>
      <c r="J331" s="37" t="s">
        <v>704</v>
      </c>
      <c r="K331" s="45" t="n">
        <v>0</v>
      </c>
      <c r="L331" s="46" t="n">
        <v>5424.67</v>
      </c>
    </row>
    <row r="332" customFormat="false" ht="15" hidden="false" customHeight="false" outlineLevel="0" collapsed="false">
      <c r="A332" s="37" t="n">
        <v>500058</v>
      </c>
      <c r="B332" s="37" t="s">
        <v>705</v>
      </c>
      <c r="C332" s="37" t="n">
        <v>202507</v>
      </c>
      <c r="D332" s="37" t="s">
        <v>58</v>
      </c>
      <c r="E332" s="37" t="s">
        <v>97</v>
      </c>
      <c r="F332" s="37" t="s">
        <v>194</v>
      </c>
      <c r="G332" s="37" t="s">
        <v>354</v>
      </c>
      <c r="H332" s="37"/>
      <c r="I332" s="37" t="s">
        <v>355</v>
      </c>
      <c r="J332" s="37" t="s">
        <v>706</v>
      </c>
      <c r="K332" s="45" t="n">
        <v>438.5</v>
      </c>
      <c r="L332" s="46" t="n">
        <v>40340.16</v>
      </c>
    </row>
    <row r="333" customFormat="false" ht="15" hidden="false" customHeight="false" outlineLevel="0" collapsed="false">
      <c r="A333" s="37" t="n">
        <v>500332</v>
      </c>
      <c r="B333" s="37" t="s">
        <v>705</v>
      </c>
      <c r="C333" s="37" t="n">
        <v>202507</v>
      </c>
      <c r="D333" s="37" t="s">
        <v>58</v>
      </c>
      <c r="E333" s="37" t="s">
        <v>106</v>
      </c>
      <c r="F333" s="37" t="s">
        <v>194</v>
      </c>
      <c r="G333" s="37" t="s">
        <v>354</v>
      </c>
      <c r="H333" s="37"/>
      <c r="I333" s="37" t="s">
        <v>355</v>
      </c>
      <c r="J333" s="37" t="s">
        <v>706</v>
      </c>
      <c r="K333" s="45" t="n">
        <v>183.5</v>
      </c>
      <c r="L333" s="46" t="n">
        <v>13026.69</v>
      </c>
    </row>
    <row r="334" customFormat="false" ht="15" hidden="false" customHeight="false" outlineLevel="0" collapsed="false">
      <c r="A334" s="37" t="n">
        <v>500466</v>
      </c>
      <c r="B334" s="37" t="s">
        <v>705</v>
      </c>
      <c r="C334" s="37" t="n">
        <v>202507</v>
      </c>
      <c r="D334" s="37" t="s">
        <v>59</v>
      </c>
      <c r="E334" s="37" t="s">
        <v>97</v>
      </c>
      <c r="F334" s="37" t="s">
        <v>194</v>
      </c>
      <c r="G334" s="37" t="s">
        <v>354</v>
      </c>
      <c r="H334" s="37"/>
      <c r="I334" s="37" t="s">
        <v>355</v>
      </c>
      <c r="J334" s="37" t="s">
        <v>706</v>
      </c>
      <c r="K334" s="45" t="n">
        <v>152.1</v>
      </c>
      <c r="L334" s="46" t="n">
        <v>13991.05</v>
      </c>
    </row>
    <row r="335" customFormat="false" ht="15" hidden="false" customHeight="false" outlineLevel="0" collapsed="false">
      <c r="A335" s="37" t="n">
        <v>500610</v>
      </c>
      <c r="B335" s="37" t="s">
        <v>705</v>
      </c>
      <c r="C335" s="37" t="n">
        <v>202507</v>
      </c>
      <c r="D335" s="37" t="s">
        <v>59</v>
      </c>
      <c r="E335" s="37" t="s">
        <v>101</v>
      </c>
      <c r="F335" s="37" t="s">
        <v>194</v>
      </c>
      <c r="G335" s="37" t="s">
        <v>354</v>
      </c>
      <c r="H335" s="37"/>
      <c r="I335" s="37" t="s">
        <v>355</v>
      </c>
      <c r="J335" s="37" t="s">
        <v>706</v>
      </c>
      <c r="K335" s="45" t="n">
        <v>1014.4</v>
      </c>
      <c r="L335" s="46" t="n">
        <v>75064.53</v>
      </c>
    </row>
    <row r="336" customFormat="false" ht="15" hidden="false" customHeight="false" outlineLevel="0" collapsed="false">
      <c r="A336" s="37" t="n">
        <v>500795</v>
      </c>
      <c r="B336" s="37" t="s">
        <v>705</v>
      </c>
      <c r="C336" s="37" t="n">
        <v>202507</v>
      </c>
      <c r="D336" s="37" t="s">
        <v>60</v>
      </c>
      <c r="E336" s="37" t="s">
        <v>97</v>
      </c>
      <c r="F336" s="37" t="s">
        <v>194</v>
      </c>
      <c r="G336" s="37" t="s">
        <v>354</v>
      </c>
      <c r="H336" s="37"/>
      <c r="I336" s="37" t="s">
        <v>355</v>
      </c>
      <c r="J336" s="37" t="s">
        <v>706</v>
      </c>
      <c r="K336" s="45" t="n">
        <v>49.8</v>
      </c>
      <c r="L336" s="46" t="n">
        <v>4581.53</v>
      </c>
    </row>
    <row r="337" customFormat="false" ht="15" hidden="false" customHeight="false" outlineLevel="0" collapsed="false">
      <c r="A337" s="37" t="n">
        <v>500923</v>
      </c>
      <c r="B337" s="37" t="s">
        <v>705</v>
      </c>
      <c r="C337" s="37" t="n">
        <v>202507</v>
      </c>
      <c r="D337" s="37" t="s">
        <v>60</v>
      </c>
      <c r="E337" s="37" t="s">
        <v>101</v>
      </c>
      <c r="F337" s="37" t="s">
        <v>194</v>
      </c>
      <c r="G337" s="37" t="s">
        <v>354</v>
      </c>
      <c r="H337" s="37"/>
      <c r="I337" s="37" t="s">
        <v>355</v>
      </c>
      <c r="J337" s="37" t="s">
        <v>706</v>
      </c>
      <c r="K337" s="45" t="n">
        <v>103.6</v>
      </c>
      <c r="L337" s="46" t="n">
        <v>7663.79</v>
      </c>
    </row>
    <row r="338" customFormat="false" ht="15" hidden="false" customHeight="false" outlineLevel="0" collapsed="false">
      <c r="A338" s="37" t="n">
        <v>501102</v>
      </c>
      <c r="B338" s="37" t="s">
        <v>705</v>
      </c>
      <c r="C338" s="37" t="n">
        <v>202507</v>
      </c>
      <c r="D338" s="37" t="s">
        <v>61</v>
      </c>
      <c r="E338" s="37" t="s">
        <v>97</v>
      </c>
      <c r="F338" s="37" t="s">
        <v>194</v>
      </c>
      <c r="G338" s="37" t="s">
        <v>354</v>
      </c>
      <c r="H338" s="37"/>
      <c r="I338" s="37" t="s">
        <v>355</v>
      </c>
      <c r="J338" s="37" t="s">
        <v>706</v>
      </c>
      <c r="K338" s="45" t="n">
        <v>42.4</v>
      </c>
      <c r="L338" s="46" t="n">
        <v>3898.06</v>
      </c>
    </row>
    <row r="339" customFormat="false" ht="15" hidden="false" customHeight="false" outlineLevel="0" collapsed="false">
      <c r="A339" s="37" t="n">
        <v>501216</v>
      </c>
      <c r="B339" s="37" t="s">
        <v>705</v>
      </c>
      <c r="C339" s="37" t="n">
        <v>202507</v>
      </c>
      <c r="D339" s="37" t="s">
        <v>61</v>
      </c>
      <c r="E339" s="37" t="s">
        <v>101</v>
      </c>
      <c r="F339" s="37" t="s">
        <v>194</v>
      </c>
      <c r="G339" s="37" t="s">
        <v>354</v>
      </c>
      <c r="H339" s="37"/>
      <c r="I339" s="37" t="s">
        <v>355</v>
      </c>
      <c r="J339" s="37" t="s">
        <v>706</v>
      </c>
      <c r="K339" s="45" t="n">
        <v>62.1</v>
      </c>
      <c r="L339" s="46" t="n">
        <v>4595.09</v>
      </c>
    </row>
    <row r="340" customFormat="false" ht="15" hidden="false" customHeight="false" outlineLevel="0" collapsed="false">
      <c r="A340" s="37" t="n">
        <v>500144</v>
      </c>
      <c r="B340" s="37" t="s">
        <v>707</v>
      </c>
      <c r="C340" s="37" t="n">
        <v>202507</v>
      </c>
      <c r="D340" s="37" t="s">
        <v>58</v>
      </c>
      <c r="E340" s="37" t="s">
        <v>98</v>
      </c>
      <c r="F340" s="37" t="s">
        <v>196</v>
      </c>
      <c r="G340" s="37" t="s">
        <v>358</v>
      </c>
      <c r="H340" s="37" t="s">
        <v>359</v>
      </c>
      <c r="I340" s="37" t="s">
        <v>360</v>
      </c>
      <c r="J340" s="37" t="s">
        <v>708</v>
      </c>
      <c r="K340" s="45" t="n">
        <v>0</v>
      </c>
      <c r="L340" s="46" t="n">
        <v>2370.97</v>
      </c>
    </row>
    <row r="341" customFormat="false" ht="15" hidden="false" customHeight="false" outlineLevel="0" collapsed="false">
      <c r="A341" s="37" t="n">
        <v>500641</v>
      </c>
      <c r="B341" s="37" t="s">
        <v>707</v>
      </c>
      <c r="C341" s="37" t="n">
        <v>202507</v>
      </c>
      <c r="D341" s="37" t="s">
        <v>59</v>
      </c>
      <c r="E341" s="37" t="s">
        <v>102</v>
      </c>
      <c r="F341" s="37" t="s">
        <v>205</v>
      </c>
      <c r="G341" s="37" t="s">
        <v>358</v>
      </c>
      <c r="H341" s="37" t="s">
        <v>591</v>
      </c>
      <c r="I341" s="37" t="s">
        <v>592</v>
      </c>
      <c r="J341" s="37" t="s">
        <v>709</v>
      </c>
      <c r="K341" s="45" t="n">
        <v>0</v>
      </c>
      <c r="L341" s="46" t="n">
        <v>100535.31</v>
      </c>
    </row>
    <row r="342" customFormat="false" ht="15" hidden="false" customHeight="false" outlineLevel="0" collapsed="false">
      <c r="A342" s="37" t="n">
        <v>501260</v>
      </c>
      <c r="B342" s="37" t="s">
        <v>710</v>
      </c>
      <c r="C342" s="37" t="n">
        <v>202507</v>
      </c>
      <c r="D342" s="37" t="s">
        <v>61</v>
      </c>
      <c r="E342" s="37" t="s">
        <v>103</v>
      </c>
      <c r="F342" s="37" t="s">
        <v>205</v>
      </c>
      <c r="G342" s="37" t="s">
        <v>358</v>
      </c>
      <c r="H342" s="37" t="s">
        <v>711</v>
      </c>
      <c r="I342" s="37" t="s">
        <v>401</v>
      </c>
      <c r="J342" s="37" t="s">
        <v>712</v>
      </c>
      <c r="K342" s="45" t="n">
        <v>0</v>
      </c>
      <c r="L342" s="46" t="n">
        <v>3751.55</v>
      </c>
    </row>
    <row r="343" customFormat="false" ht="15" hidden="false" customHeight="false" outlineLevel="0" collapsed="false">
      <c r="A343" s="37" t="n">
        <v>501246</v>
      </c>
      <c r="B343" s="37" t="s">
        <v>713</v>
      </c>
      <c r="C343" s="37" t="n">
        <v>202507</v>
      </c>
      <c r="D343" s="37" t="s">
        <v>61</v>
      </c>
      <c r="E343" s="37" t="s">
        <v>102</v>
      </c>
      <c r="F343" s="37" t="s">
        <v>205</v>
      </c>
      <c r="G343" s="37" t="s">
        <v>358</v>
      </c>
      <c r="H343" s="37" t="s">
        <v>714</v>
      </c>
      <c r="I343" s="37" t="s">
        <v>715</v>
      </c>
      <c r="J343" s="37" t="s">
        <v>716</v>
      </c>
      <c r="K343" s="45" t="n">
        <v>0</v>
      </c>
      <c r="L343" s="46" t="n">
        <v>5883.47</v>
      </c>
    </row>
    <row r="344" customFormat="false" ht="15" hidden="false" customHeight="false" outlineLevel="0" collapsed="false">
      <c r="A344" s="37" t="n">
        <v>501247</v>
      </c>
      <c r="B344" s="37" t="s">
        <v>717</v>
      </c>
      <c r="C344" s="37" t="n">
        <v>202507</v>
      </c>
      <c r="D344" s="37" t="s">
        <v>61</v>
      </c>
      <c r="E344" s="37" t="s">
        <v>102</v>
      </c>
      <c r="F344" s="37" t="s">
        <v>205</v>
      </c>
      <c r="G344" s="37" t="s">
        <v>358</v>
      </c>
      <c r="H344" s="37" t="s">
        <v>714</v>
      </c>
      <c r="I344" s="37" t="s">
        <v>715</v>
      </c>
      <c r="J344" s="37" t="s">
        <v>718</v>
      </c>
      <c r="K344" s="45" t="n">
        <v>0</v>
      </c>
      <c r="L344" s="46" t="n">
        <v>4300.98</v>
      </c>
    </row>
    <row r="345" customFormat="false" ht="15" hidden="false" customHeight="false" outlineLevel="0" collapsed="false">
      <c r="A345" s="37" t="n">
        <v>501262</v>
      </c>
      <c r="B345" s="37" t="s">
        <v>717</v>
      </c>
      <c r="C345" s="37" t="n">
        <v>202507</v>
      </c>
      <c r="D345" s="37" t="s">
        <v>61</v>
      </c>
      <c r="E345" s="37" t="s">
        <v>103</v>
      </c>
      <c r="F345" s="37" t="s">
        <v>205</v>
      </c>
      <c r="G345" s="37" t="s">
        <v>358</v>
      </c>
      <c r="H345" s="37" t="s">
        <v>711</v>
      </c>
      <c r="I345" s="37" t="s">
        <v>401</v>
      </c>
      <c r="J345" s="37" t="s">
        <v>719</v>
      </c>
      <c r="K345" s="45" t="n">
        <v>0</v>
      </c>
      <c r="L345" s="46" t="n">
        <v>2651.37</v>
      </c>
    </row>
    <row r="346" customFormat="false" ht="15" hidden="false" customHeight="false" outlineLevel="0" collapsed="false">
      <c r="A346" s="37" t="n">
        <v>500960</v>
      </c>
      <c r="B346" s="37" t="s">
        <v>720</v>
      </c>
      <c r="C346" s="37" t="n">
        <v>202507</v>
      </c>
      <c r="D346" s="37" t="s">
        <v>60</v>
      </c>
      <c r="E346" s="37" t="s">
        <v>102</v>
      </c>
      <c r="F346" s="37" t="s">
        <v>205</v>
      </c>
      <c r="G346" s="37" t="s">
        <v>358</v>
      </c>
      <c r="H346" s="37" t="s">
        <v>670</v>
      </c>
      <c r="I346" s="37" t="s">
        <v>671</v>
      </c>
      <c r="J346" s="37" t="s">
        <v>721</v>
      </c>
      <c r="K346" s="45" t="n">
        <v>0</v>
      </c>
      <c r="L346" s="46" t="n">
        <v>36698.26</v>
      </c>
    </row>
    <row r="347" customFormat="false" ht="15" hidden="false" customHeight="false" outlineLevel="0" collapsed="false">
      <c r="A347" s="37" t="n">
        <v>500059</v>
      </c>
      <c r="B347" s="37" t="s">
        <v>722</v>
      </c>
      <c r="C347" s="37" t="n">
        <v>202507</v>
      </c>
      <c r="D347" s="37" t="s">
        <v>58</v>
      </c>
      <c r="E347" s="37" t="s">
        <v>97</v>
      </c>
      <c r="F347" s="37" t="s">
        <v>194</v>
      </c>
      <c r="G347" s="37" t="s">
        <v>354</v>
      </c>
      <c r="H347" s="37"/>
      <c r="I347" s="37" t="s">
        <v>355</v>
      </c>
      <c r="J347" s="37" t="s">
        <v>723</v>
      </c>
      <c r="K347" s="45" t="n">
        <v>74.7</v>
      </c>
      <c r="L347" s="46" t="n">
        <v>6873.96</v>
      </c>
    </row>
    <row r="348" customFormat="false" ht="15" hidden="false" customHeight="false" outlineLevel="0" collapsed="false">
      <c r="A348" s="37" t="n">
        <v>500333</v>
      </c>
      <c r="B348" s="37" t="s">
        <v>722</v>
      </c>
      <c r="C348" s="37" t="n">
        <v>202507</v>
      </c>
      <c r="D348" s="37" t="s">
        <v>58</v>
      </c>
      <c r="E348" s="37" t="s">
        <v>106</v>
      </c>
      <c r="F348" s="37" t="s">
        <v>194</v>
      </c>
      <c r="G348" s="37" t="s">
        <v>354</v>
      </c>
      <c r="H348" s="37"/>
      <c r="I348" s="37" t="s">
        <v>355</v>
      </c>
      <c r="J348" s="37" t="s">
        <v>723</v>
      </c>
      <c r="K348" s="45" t="n">
        <v>184.5</v>
      </c>
      <c r="L348" s="46" t="n">
        <v>13099.53</v>
      </c>
    </row>
    <row r="349" customFormat="false" ht="15" hidden="false" customHeight="false" outlineLevel="0" collapsed="false">
      <c r="A349" s="37" t="n">
        <v>500467</v>
      </c>
      <c r="B349" s="37" t="s">
        <v>722</v>
      </c>
      <c r="C349" s="37" t="n">
        <v>202507</v>
      </c>
      <c r="D349" s="37" t="s">
        <v>59</v>
      </c>
      <c r="E349" s="37" t="s">
        <v>97</v>
      </c>
      <c r="F349" s="37" t="s">
        <v>194</v>
      </c>
      <c r="G349" s="37" t="s">
        <v>354</v>
      </c>
      <c r="H349" s="37"/>
      <c r="I349" s="37" t="s">
        <v>355</v>
      </c>
      <c r="J349" s="37" t="s">
        <v>723</v>
      </c>
      <c r="K349" s="45" t="n">
        <v>46.2</v>
      </c>
      <c r="L349" s="46" t="n">
        <v>4253.63</v>
      </c>
    </row>
    <row r="350" customFormat="false" ht="15" hidden="false" customHeight="false" outlineLevel="0" collapsed="false">
      <c r="A350" s="37" t="n">
        <v>500611</v>
      </c>
      <c r="B350" s="37" t="s">
        <v>722</v>
      </c>
      <c r="C350" s="37" t="n">
        <v>202507</v>
      </c>
      <c r="D350" s="37" t="s">
        <v>59</v>
      </c>
      <c r="E350" s="37" t="s">
        <v>101</v>
      </c>
      <c r="F350" s="37" t="s">
        <v>194</v>
      </c>
      <c r="G350" s="37" t="s">
        <v>354</v>
      </c>
      <c r="H350" s="37"/>
      <c r="I350" s="37" t="s">
        <v>355</v>
      </c>
      <c r="J350" s="37" t="s">
        <v>723</v>
      </c>
      <c r="K350" s="45" t="n">
        <v>619.6</v>
      </c>
      <c r="L350" s="46" t="n">
        <v>45850.42</v>
      </c>
    </row>
    <row r="351" customFormat="false" ht="15" hidden="false" customHeight="false" outlineLevel="0" collapsed="false">
      <c r="A351" s="37" t="n">
        <v>500796</v>
      </c>
      <c r="B351" s="37" t="s">
        <v>722</v>
      </c>
      <c r="C351" s="37" t="n">
        <v>202507</v>
      </c>
      <c r="D351" s="37" t="s">
        <v>60</v>
      </c>
      <c r="E351" s="37" t="s">
        <v>97</v>
      </c>
      <c r="F351" s="37" t="s">
        <v>194</v>
      </c>
      <c r="G351" s="37" t="s">
        <v>354</v>
      </c>
      <c r="H351" s="37"/>
      <c r="I351" s="37" t="s">
        <v>355</v>
      </c>
      <c r="J351" s="37" t="s">
        <v>723</v>
      </c>
      <c r="K351" s="45" t="n">
        <v>56.8</v>
      </c>
      <c r="L351" s="46" t="n">
        <v>5226.31</v>
      </c>
    </row>
    <row r="352" customFormat="false" ht="15" hidden="false" customHeight="false" outlineLevel="0" collapsed="false">
      <c r="A352" s="37" t="n">
        <v>500924</v>
      </c>
      <c r="B352" s="37" t="s">
        <v>722</v>
      </c>
      <c r="C352" s="37" t="n">
        <v>202507</v>
      </c>
      <c r="D352" s="37" t="s">
        <v>60</v>
      </c>
      <c r="E352" s="37" t="s">
        <v>101</v>
      </c>
      <c r="F352" s="37" t="s">
        <v>194</v>
      </c>
      <c r="G352" s="37" t="s">
        <v>354</v>
      </c>
      <c r="H352" s="37"/>
      <c r="I352" s="37" t="s">
        <v>355</v>
      </c>
      <c r="J352" s="37" t="s">
        <v>723</v>
      </c>
      <c r="K352" s="45" t="n">
        <v>194.3</v>
      </c>
      <c r="L352" s="46" t="n">
        <v>14375.74</v>
      </c>
    </row>
    <row r="353" customFormat="false" ht="15" hidden="false" customHeight="false" outlineLevel="0" collapsed="false">
      <c r="A353" s="37" t="n">
        <v>501103</v>
      </c>
      <c r="B353" s="37" t="s">
        <v>722</v>
      </c>
      <c r="C353" s="37" t="n">
        <v>202507</v>
      </c>
      <c r="D353" s="37" t="s">
        <v>61</v>
      </c>
      <c r="E353" s="37" t="s">
        <v>97</v>
      </c>
      <c r="F353" s="37" t="s">
        <v>194</v>
      </c>
      <c r="G353" s="37" t="s">
        <v>354</v>
      </c>
      <c r="H353" s="37"/>
      <c r="I353" s="37" t="s">
        <v>355</v>
      </c>
      <c r="J353" s="37" t="s">
        <v>723</v>
      </c>
      <c r="K353" s="45" t="n">
        <v>46.2</v>
      </c>
      <c r="L353" s="46" t="n">
        <v>4252.99</v>
      </c>
    </row>
    <row r="354" customFormat="false" ht="15" hidden="false" customHeight="false" outlineLevel="0" collapsed="false">
      <c r="A354" s="37" t="n">
        <v>501217</v>
      </c>
      <c r="B354" s="37" t="s">
        <v>722</v>
      </c>
      <c r="C354" s="37" t="n">
        <v>202507</v>
      </c>
      <c r="D354" s="37" t="s">
        <v>61</v>
      </c>
      <c r="E354" s="37" t="s">
        <v>101</v>
      </c>
      <c r="F354" s="37" t="s">
        <v>194</v>
      </c>
      <c r="G354" s="37" t="s">
        <v>354</v>
      </c>
      <c r="H354" s="37"/>
      <c r="I354" s="37" t="s">
        <v>355</v>
      </c>
      <c r="J354" s="37" t="s">
        <v>723</v>
      </c>
      <c r="K354" s="45" t="n">
        <v>67.4</v>
      </c>
      <c r="L354" s="46" t="n">
        <v>4984.34</v>
      </c>
    </row>
    <row r="355" customFormat="false" ht="15" hidden="false" customHeight="false" outlineLevel="0" collapsed="false">
      <c r="A355" s="37" t="n">
        <v>500642</v>
      </c>
      <c r="B355" s="37" t="s">
        <v>724</v>
      </c>
      <c r="C355" s="37" t="n">
        <v>202507</v>
      </c>
      <c r="D355" s="37" t="s">
        <v>59</v>
      </c>
      <c r="E355" s="37" t="s">
        <v>102</v>
      </c>
      <c r="F355" s="37" t="s">
        <v>205</v>
      </c>
      <c r="G355" s="37" t="s">
        <v>358</v>
      </c>
      <c r="H355" s="37" t="s">
        <v>591</v>
      </c>
      <c r="I355" s="37" t="s">
        <v>592</v>
      </c>
      <c r="J355" s="37" t="s">
        <v>725</v>
      </c>
      <c r="K355" s="45" t="n">
        <v>0</v>
      </c>
      <c r="L355" s="46" t="n">
        <v>55327.53</v>
      </c>
    </row>
    <row r="356" customFormat="false" ht="15" hidden="false" customHeight="false" outlineLevel="0" collapsed="false">
      <c r="A356" s="37" t="n">
        <v>500643</v>
      </c>
      <c r="B356" s="37" t="s">
        <v>724</v>
      </c>
      <c r="C356" s="37" t="n">
        <v>202507</v>
      </c>
      <c r="D356" s="37" t="s">
        <v>59</v>
      </c>
      <c r="E356" s="37" t="s">
        <v>102</v>
      </c>
      <c r="F356" s="37" t="s">
        <v>205</v>
      </c>
      <c r="G356" s="37" t="s">
        <v>358</v>
      </c>
      <c r="H356" s="37" t="s">
        <v>591</v>
      </c>
      <c r="I356" s="37" t="s">
        <v>592</v>
      </c>
      <c r="J356" s="37" t="s">
        <v>726</v>
      </c>
      <c r="K356" s="45" t="n">
        <v>0</v>
      </c>
      <c r="L356" s="46" t="n">
        <v>86693.43</v>
      </c>
    </row>
    <row r="357" customFormat="false" ht="15" hidden="false" customHeight="false" outlineLevel="0" collapsed="false">
      <c r="A357" s="37" t="n">
        <v>500975</v>
      </c>
      <c r="B357" s="37" t="s">
        <v>724</v>
      </c>
      <c r="C357" s="37" t="n">
        <v>202507</v>
      </c>
      <c r="D357" s="37" t="s">
        <v>60</v>
      </c>
      <c r="E357" s="37" t="s">
        <v>103</v>
      </c>
      <c r="F357" s="37" t="s">
        <v>205</v>
      </c>
      <c r="G357" s="37" t="s">
        <v>358</v>
      </c>
      <c r="H357" s="37" t="s">
        <v>727</v>
      </c>
      <c r="I357" s="37" t="s">
        <v>728</v>
      </c>
      <c r="J357" s="37" t="s">
        <v>729</v>
      </c>
      <c r="K357" s="45" t="n">
        <v>0</v>
      </c>
      <c r="L357" s="46" t="n">
        <v>11512.42</v>
      </c>
    </row>
    <row r="358" customFormat="false" ht="15" hidden="false" customHeight="false" outlineLevel="0" collapsed="false">
      <c r="A358" s="37" t="n">
        <v>500663</v>
      </c>
      <c r="B358" s="37" t="s">
        <v>730</v>
      </c>
      <c r="C358" s="37" t="n">
        <v>202507</v>
      </c>
      <c r="D358" s="37" t="s">
        <v>59</v>
      </c>
      <c r="E358" s="37" t="s">
        <v>103</v>
      </c>
      <c r="F358" s="37" t="s">
        <v>205</v>
      </c>
      <c r="G358" s="37" t="s">
        <v>358</v>
      </c>
      <c r="H358" s="37" t="s">
        <v>622</v>
      </c>
      <c r="I358" s="37" t="s">
        <v>623</v>
      </c>
      <c r="J358" s="37" t="s">
        <v>731</v>
      </c>
      <c r="K358" s="45" t="n">
        <v>0</v>
      </c>
      <c r="L358" s="46" t="n">
        <v>228357.89</v>
      </c>
    </row>
    <row r="359" customFormat="false" ht="15" hidden="false" customHeight="false" outlineLevel="0" collapsed="false">
      <c r="A359" s="37" t="n">
        <v>501248</v>
      </c>
      <c r="B359" s="37" t="s">
        <v>730</v>
      </c>
      <c r="C359" s="37" t="n">
        <v>202507</v>
      </c>
      <c r="D359" s="37" t="s">
        <v>61</v>
      </c>
      <c r="E359" s="37" t="s">
        <v>102</v>
      </c>
      <c r="F359" s="37" t="s">
        <v>205</v>
      </c>
      <c r="G359" s="37" t="s">
        <v>358</v>
      </c>
      <c r="H359" s="37" t="s">
        <v>714</v>
      </c>
      <c r="I359" s="37" t="s">
        <v>715</v>
      </c>
      <c r="J359" s="37" t="s">
        <v>732</v>
      </c>
      <c r="K359" s="45" t="n">
        <v>0</v>
      </c>
      <c r="L359" s="46" t="n">
        <v>10043.01</v>
      </c>
    </row>
    <row r="360" customFormat="false" ht="15" hidden="false" customHeight="false" outlineLevel="0" collapsed="false">
      <c r="A360" s="37" t="n">
        <v>500143</v>
      </c>
      <c r="B360" s="37" t="s">
        <v>733</v>
      </c>
      <c r="C360" s="37" t="n">
        <v>202507</v>
      </c>
      <c r="D360" s="37" t="s">
        <v>58</v>
      </c>
      <c r="E360" s="37" t="s">
        <v>98</v>
      </c>
      <c r="F360" s="37" t="s">
        <v>196</v>
      </c>
      <c r="G360" s="37" t="s">
        <v>358</v>
      </c>
      <c r="H360" s="37" t="s">
        <v>359</v>
      </c>
      <c r="I360" s="37" t="s">
        <v>360</v>
      </c>
      <c r="J360" s="37" t="s">
        <v>734</v>
      </c>
      <c r="K360" s="45" t="n">
        <v>0</v>
      </c>
      <c r="L360" s="46" t="n">
        <v>16695.66</v>
      </c>
    </row>
    <row r="361" customFormat="false" ht="15" hidden="false" customHeight="false" outlineLevel="0" collapsed="false">
      <c r="A361" s="37" t="n">
        <v>500538</v>
      </c>
      <c r="B361" s="37" t="s">
        <v>733</v>
      </c>
      <c r="C361" s="37" t="n">
        <v>202507</v>
      </c>
      <c r="D361" s="37" t="s">
        <v>59</v>
      </c>
      <c r="E361" s="37" t="s">
        <v>98</v>
      </c>
      <c r="F361" s="37" t="s">
        <v>196</v>
      </c>
      <c r="G361" s="37" t="s">
        <v>358</v>
      </c>
      <c r="H361" s="37" t="s">
        <v>359</v>
      </c>
      <c r="I361" s="37" t="s">
        <v>360</v>
      </c>
      <c r="J361" s="37" t="s">
        <v>735</v>
      </c>
      <c r="K361" s="45" t="n">
        <v>0</v>
      </c>
      <c r="L361" s="46" t="n">
        <v>14543.3</v>
      </c>
    </row>
    <row r="362" customFormat="false" ht="15" hidden="false" customHeight="false" outlineLevel="0" collapsed="false">
      <c r="A362" s="37" t="n">
        <v>500974</v>
      </c>
      <c r="B362" s="37" t="s">
        <v>736</v>
      </c>
      <c r="C362" s="37" t="n">
        <v>202507</v>
      </c>
      <c r="D362" s="37" t="s">
        <v>60</v>
      </c>
      <c r="E362" s="37" t="s">
        <v>103</v>
      </c>
      <c r="F362" s="37" t="s">
        <v>205</v>
      </c>
      <c r="G362" s="37" t="s">
        <v>358</v>
      </c>
      <c r="H362" s="37" t="s">
        <v>727</v>
      </c>
      <c r="I362" s="37" t="s">
        <v>728</v>
      </c>
      <c r="J362" s="37" t="s">
        <v>737</v>
      </c>
      <c r="K362" s="45" t="n">
        <v>0</v>
      </c>
      <c r="L362" s="46" t="n">
        <v>5327.01</v>
      </c>
    </row>
    <row r="363" customFormat="false" ht="15" hidden="false" customHeight="false" outlineLevel="0" collapsed="false">
      <c r="A363" s="37" t="n">
        <v>500060</v>
      </c>
      <c r="B363" s="37" t="s">
        <v>738</v>
      </c>
      <c r="C363" s="37" t="n">
        <v>202507</v>
      </c>
      <c r="D363" s="37" t="s">
        <v>58</v>
      </c>
      <c r="E363" s="37" t="s">
        <v>97</v>
      </c>
      <c r="F363" s="37" t="s">
        <v>194</v>
      </c>
      <c r="G363" s="37" t="s">
        <v>354</v>
      </c>
      <c r="H363" s="37"/>
      <c r="I363" s="37" t="s">
        <v>355</v>
      </c>
      <c r="J363" s="37" t="s">
        <v>739</v>
      </c>
      <c r="K363" s="45" t="n">
        <v>75.7</v>
      </c>
      <c r="L363" s="46" t="n">
        <v>6967.45</v>
      </c>
    </row>
    <row r="364" customFormat="false" ht="15" hidden="false" customHeight="false" outlineLevel="0" collapsed="false">
      <c r="A364" s="37" t="n">
        <v>500303</v>
      </c>
      <c r="B364" s="37" t="s">
        <v>738</v>
      </c>
      <c r="C364" s="37" t="n">
        <v>202507</v>
      </c>
      <c r="D364" s="37" t="s">
        <v>58</v>
      </c>
      <c r="E364" s="37" t="s">
        <v>104</v>
      </c>
      <c r="F364" s="37" t="s">
        <v>201</v>
      </c>
      <c r="G364" s="37" t="s">
        <v>358</v>
      </c>
      <c r="H364" s="37" t="s">
        <v>578</v>
      </c>
      <c r="I364" s="37" t="s">
        <v>579</v>
      </c>
      <c r="J364" s="37" t="s">
        <v>740</v>
      </c>
      <c r="K364" s="45" t="n">
        <v>0</v>
      </c>
      <c r="L364" s="46" t="n">
        <v>185265.75</v>
      </c>
    </row>
    <row r="365" customFormat="false" ht="15" hidden="false" customHeight="false" outlineLevel="0" collapsed="false">
      <c r="A365" s="37" t="n">
        <v>500316</v>
      </c>
      <c r="B365" s="37" t="s">
        <v>738</v>
      </c>
      <c r="C365" s="37" t="n">
        <v>202507</v>
      </c>
      <c r="D365" s="37" t="s">
        <v>58</v>
      </c>
      <c r="E365" s="37" t="s">
        <v>105</v>
      </c>
      <c r="F365" s="37" t="s">
        <v>201</v>
      </c>
      <c r="G365" s="37" t="s">
        <v>358</v>
      </c>
      <c r="H365" s="37" t="s">
        <v>507</v>
      </c>
      <c r="I365" s="37" t="s">
        <v>508</v>
      </c>
      <c r="J365" s="37" t="s">
        <v>740</v>
      </c>
      <c r="K365" s="45" t="n">
        <v>0</v>
      </c>
      <c r="L365" s="46" t="n">
        <v>90221.81</v>
      </c>
    </row>
    <row r="366" customFormat="false" ht="15" hidden="false" customHeight="false" outlineLevel="0" collapsed="false">
      <c r="A366" s="37" t="n">
        <v>500334</v>
      </c>
      <c r="B366" s="37" t="s">
        <v>738</v>
      </c>
      <c r="C366" s="37" t="n">
        <v>202507</v>
      </c>
      <c r="D366" s="37" t="s">
        <v>58</v>
      </c>
      <c r="E366" s="37" t="s">
        <v>106</v>
      </c>
      <c r="F366" s="37" t="s">
        <v>194</v>
      </c>
      <c r="G366" s="37" t="s">
        <v>354</v>
      </c>
      <c r="H366" s="37"/>
      <c r="I366" s="37" t="s">
        <v>355</v>
      </c>
      <c r="J366" s="37" t="s">
        <v>739</v>
      </c>
      <c r="K366" s="45" t="n">
        <v>186.1</v>
      </c>
      <c r="L366" s="46" t="n">
        <v>13216.39</v>
      </c>
    </row>
    <row r="367" customFormat="false" ht="15" hidden="false" customHeight="false" outlineLevel="0" collapsed="false">
      <c r="A367" s="37" t="n">
        <v>500371</v>
      </c>
      <c r="B367" s="37" t="s">
        <v>738</v>
      </c>
      <c r="C367" s="37" t="n">
        <v>202507</v>
      </c>
      <c r="D367" s="37" t="s">
        <v>58</v>
      </c>
      <c r="E367" s="37" t="s">
        <v>107</v>
      </c>
      <c r="F367" s="37" t="s">
        <v>201</v>
      </c>
      <c r="G367" s="37" t="s">
        <v>358</v>
      </c>
      <c r="H367" s="37" t="s">
        <v>684</v>
      </c>
      <c r="I367" s="37" t="s">
        <v>685</v>
      </c>
      <c r="J367" s="37" t="s">
        <v>740</v>
      </c>
      <c r="K367" s="45" t="n">
        <v>0</v>
      </c>
      <c r="L367" s="46" t="n">
        <v>108131.48</v>
      </c>
    </row>
    <row r="368" customFormat="false" ht="15" hidden="false" customHeight="false" outlineLevel="0" collapsed="false">
      <c r="A368" s="37" t="n">
        <v>500415</v>
      </c>
      <c r="B368" s="37" t="s">
        <v>738</v>
      </c>
      <c r="C368" s="37" t="n">
        <v>202507</v>
      </c>
      <c r="D368" s="37" t="s">
        <v>58</v>
      </c>
      <c r="E368" s="37" t="s">
        <v>110</v>
      </c>
      <c r="F368" s="37" t="s">
        <v>201</v>
      </c>
      <c r="G368" s="37" t="s">
        <v>358</v>
      </c>
      <c r="H368" s="37" t="s">
        <v>547</v>
      </c>
      <c r="I368" s="37" t="s">
        <v>548</v>
      </c>
      <c r="J368" s="37" t="s">
        <v>740</v>
      </c>
      <c r="K368" s="45" t="n">
        <v>0</v>
      </c>
      <c r="L368" s="46" t="n">
        <v>170314.44</v>
      </c>
    </row>
    <row r="369" customFormat="false" ht="15" hidden="false" customHeight="false" outlineLevel="0" collapsed="false">
      <c r="A369" s="37" t="n">
        <v>500434</v>
      </c>
      <c r="B369" s="37" t="s">
        <v>738</v>
      </c>
      <c r="C369" s="37" t="n">
        <v>202507</v>
      </c>
      <c r="D369" s="37" t="s">
        <v>58</v>
      </c>
      <c r="E369" s="37" t="s">
        <v>111</v>
      </c>
      <c r="F369" s="37" t="s">
        <v>201</v>
      </c>
      <c r="G369" s="37" t="s">
        <v>358</v>
      </c>
      <c r="H369" s="37" t="s">
        <v>549</v>
      </c>
      <c r="I369" s="37" t="s">
        <v>550</v>
      </c>
      <c r="J369" s="37" t="s">
        <v>740</v>
      </c>
      <c r="K369" s="45" t="n">
        <v>0</v>
      </c>
      <c r="L369" s="46" t="n">
        <v>103815.67</v>
      </c>
    </row>
    <row r="370" customFormat="false" ht="15" hidden="false" customHeight="false" outlineLevel="0" collapsed="false">
      <c r="A370" s="37" t="n">
        <v>500468</v>
      </c>
      <c r="B370" s="37" t="s">
        <v>738</v>
      </c>
      <c r="C370" s="37" t="n">
        <v>202507</v>
      </c>
      <c r="D370" s="37" t="s">
        <v>59</v>
      </c>
      <c r="E370" s="37" t="s">
        <v>97</v>
      </c>
      <c r="F370" s="37" t="s">
        <v>194</v>
      </c>
      <c r="G370" s="37" t="s">
        <v>354</v>
      </c>
      <c r="H370" s="37"/>
      <c r="I370" s="37" t="s">
        <v>355</v>
      </c>
      <c r="J370" s="37" t="s">
        <v>739</v>
      </c>
      <c r="K370" s="45" t="n">
        <v>61.9</v>
      </c>
      <c r="L370" s="46" t="n">
        <v>5691.45</v>
      </c>
    </row>
    <row r="371" customFormat="false" ht="15" hidden="false" customHeight="false" outlineLevel="0" collapsed="false">
      <c r="A371" s="37" t="n">
        <v>500593</v>
      </c>
      <c r="B371" s="37" t="s">
        <v>738</v>
      </c>
      <c r="C371" s="37" t="n">
        <v>202507</v>
      </c>
      <c r="D371" s="37" t="s">
        <v>59</v>
      </c>
      <c r="E371" s="37" t="s">
        <v>100</v>
      </c>
      <c r="F371" s="37" t="s">
        <v>201</v>
      </c>
      <c r="G371" s="37" t="s">
        <v>358</v>
      </c>
      <c r="H371" s="37" t="s">
        <v>581</v>
      </c>
      <c r="I371" s="37" t="s">
        <v>370</v>
      </c>
      <c r="J371" s="37" t="s">
        <v>740</v>
      </c>
      <c r="K371" s="45" t="n">
        <v>0</v>
      </c>
      <c r="L371" s="46" t="n">
        <v>208564.48</v>
      </c>
    </row>
    <row r="372" customFormat="false" ht="15" hidden="false" customHeight="false" outlineLevel="0" collapsed="false">
      <c r="A372" s="37" t="n">
        <v>500612</v>
      </c>
      <c r="B372" s="37" t="s">
        <v>738</v>
      </c>
      <c r="C372" s="37" t="n">
        <v>202507</v>
      </c>
      <c r="D372" s="37" t="s">
        <v>59</v>
      </c>
      <c r="E372" s="37" t="s">
        <v>101</v>
      </c>
      <c r="F372" s="37" t="s">
        <v>194</v>
      </c>
      <c r="G372" s="37" t="s">
        <v>354</v>
      </c>
      <c r="H372" s="37"/>
      <c r="I372" s="37" t="s">
        <v>355</v>
      </c>
      <c r="J372" s="37" t="s">
        <v>739</v>
      </c>
      <c r="K372" s="45" t="n">
        <v>405.6</v>
      </c>
      <c r="L372" s="46" t="n">
        <v>30012.47</v>
      </c>
    </row>
    <row r="373" customFormat="false" ht="15" hidden="false" customHeight="false" outlineLevel="0" collapsed="false">
      <c r="A373" s="37" t="n">
        <v>500797</v>
      </c>
      <c r="B373" s="37" t="s">
        <v>738</v>
      </c>
      <c r="C373" s="37" t="n">
        <v>202507</v>
      </c>
      <c r="D373" s="37" t="s">
        <v>60</v>
      </c>
      <c r="E373" s="37" t="s">
        <v>97</v>
      </c>
      <c r="F373" s="37" t="s">
        <v>194</v>
      </c>
      <c r="G373" s="37" t="s">
        <v>354</v>
      </c>
      <c r="H373" s="37"/>
      <c r="I373" s="37" t="s">
        <v>355</v>
      </c>
      <c r="J373" s="37" t="s">
        <v>739</v>
      </c>
      <c r="K373" s="45" t="n">
        <v>100.2</v>
      </c>
      <c r="L373" s="46" t="n">
        <v>9220.73</v>
      </c>
    </row>
    <row r="374" customFormat="false" ht="15" hidden="false" customHeight="false" outlineLevel="0" collapsed="false">
      <c r="A374" s="37" t="n">
        <v>500913</v>
      </c>
      <c r="B374" s="37" t="s">
        <v>738</v>
      </c>
      <c r="C374" s="37" t="n">
        <v>202507</v>
      </c>
      <c r="D374" s="37" t="s">
        <v>60</v>
      </c>
      <c r="E374" s="37" t="s">
        <v>100</v>
      </c>
      <c r="F374" s="37" t="s">
        <v>201</v>
      </c>
      <c r="G374" s="37" t="s">
        <v>358</v>
      </c>
      <c r="H374" s="37" t="s">
        <v>645</v>
      </c>
      <c r="I374" s="37" t="s">
        <v>646</v>
      </c>
      <c r="J374" s="37" t="s">
        <v>740</v>
      </c>
      <c r="K374" s="45" t="n">
        <v>0</v>
      </c>
      <c r="L374" s="46" t="n">
        <v>175922.38</v>
      </c>
    </row>
    <row r="375" customFormat="false" ht="15" hidden="false" customHeight="false" outlineLevel="0" collapsed="false">
      <c r="A375" s="37" t="n">
        <v>500925</v>
      </c>
      <c r="B375" s="37" t="s">
        <v>738</v>
      </c>
      <c r="C375" s="37" t="n">
        <v>202507</v>
      </c>
      <c r="D375" s="37" t="s">
        <v>60</v>
      </c>
      <c r="E375" s="37" t="s">
        <v>101</v>
      </c>
      <c r="F375" s="37" t="s">
        <v>194</v>
      </c>
      <c r="G375" s="37" t="s">
        <v>354</v>
      </c>
      <c r="H375" s="37"/>
      <c r="I375" s="37" t="s">
        <v>355</v>
      </c>
      <c r="J375" s="37" t="s">
        <v>739</v>
      </c>
      <c r="K375" s="45" t="n">
        <v>72.4</v>
      </c>
      <c r="L375" s="46" t="n">
        <v>5359.19</v>
      </c>
    </row>
    <row r="376" customFormat="false" ht="15" hidden="false" customHeight="false" outlineLevel="0" collapsed="false">
      <c r="A376" s="37" t="n">
        <v>501104</v>
      </c>
      <c r="B376" s="37" t="s">
        <v>738</v>
      </c>
      <c r="C376" s="37" t="n">
        <v>202507</v>
      </c>
      <c r="D376" s="37" t="s">
        <v>61</v>
      </c>
      <c r="E376" s="37" t="s">
        <v>97</v>
      </c>
      <c r="F376" s="37" t="s">
        <v>194</v>
      </c>
      <c r="G376" s="37" t="s">
        <v>354</v>
      </c>
      <c r="H376" s="37"/>
      <c r="I376" s="37" t="s">
        <v>355</v>
      </c>
      <c r="J376" s="37" t="s">
        <v>739</v>
      </c>
      <c r="K376" s="45" t="n">
        <v>58.9</v>
      </c>
      <c r="L376" s="46" t="n">
        <v>5418.7</v>
      </c>
    </row>
    <row r="377" customFormat="false" ht="15" hidden="false" customHeight="false" outlineLevel="0" collapsed="false">
      <c r="A377" s="37" t="n">
        <v>501211</v>
      </c>
      <c r="B377" s="37" t="s">
        <v>738</v>
      </c>
      <c r="C377" s="37" t="n">
        <v>202507</v>
      </c>
      <c r="D377" s="37" t="s">
        <v>61</v>
      </c>
      <c r="E377" s="37" t="s">
        <v>100</v>
      </c>
      <c r="F377" s="37" t="s">
        <v>201</v>
      </c>
      <c r="G377" s="37" t="s">
        <v>358</v>
      </c>
      <c r="H377" s="37" t="s">
        <v>687</v>
      </c>
      <c r="I377" s="37" t="s">
        <v>688</v>
      </c>
      <c r="J377" s="37" t="s">
        <v>740</v>
      </c>
      <c r="K377" s="45" t="n">
        <v>0</v>
      </c>
      <c r="L377" s="46" t="n">
        <v>210119.41</v>
      </c>
    </row>
    <row r="378" customFormat="false" ht="15" hidden="false" customHeight="false" outlineLevel="0" collapsed="false">
      <c r="A378" s="37" t="n">
        <v>501218</v>
      </c>
      <c r="B378" s="37" t="s">
        <v>738</v>
      </c>
      <c r="C378" s="37" t="n">
        <v>202507</v>
      </c>
      <c r="D378" s="37" t="s">
        <v>61</v>
      </c>
      <c r="E378" s="37" t="s">
        <v>101</v>
      </c>
      <c r="F378" s="37" t="s">
        <v>194</v>
      </c>
      <c r="G378" s="37" t="s">
        <v>354</v>
      </c>
      <c r="H378" s="37"/>
      <c r="I378" s="37" t="s">
        <v>355</v>
      </c>
      <c r="J378" s="37" t="s">
        <v>739</v>
      </c>
      <c r="K378" s="45" t="n">
        <v>31.6</v>
      </c>
      <c r="L378" s="46" t="n">
        <v>2335.09</v>
      </c>
    </row>
    <row r="379" customFormat="false" ht="15" hidden="false" customHeight="false" outlineLevel="0" collapsed="false">
      <c r="A379" s="37" t="n">
        <v>500539</v>
      </c>
      <c r="B379" s="37" t="s">
        <v>741</v>
      </c>
      <c r="C379" s="37" t="n">
        <v>202507</v>
      </c>
      <c r="D379" s="37" t="s">
        <v>59</v>
      </c>
      <c r="E379" s="37" t="s">
        <v>98</v>
      </c>
      <c r="F379" s="37" t="s">
        <v>196</v>
      </c>
      <c r="G379" s="37" t="s">
        <v>358</v>
      </c>
      <c r="H379" s="37" t="s">
        <v>359</v>
      </c>
      <c r="I379" s="37" t="s">
        <v>360</v>
      </c>
      <c r="J379" s="37" t="s">
        <v>742</v>
      </c>
      <c r="K379" s="45" t="n">
        <v>0</v>
      </c>
      <c r="L379" s="46" t="n">
        <v>1904.91</v>
      </c>
    </row>
    <row r="380" customFormat="false" ht="15" hidden="false" customHeight="false" outlineLevel="0" collapsed="false">
      <c r="A380" s="37" t="n">
        <v>500976</v>
      </c>
      <c r="B380" s="37" t="s">
        <v>743</v>
      </c>
      <c r="C380" s="37" t="n">
        <v>202507</v>
      </c>
      <c r="D380" s="37" t="s">
        <v>60</v>
      </c>
      <c r="E380" s="37" t="s">
        <v>103</v>
      </c>
      <c r="F380" s="37" t="s">
        <v>205</v>
      </c>
      <c r="G380" s="37" t="s">
        <v>358</v>
      </c>
      <c r="H380" s="37" t="s">
        <v>727</v>
      </c>
      <c r="I380" s="37" t="s">
        <v>728</v>
      </c>
      <c r="J380" s="37" t="s">
        <v>744</v>
      </c>
      <c r="K380" s="45" t="n">
        <v>0</v>
      </c>
      <c r="L380" s="46" t="n">
        <v>8445.1</v>
      </c>
    </row>
    <row r="381" customFormat="false" ht="15" hidden="false" customHeight="false" outlineLevel="0" collapsed="false">
      <c r="A381" s="37" t="n">
        <v>501261</v>
      </c>
      <c r="B381" s="37" t="s">
        <v>743</v>
      </c>
      <c r="C381" s="37" t="n">
        <v>202507</v>
      </c>
      <c r="D381" s="37" t="s">
        <v>61</v>
      </c>
      <c r="E381" s="37" t="s">
        <v>103</v>
      </c>
      <c r="F381" s="37" t="s">
        <v>205</v>
      </c>
      <c r="G381" s="37" t="s">
        <v>358</v>
      </c>
      <c r="H381" s="37" t="s">
        <v>711</v>
      </c>
      <c r="I381" s="37" t="s">
        <v>401</v>
      </c>
      <c r="J381" s="37" t="s">
        <v>745</v>
      </c>
      <c r="K381" s="45" t="n">
        <v>0</v>
      </c>
      <c r="L381" s="46" t="n">
        <v>1270.89</v>
      </c>
    </row>
    <row r="382" customFormat="false" ht="15" hidden="false" customHeight="false" outlineLevel="0" collapsed="false">
      <c r="A382" s="37" t="n">
        <v>500187</v>
      </c>
      <c r="B382" s="37" t="s">
        <v>746</v>
      </c>
      <c r="C382" s="37" t="n">
        <v>202507</v>
      </c>
      <c r="D382" s="37" t="s">
        <v>58</v>
      </c>
      <c r="E382" s="37" t="s">
        <v>99</v>
      </c>
      <c r="F382" s="37" t="s">
        <v>198</v>
      </c>
      <c r="G382" s="37" t="s">
        <v>375</v>
      </c>
      <c r="H382" s="37"/>
      <c r="I382" s="37" t="s">
        <v>376</v>
      </c>
      <c r="J382" s="37" t="s">
        <v>377</v>
      </c>
      <c r="K382" s="45" t="n">
        <v>0</v>
      </c>
      <c r="L382" s="46" t="n">
        <v>32532.55</v>
      </c>
    </row>
    <row r="383" customFormat="false" ht="15" hidden="false" customHeight="false" outlineLevel="0" collapsed="false">
      <c r="A383" s="37" t="n">
        <v>500574</v>
      </c>
      <c r="B383" s="37" t="s">
        <v>746</v>
      </c>
      <c r="C383" s="37" t="n">
        <v>202507</v>
      </c>
      <c r="D383" s="37" t="s">
        <v>59</v>
      </c>
      <c r="E383" s="37" t="s">
        <v>99</v>
      </c>
      <c r="F383" s="37" t="s">
        <v>198</v>
      </c>
      <c r="G383" s="37" t="s">
        <v>375</v>
      </c>
      <c r="H383" s="37"/>
      <c r="I383" s="37" t="s">
        <v>376</v>
      </c>
      <c r="J383" s="37" t="s">
        <v>377</v>
      </c>
      <c r="K383" s="45" t="n">
        <v>0</v>
      </c>
      <c r="L383" s="46" t="n">
        <v>42645.26</v>
      </c>
    </row>
    <row r="384" customFormat="false" ht="15" hidden="false" customHeight="false" outlineLevel="0" collapsed="false">
      <c r="A384" s="37" t="n">
        <v>500896</v>
      </c>
      <c r="B384" s="37" t="s">
        <v>746</v>
      </c>
      <c r="C384" s="37" t="n">
        <v>202507</v>
      </c>
      <c r="D384" s="37" t="s">
        <v>60</v>
      </c>
      <c r="E384" s="37" t="s">
        <v>99</v>
      </c>
      <c r="F384" s="37" t="s">
        <v>198</v>
      </c>
      <c r="G384" s="37" t="s">
        <v>375</v>
      </c>
      <c r="H384" s="37"/>
      <c r="I384" s="37" t="s">
        <v>376</v>
      </c>
      <c r="J384" s="37" t="s">
        <v>377</v>
      </c>
      <c r="K384" s="45" t="n">
        <v>0</v>
      </c>
      <c r="L384" s="46" t="n">
        <v>10348.47</v>
      </c>
    </row>
    <row r="385" customFormat="false" ht="15" hidden="false" customHeight="false" outlineLevel="0" collapsed="false">
      <c r="A385" s="37" t="n">
        <v>501196</v>
      </c>
      <c r="B385" s="37" t="s">
        <v>746</v>
      </c>
      <c r="C385" s="37" t="n">
        <v>202507</v>
      </c>
      <c r="D385" s="37" t="s">
        <v>61</v>
      </c>
      <c r="E385" s="37" t="s">
        <v>99</v>
      </c>
      <c r="F385" s="37" t="s">
        <v>198</v>
      </c>
      <c r="G385" s="37" t="s">
        <v>375</v>
      </c>
      <c r="H385" s="37"/>
      <c r="I385" s="37" t="s">
        <v>376</v>
      </c>
      <c r="J385" s="37" t="s">
        <v>377</v>
      </c>
      <c r="K385" s="45" t="n">
        <v>0</v>
      </c>
      <c r="L385" s="46" t="n">
        <v>10165.59</v>
      </c>
    </row>
    <row r="386" customFormat="false" ht="15" hidden="false" customHeight="false" outlineLevel="0" collapsed="false">
      <c r="A386" s="37" t="n">
        <v>500061</v>
      </c>
      <c r="B386" s="37" t="s">
        <v>747</v>
      </c>
      <c r="C386" s="37" t="n">
        <v>202508</v>
      </c>
      <c r="D386" s="37" t="s">
        <v>58</v>
      </c>
      <c r="E386" s="37" t="s">
        <v>97</v>
      </c>
      <c r="F386" s="37" t="s">
        <v>194</v>
      </c>
      <c r="G386" s="37" t="s">
        <v>354</v>
      </c>
      <c r="H386" s="37"/>
      <c r="I386" s="37" t="s">
        <v>355</v>
      </c>
      <c r="J386" s="37" t="s">
        <v>748</v>
      </c>
      <c r="K386" s="45" t="n">
        <v>144</v>
      </c>
      <c r="L386" s="46" t="n">
        <v>13245.93</v>
      </c>
    </row>
    <row r="387" customFormat="false" ht="15" hidden="false" customHeight="false" outlineLevel="0" collapsed="false">
      <c r="A387" s="37" t="n">
        <v>500335</v>
      </c>
      <c r="B387" s="37" t="s">
        <v>747</v>
      </c>
      <c r="C387" s="37" t="n">
        <v>202508</v>
      </c>
      <c r="D387" s="37" t="s">
        <v>58</v>
      </c>
      <c r="E387" s="37" t="s">
        <v>106</v>
      </c>
      <c r="F387" s="37" t="s">
        <v>194</v>
      </c>
      <c r="G387" s="37" t="s">
        <v>354</v>
      </c>
      <c r="H387" s="37"/>
      <c r="I387" s="37" t="s">
        <v>355</v>
      </c>
      <c r="J387" s="37" t="s">
        <v>748</v>
      </c>
      <c r="K387" s="45" t="n">
        <v>110</v>
      </c>
      <c r="L387" s="46" t="n">
        <v>7810.46</v>
      </c>
    </row>
    <row r="388" customFormat="false" ht="15" hidden="false" customHeight="false" outlineLevel="0" collapsed="false">
      <c r="A388" s="37" t="n">
        <v>500469</v>
      </c>
      <c r="B388" s="37" t="s">
        <v>747</v>
      </c>
      <c r="C388" s="37" t="n">
        <v>202508</v>
      </c>
      <c r="D388" s="37" t="s">
        <v>59</v>
      </c>
      <c r="E388" s="37" t="s">
        <v>97</v>
      </c>
      <c r="F388" s="37" t="s">
        <v>194</v>
      </c>
      <c r="G388" s="37" t="s">
        <v>354</v>
      </c>
      <c r="H388" s="37"/>
      <c r="I388" s="37" t="s">
        <v>355</v>
      </c>
      <c r="J388" s="37" t="s">
        <v>748</v>
      </c>
      <c r="K388" s="45" t="n">
        <v>142.8</v>
      </c>
      <c r="L388" s="46" t="n">
        <v>13140.82</v>
      </c>
    </row>
    <row r="389" customFormat="false" ht="15" hidden="false" customHeight="false" outlineLevel="0" collapsed="false">
      <c r="A389" s="37" t="n">
        <v>500613</v>
      </c>
      <c r="B389" s="37" t="s">
        <v>747</v>
      </c>
      <c r="C389" s="37" t="n">
        <v>202508</v>
      </c>
      <c r="D389" s="37" t="s">
        <v>59</v>
      </c>
      <c r="E389" s="37" t="s">
        <v>101</v>
      </c>
      <c r="F389" s="37" t="s">
        <v>194</v>
      </c>
      <c r="G389" s="37" t="s">
        <v>354</v>
      </c>
      <c r="H389" s="37"/>
      <c r="I389" s="37" t="s">
        <v>355</v>
      </c>
      <c r="J389" s="37" t="s">
        <v>748</v>
      </c>
      <c r="K389" s="45" t="n">
        <v>344.3</v>
      </c>
      <c r="L389" s="46" t="n">
        <v>25481.5</v>
      </c>
    </row>
    <row r="390" customFormat="false" ht="15" hidden="false" customHeight="false" outlineLevel="0" collapsed="false">
      <c r="A390" s="37" t="n">
        <v>500798</v>
      </c>
      <c r="B390" s="37" t="s">
        <v>747</v>
      </c>
      <c r="C390" s="37" t="n">
        <v>202508</v>
      </c>
      <c r="D390" s="37" t="s">
        <v>60</v>
      </c>
      <c r="E390" s="37" t="s">
        <v>97</v>
      </c>
      <c r="F390" s="37" t="s">
        <v>194</v>
      </c>
      <c r="G390" s="37" t="s">
        <v>354</v>
      </c>
      <c r="H390" s="37"/>
      <c r="I390" s="37" t="s">
        <v>355</v>
      </c>
      <c r="J390" s="37" t="s">
        <v>748</v>
      </c>
      <c r="K390" s="45" t="n">
        <v>98.5</v>
      </c>
      <c r="L390" s="46" t="n">
        <v>9060.32</v>
      </c>
    </row>
    <row r="391" customFormat="false" ht="15" hidden="false" customHeight="false" outlineLevel="0" collapsed="false">
      <c r="A391" s="37" t="n">
        <v>500926</v>
      </c>
      <c r="B391" s="37" t="s">
        <v>747</v>
      </c>
      <c r="C391" s="37" t="n">
        <v>202508</v>
      </c>
      <c r="D391" s="37" t="s">
        <v>60</v>
      </c>
      <c r="E391" s="37" t="s">
        <v>101</v>
      </c>
      <c r="F391" s="37" t="s">
        <v>194</v>
      </c>
      <c r="G391" s="37" t="s">
        <v>354</v>
      </c>
      <c r="H391" s="37"/>
      <c r="I391" s="37" t="s">
        <v>355</v>
      </c>
      <c r="J391" s="37" t="s">
        <v>748</v>
      </c>
      <c r="K391" s="45" t="n">
        <v>330.2</v>
      </c>
      <c r="L391" s="46" t="n">
        <v>24434.36</v>
      </c>
    </row>
    <row r="392" customFormat="false" ht="15" hidden="false" customHeight="false" outlineLevel="0" collapsed="false">
      <c r="A392" s="37" t="n">
        <v>501105</v>
      </c>
      <c r="B392" s="37" t="s">
        <v>747</v>
      </c>
      <c r="C392" s="37" t="n">
        <v>202508</v>
      </c>
      <c r="D392" s="37" t="s">
        <v>61</v>
      </c>
      <c r="E392" s="37" t="s">
        <v>97</v>
      </c>
      <c r="F392" s="37" t="s">
        <v>194</v>
      </c>
      <c r="G392" s="37" t="s">
        <v>354</v>
      </c>
      <c r="H392" s="37"/>
      <c r="I392" s="37" t="s">
        <v>355</v>
      </c>
      <c r="J392" s="37" t="s">
        <v>748</v>
      </c>
      <c r="K392" s="45" t="n">
        <v>78.3</v>
      </c>
      <c r="L392" s="46" t="n">
        <v>7205.28</v>
      </c>
    </row>
    <row r="393" customFormat="false" ht="15" hidden="false" customHeight="false" outlineLevel="0" collapsed="false">
      <c r="A393" s="37" t="n">
        <v>501219</v>
      </c>
      <c r="B393" s="37" t="s">
        <v>747</v>
      </c>
      <c r="C393" s="37" t="n">
        <v>202508</v>
      </c>
      <c r="D393" s="37" t="s">
        <v>61</v>
      </c>
      <c r="E393" s="37" t="s">
        <v>101</v>
      </c>
      <c r="F393" s="37" t="s">
        <v>194</v>
      </c>
      <c r="G393" s="37" t="s">
        <v>354</v>
      </c>
      <c r="H393" s="37"/>
      <c r="I393" s="37" t="s">
        <v>355</v>
      </c>
      <c r="J393" s="37" t="s">
        <v>748</v>
      </c>
      <c r="K393" s="45" t="n">
        <v>225.2</v>
      </c>
      <c r="L393" s="46" t="n">
        <v>16663.32</v>
      </c>
    </row>
    <row r="394" customFormat="false" ht="15" hidden="false" customHeight="false" outlineLevel="0" collapsed="false">
      <c r="A394" s="37" t="n">
        <v>501366</v>
      </c>
      <c r="B394" s="37" t="s">
        <v>747</v>
      </c>
      <c r="C394" s="37" t="n">
        <v>202508</v>
      </c>
      <c r="D394" s="37" t="s">
        <v>62</v>
      </c>
      <c r="E394" s="37" t="s">
        <v>97</v>
      </c>
      <c r="F394" s="37" t="s">
        <v>194</v>
      </c>
      <c r="G394" s="37" t="s">
        <v>354</v>
      </c>
      <c r="H394" s="37"/>
      <c r="I394" s="37" t="s">
        <v>355</v>
      </c>
      <c r="J394" s="37" t="s">
        <v>748</v>
      </c>
      <c r="K394" s="45" t="n">
        <v>43.7</v>
      </c>
      <c r="L394" s="46" t="n">
        <v>4018.45</v>
      </c>
    </row>
    <row r="395" customFormat="false" ht="15" hidden="false" customHeight="false" outlineLevel="0" collapsed="false">
      <c r="A395" s="37" t="n">
        <v>501250</v>
      </c>
      <c r="B395" s="37" t="s">
        <v>749</v>
      </c>
      <c r="C395" s="37" t="n">
        <v>202508</v>
      </c>
      <c r="D395" s="37" t="s">
        <v>61</v>
      </c>
      <c r="E395" s="37" t="s">
        <v>102</v>
      </c>
      <c r="F395" s="37" t="s">
        <v>205</v>
      </c>
      <c r="G395" s="37" t="s">
        <v>358</v>
      </c>
      <c r="H395" s="37" t="s">
        <v>714</v>
      </c>
      <c r="I395" s="37" t="s">
        <v>715</v>
      </c>
      <c r="J395" s="37" t="s">
        <v>750</v>
      </c>
      <c r="K395" s="45" t="n">
        <v>0</v>
      </c>
      <c r="L395" s="46" t="n">
        <v>44747.98</v>
      </c>
    </row>
    <row r="396" customFormat="false" ht="15" hidden="false" customHeight="false" outlineLevel="0" collapsed="false">
      <c r="A396" s="37" t="n">
        <v>500865</v>
      </c>
      <c r="B396" s="37" t="s">
        <v>162</v>
      </c>
      <c r="C396" s="37" t="n">
        <v>202508</v>
      </c>
      <c r="D396" s="37" t="s">
        <v>60</v>
      </c>
      <c r="E396" s="37" t="s">
        <v>98</v>
      </c>
      <c r="F396" s="37" t="s">
        <v>196</v>
      </c>
      <c r="G396" s="37" t="s">
        <v>358</v>
      </c>
      <c r="H396" s="37" t="s">
        <v>359</v>
      </c>
      <c r="I396" s="37" t="s">
        <v>360</v>
      </c>
      <c r="J396" s="37" t="s">
        <v>751</v>
      </c>
      <c r="K396" s="45" t="n">
        <v>0</v>
      </c>
      <c r="L396" s="46" t="n">
        <v>7259.13</v>
      </c>
    </row>
    <row r="397" customFormat="false" ht="15" hidden="false" customHeight="false" outlineLevel="0" collapsed="false">
      <c r="A397" s="37" t="n">
        <v>500062</v>
      </c>
      <c r="B397" s="37" t="s">
        <v>752</v>
      </c>
      <c r="C397" s="37" t="n">
        <v>202508</v>
      </c>
      <c r="D397" s="37" t="s">
        <v>58</v>
      </c>
      <c r="E397" s="37" t="s">
        <v>97</v>
      </c>
      <c r="F397" s="37" t="s">
        <v>194</v>
      </c>
      <c r="G397" s="37" t="s">
        <v>354</v>
      </c>
      <c r="H397" s="37"/>
      <c r="I397" s="37" t="s">
        <v>355</v>
      </c>
      <c r="J397" s="37" t="s">
        <v>753</v>
      </c>
      <c r="K397" s="45" t="n">
        <v>191.9</v>
      </c>
      <c r="L397" s="46" t="n">
        <v>17655.93</v>
      </c>
    </row>
    <row r="398" customFormat="false" ht="15" hidden="false" customHeight="false" outlineLevel="0" collapsed="false">
      <c r="A398" s="37" t="n">
        <v>500336</v>
      </c>
      <c r="B398" s="37" t="s">
        <v>752</v>
      </c>
      <c r="C398" s="37" t="n">
        <v>202508</v>
      </c>
      <c r="D398" s="37" t="s">
        <v>58</v>
      </c>
      <c r="E398" s="37" t="s">
        <v>106</v>
      </c>
      <c r="F398" s="37" t="s">
        <v>194</v>
      </c>
      <c r="G398" s="37" t="s">
        <v>354</v>
      </c>
      <c r="H398" s="37"/>
      <c r="I398" s="37" t="s">
        <v>355</v>
      </c>
      <c r="J398" s="37" t="s">
        <v>753</v>
      </c>
      <c r="K398" s="45" t="n">
        <v>205.8</v>
      </c>
      <c r="L398" s="46" t="n">
        <v>14614.79</v>
      </c>
    </row>
    <row r="399" customFormat="false" ht="15" hidden="false" customHeight="false" outlineLevel="0" collapsed="false">
      <c r="A399" s="37" t="n">
        <v>500470</v>
      </c>
      <c r="B399" s="37" t="s">
        <v>752</v>
      </c>
      <c r="C399" s="37" t="n">
        <v>202508</v>
      </c>
      <c r="D399" s="37" t="s">
        <v>59</v>
      </c>
      <c r="E399" s="37" t="s">
        <v>97</v>
      </c>
      <c r="F399" s="37" t="s">
        <v>194</v>
      </c>
      <c r="G399" s="37" t="s">
        <v>354</v>
      </c>
      <c r="H399" s="37"/>
      <c r="I399" s="37" t="s">
        <v>355</v>
      </c>
      <c r="J399" s="37" t="s">
        <v>753</v>
      </c>
      <c r="K399" s="45" t="n">
        <v>168.1</v>
      </c>
      <c r="L399" s="46" t="n">
        <v>15463.21</v>
      </c>
    </row>
    <row r="400" customFormat="false" ht="15" hidden="false" customHeight="false" outlineLevel="0" collapsed="false">
      <c r="A400" s="37" t="n">
        <v>500614</v>
      </c>
      <c r="B400" s="37" t="s">
        <v>752</v>
      </c>
      <c r="C400" s="37" t="n">
        <v>202508</v>
      </c>
      <c r="D400" s="37" t="s">
        <v>59</v>
      </c>
      <c r="E400" s="37" t="s">
        <v>101</v>
      </c>
      <c r="F400" s="37" t="s">
        <v>194</v>
      </c>
      <c r="G400" s="37" t="s">
        <v>354</v>
      </c>
      <c r="H400" s="37"/>
      <c r="I400" s="37" t="s">
        <v>355</v>
      </c>
      <c r="J400" s="37" t="s">
        <v>753</v>
      </c>
      <c r="K400" s="45" t="n">
        <v>690.7</v>
      </c>
      <c r="L400" s="46" t="n">
        <v>51109.44</v>
      </c>
    </row>
    <row r="401" customFormat="false" ht="15" hidden="false" customHeight="false" outlineLevel="0" collapsed="false">
      <c r="A401" s="37" t="n">
        <v>500799</v>
      </c>
      <c r="B401" s="37" t="s">
        <v>752</v>
      </c>
      <c r="C401" s="37" t="n">
        <v>202508</v>
      </c>
      <c r="D401" s="37" t="s">
        <v>60</v>
      </c>
      <c r="E401" s="37" t="s">
        <v>97</v>
      </c>
      <c r="F401" s="37" t="s">
        <v>194</v>
      </c>
      <c r="G401" s="37" t="s">
        <v>354</v>
      </c>
      <c r="H401" s="37"/>
      <c r="I401" s="37" t="s">
        <v>355</v>
      </c>
      <c r="J401" s="37" t="s">
        <v>753</v>
      </c>
      <c r="K401" s="45" t="n">
        <v>74.8</v>
      </c>
      <c r="L401" s="46" t="n">
        <v>6879.25</v>
      </c>
    </row>
    <row r="402" customFormat="false" ht="15" hidden="false" customHeight="false" outlineLevel="0" collapsed="false">
      <c r="A402" s="37" t="n">
        <v>500927</v>
      </c>
      <c r="B402" s="37" t="s">
        <v>752</v>
      </c>
      <c r="C402" s="37" t="n">
        <v>202508</v>
      </c>
      <c r="D402" s="37" t="s">
        <v>60</v>
      </c>
      <c r="E402" s="37" t="s">
        <v>101</v>
      </c>
      <c r="F402" s="37" t="s">
        <v>194</v>
      </c>
      <c r="G402" s="37" t="s">
        <v>354</v>
      </c>
      <c r="H402" s="37"/>
      <c r="I402" s="37" t="s">
        <v>355</v>
      </c>
      <c r="J402" s="37" t="s">
        <v>753</v>
      </c>
      <c r="K402" s="45" t="n">
        <v>259.6</v>
      </c>
      <c r="L402" s="46" t="n">
        <v>19209.23</v>
      </c>
    </row>
    <row r="403" customFormat="false" ht="15" hidden="false" customHeight="false" outlineLevel="0" collapsed="false">
      <c r="A403" s="37" t="n">
        <v>500978</v>
      </c>
      <c r="B403" s="37" t="s">
        <v>752</v>
      </c>
      <c r="C403" s="37" t="n">
        <v>202508</v>
      </c>
      <c r="D403" s="37" t="s">
        <v>60</v>
      </c>
      <c r="E403" s="37" t="s">
        <v>103</v>
      </c>
      <c r="F403" s="37" t="s">
        <v>205</v>
      </c>
      <c r="G403" s="37" t="s">
        <v>358</v>
      </c>
      <c r="H403" s="37" t="s">
        <v>727</v>
      </c>
      <c r="I403" s="37" t="s">
        <v>728</v>
      </c>
      <c r="J403" s="37" t="s">
        <v>754</v>
      </c>
      <c r="K403" s="45" t="n">
        <v>0</v>
      </c>
      <c r="L403" s="46" t="n">
        <v>4236.58</v>
      </c>
    </row>
    <row r="404" customFormat="false" ht="15" hidden="false" customHeight="false" outlineLevel="0" collapsed="false">
      <c r="A404" s="37" t="n">
        <v>501106</v>
      </c>
      <c r="B404" s="37" t="s">
        <v>752</v>
      </c>
      <c r="C404" s="37" t="n">
        <v>202508</v>
      </c>
      <c r="D404" s="37" t="s">
        <v>61</v>
      </c>
      <c r="E404" s="37" t="s">
        <v>97</v>
      </c>
      <c r="F404" s="37" t="s">
        <v>194</v>
      </c>
      <c r="G404" s="37" t="s">
        <v>354</v>
      </c>
      <c r="H404" s="37"/>
      <c r="I404" s="37" t="s">
        <v>355</v>
      </c>
      <c r="J404" s="37" t="s">
        <v>753</v>
      </c>
      <c r="K404" s="45" t="n">
        <v>35.1</v>
      </c>
      <c r="L404" s="46" t="n">
        <v>3232.37</v>
      </c>
    </row>
    <row r="405" customFormat="false" ht="15" hidden="false" customHeight="false" outlineLevel="0" collapsed="false">
      <c r="A405" s="37" t="n">
        <v>501220</v>
      </c>
      <c r="B405" s="37" t="s">
        <v>752</v>
      </c>
      <c r="C405" s="37" t="n">
        <v>202508</v>
      </c>
      <c r="D405" s="37" t="s">
        <v>61</v>
      </c>
      <c r="E405" s="37" t="s">
        <v>101</v>
      </c>
      <c r="F405" s="37" t="s">
        <v>194</v>
      </c>
      <c r="G405" s="37" t="s">
        <v>354</v>
      </c>
      <c r="H405" s="37"/>
      <c r="I405" s="37" t="s">
        <v>355</v>
      </c>
      <c r="J405" s="37" t="s">
        <v>753</v>
      </c>
      <c r="K405" s="45" t="n">
        <v>107</v>
      </c>
      <c r="L405" s="46" t="n">
        <v>7920.43</v>
      </c>
    </row>
    <row r="406" customFormat="false" ht="15" hidden="false" customHeight="false" outlineLevel="0" collapsed="false">
      <c r="A406" s="37" t="n">
        <v>501367</v>
      </c>
      <c r="B406" s="37" t="s">
        <v>752</v>
      </c>
      <c r="C406" s="37" t="n">
        <v>202508</v>
      </c>
      <c r="D406" s="37" t="s">
        <v>62</v>
      </c>
      <c r="E406" s="37" t="s">
        <v>97</v>
      </c>
      <c r="F406" s="37" t="s">
        <v>194</v>
      </c>
      <c r="G406" s="37" t="s">
        <v>354</v>
      </c>
      <c r="H406" s="37"/>
      <c r="I406" s="37" t="s">
        <v>355</v>
      </c>
      <c r="J406" s="37" t="s">
        <v>753</v>
      </c>
      <c r="K406" s="45" t="n">
        <v>29.5</v>
      </c>
      <c r="L406" s="46" t="n">
        <v>2710.07</v>
      </c>
    </row>
    <row r="407" customFormat="false" ht="15" hidden="false" customHeight="false" outlineLevel="0" collapsed="false">
      <c r="A407" s="37" t="n">
        <v>500646</v>
      </c>
      <c r="B407" s="37" t="s">
        <v>755</v>
      </c>
      <c r="C407" s="37" t="n">
        <v>202508</v>
      </c>
      <c r="D407" s="37" t="s">
        <v>59</v>
      </c>
      <c r="E407" s="37" t="s">
        <v>102</v>
      </c>
      <c r="F407" s="37" t="s">
        <v>205</v>
      </c>
      <c r="G407" s="37" t="s">
        <v>358</v>
      </c>
      <c r="H407" s="37" t="s">
        <v>591</v>
      </c>
      <c r="I407" s="37" t="s">
        <v>592</v>
      </c>
      <c r="J407" s="37" t="s">
        <v>756</v>
      </c>
      <c r="K407" s="45" t="n">
        <v>0</v>
      </c>
      <c r="L407" s="46" t="n">
        <v>173353.87</v>
      </c>
    </row>
    <row r="408" customFormat="false" ht="15" hidden="false" customHeight="false" outlineLevel="0" collapsed="false">
      <c r="A408" s="37" t="n">
        <v>500867</v>
      </c>
      <c r="B408" s="37" t="s">
        <v>755</v>
      </c>
      <c r="C408" s="37" t="n">
        <v>202508</v>
      </c>
      <c r="D408" s="37" t="s">
        <v>60</v>
      </c>
      <c r="E408" s="37" t="s">
        <v>98</v>
      </c>
      <c r="F408" s="37" t="s">
        <v>196</v>
      </c>
      <c r="G408" s="37" t="s">
        <v>358</v>
      </c>
      <c r="H408" s="37" t="s">
        <v>359</v>
      </c>
      <c r="I408" s="37" t="s">
        <v>360</v>
      </c>
      <c r="J408" s="37" t="s">
        <v>757</v>
      </c>
      <c r="K408" s="45" t="n">
        <v>0</v>
      </c>
      <c r="L408" s="46" t="n">
        <v>6118.49</v>
      </c>
    </row>
    <row r="409" customFormat="false" ht="15" hidden="false" customHeight="false" outlineLevel="0" collapsed="false">
      <c r="A409" s="37" t="n">
        <v>500962</v>
      </c>
      <c r="B409" s="37" t="s">
        <v>755</v>
      </c>
      <c r="C409" s="37" t="n">
        <v>202508</v>
      </c>
      <c r="D409" s="37" t="s">
        <v>60</v>
      </c>
      <c r="E409" s="37" t="s">
        <v>102</v>
      </c>
      <c r="F409" s="37" t="s">
        <v>205</v>
      </c>
      <c r="G409" s="37" t="s">
        <v>358</v>
      </c>
      <c r="H409" s="37" t="s">
        <v>670</v>
      </c>
      <c r="I409" s="37" t="s">
        <v>671</v>
      </c>
      <c r="J409" s="37" t="s">
        <v>758</v>
      </c>
      <c r="K409" s="45" t="n">
        <v>0</v>
      </c>
      <c r="L409" s="46" t="n">
        <v>52080.68</v>
      </c>
    </row>
    <row r="410" customFormat="false" ht="15" hidden="false" customHeight="false" outlineLevel="0" collapsed="false">
      <c r="A410" s="37" t="n">
        <v>500146</v>
      </c>
      <c r="B410" s="37" t="s">
        <v>759</v>
      </c>
      <c r="C410" s="37" t="n">
        <v>202508</v>
      </c>
      <c r="D410" s="37" t="s">
        <v>58</v>
      </c>
      <c r="E410" s="37" t="s">
        <v>98</v>
      </c>
      <c r="F410" s="37" t="s">
        <v>196</v>
      </c>
      <c r="G410" s="37" t="s">
        <v>358</v>
      </c>
      <c r="H410" s="37" t="s">
        <v>359</v>
      </c>
      <c r="I410" s="37" t="s">
        <v>360</v>
      </c>
      <c r="J410" s="37" t="s">
        <v>760</v>
      </c>
      <c r="K410" s="45" t="n">
        <v>0</v>
      </c>
      <c r="L410" s="46" t="n">
        <v>5953.47</v>
      </c>
    </row>
    <row r="411" customFormat="false" ht="15" hidden="false" customHeight="false" outlineLevel="0" collapsed="false">
      <c r="A411" s="37" t="n">
        <v>501427</v>
      </c>
      <c r="B411" s="37" t="s">
        <v>761</v>
      </c>
      <c r="C411" s="37" t="n">
        <v>202508</v>
      </c>
      <c r="D411" s="37" t="s">
        <v>62</v>
      </c>
      <c r="E411" s="37" t="s">
        <v>98</v>
      </c>
      <c r="F411" s="37" t="s">
        <v>196</v>
      </c>
      <c r="G411" s="37" t="s">
        <v>358</v>
      </c>
      <c r="H411" s="37" t="s">
        <v>359</v>
      </c>
      <c r="I411" s="37" t="s">
        <v>360</v>
      </c>
      <c r="J411" s="37" t="s">
        <v>762</v>
      </c>
      <c r="K411" s="45" t="n">
        <v>0</v>
      </c>
      <c r="L411" s="46" t="n">
        <v>9557.42</v>
      </c>
    </row>
    <row r="412" customFormat="false" ht="15" hidden="false" customHeight="false" outlineLevel="0" collapsed="false">
      <c r="A412" s="37" t="n">
        <v>500645</v>
      </c>
      <c r="B412" s="37" t="s">
        <v>763</v>
      </c>
      <c r="C412" s="37" t="n">
        <v>202508</v>
      </c>
      <c r="D412" s="37" t="s">
        <v>59</v>
      </c>
      <c r="E412" s="37" t="s">
        <v>102</v>
      </c>
      <c r="F412" s="37" t="s">
        <v>205</v>
      </c>
      <c r="G412" s="37" t="s">
        <v>358</v>
      </c>
      <c r="H412" s="37" t="s">
        <v>591</v>
      </c>
      <c r="I412" s="37" t="s">
        <v>592</v>
      </c>
      <c r="J412" s="37" t="s">
        <v>764</v>
      </c>
      <c r="K412" s="45" t="n">
        <v>0</v>
      </c>
      <c r="L412" s="46" t="n">
        <v>40049.14</v>
      </c>
    </row>
    <row r="413" customFormat="false" ht="15" hidden="false" customHeight="false" outlineLevel="0" collapsed="false">
      <c r="A413" s="37" t="n">
        <v>500665</v>
      </c>
      <c r="B413" s="37" t="s">
        <v>763</v>
      </c>
      <c r="C413" s="37" t="n">
        <v>202508</v>
      </c>
      <c r="D413" s="37" t="s">
        <v>59</v>
      </c>
      <c r="E413" s="37" t="s">
        <v>103</v>
      </c>
      <c r="F413" s="37" t="s">
        <v>205</v>
      </c>
      <c r="G413" s="37" t="s">
        <v>358</v>
      </c>
      <c r="H413" s="37" t="s">
        <v>622</v>
      </c>
      <c r="I413" s="37" t="s">
        <v>623</v>
      </c>
      <c r="J413" s="37" t="s">
        <v>765</v>
      </c>
      <c r="K413" s="45" t="n">
        <v>0</v>
      </c>
      <c r="L413" s="46" t="n">
        <v>230559.45</v>
      </c>
    </row>
    <row r="414" customFormat="false" ht="15" hidden="false" customHeight="false" outlineLevel="0" collapsed="false">
      <c r="A414" s="37" t="n">
        <v>501249</v>
      </c>
      <c r="B414" s="37" t="s">
        <v>766</v>
      </c>
      <c r="C414" s="37" t="n">
        <v>202508</v>
      </c>
      <c r="D414" s="37" t="s">
        <v>61</v>
      </c>
      <c r="E414" s="37" t="s">
        <v>102</v>
      </c>
      <c r="F414" s="37" t="s">
        <v>205</v>
      </c>
      <c r="G414" s="37" t="s">
        <v>358</v>
      </c>
      <c r="H414" s="37" t="s">
        <v>714</v>
      </c>
      <c r="I414" s="37" t="s">
        <v>715</v>
      </c>
      <c r="J414" s="37" t="s">
        <v>767</v>
      </c>
      <c r="K414" s="45" t="n">
        <v>0</v>
      </c>
      <c r="L414" s="46" t="n">
        <v>30636.91</v>
      </c>
    </row>
    <row r="415" customFormat="false" ht="15" hidden="false" customHeight="false" outlineLevel="0" collapsed="false">
      <c r="A415" s="37" t="n">
        <v>500063</v>
      </c>
      <c r="B415" s="37" t="s">
        <v>768</v>
      </c>
      <c r="C415" s="37" t="n">
        <v>202508</v>
      </c>
      <c r="D415" s="37" t="s">
        <v>58</v>
      </c>
      <c r="E415" s="37" t="s">
        <v>97</v>
      </c>
      <c r="F415" s="37" t="s">
        <v>194</v>
      </c>
      <c r="G415" s="37" t="s">
        <v>354</v>
      </c>
      <c r="H415" s="37"/>
      <c r="I415" s="37" t="s">
        <v>355</v>
      </c>
      <c r="J415" s="37" t="s">
        <v>769</v>
      </c>
      <c r="K415" s="45" t="n">
        <v>132.8</v>
      </c>
      <c r="L415" s="46" t="n">
        <v>12219.09</v>
      </c>
    </row>
    <row r="416" customFormat="false" ht="15" hidden="false" customHeight="false" outlineLevel="0" collapsed="false">
      <c r="A416" s="37" t="n">
        <v>500337</v>
      </c>
      <c r="B416" s="37" t="s">
        <v>768</v>
      </c>
      <c r="C416" s="37" t="n">
        <v>202508</v>
      </c>
      <c r="D416" s="37" t="s">
        <v>58</v>
      </c>
      <c r="E416" s="37" t="s">
        <v>106</v>
      </c>
      <c r="F416" s="37" t="s">
        <v>194</v>
      </c>
      <c r="G416" s="37" t="s">
        <v>354</v>
      </c>
      <c r="H416" s="37"/>
      <c r="I416" s="37" t="s">
        <v>355</v>
      </c>
      <c r="J416" s="37" t="s">
        <v>769</v>
      </c>
      <c r="K416" s="45" t="n">
        <v>402.1</v>
      </c>
      <c r="L416" s="46" t="n">
        <v>28551.58</v>
      </c>
    </row>
    <row r="417" customFormat="false" ht="15" hidden="false" customHeight="false" outlineLevel="0" collapsed="false">
      <c r="A417" s="37" t="n">
        <v>500471</v>
      </c>
      <c r="B417" s="37" t="s">
        <v>768</v>
      </c>
      <c r="C417" s="37" t="n">
        <v>202508</v>
      </c>
      <c r="D417" s="37" t="s">
        <v>59</v>
      </c>
      <c r="E417" s="37" t="s">
        <v>97</v>
      </c>
      <c r="F417" s="37" t="s">
        <v>194</v>
      </c>
      <c r="G417" s="37" t="s">
        <v>354</v>
      </c>
      <c r="H417" s="37"/>
      <c r="I417" s="37" t="s">
        <v>355</v>
      </c>
      <c r="J417" s="37" t="s">
        <v>769</v>
      </c>
      <c r="K417" s="45" t="n">
        <v>197.4</v>
      </c>
      <c r="L417" s="46" t="n">
        <v>18160.36</v>
      </c>
    </row>
    <row r="418" customFormat="false" ht="15" hidden="false" customHeight="false" outlineLevel="0" collapsed="false">
      <c r="A418" s="37" t="n">
        <v>500615</v>
      </c>
      <c r="B418" s="37" t="s">
        <v>768</v>
      </c>
      <c r="C418" s="37" t="n">
        <v>202508</v>
      </c>
      <c r="D418" s="37" t="s">
        <v>59</v>
      </c>
      <c r="E418" s="37" t="s">
        <v>101</v>
      </c>
      <c r="F418" s="37" t="s">
        <v>194</v>
      </c>
      <c r="G418" s="37" t="s">
        <v>354</v>
      </c>
      <c r="H418" s="37"/>
      <c r="I418" s="37" t="s">
        <v>355</v>
      </c>
      <c r="J418" s="37" t="s">
        <v>769</v>
      </c>
      <c r="K418" s="45" t="n">
        <v>479.6</v>
      </c>
      <c r="L418" s="46" t="n">
        <v>35493.29</v>
      </c>
    </row>
    <row r="419" customFormat="false" ht="15" hidden="false" customHeight="false" outlineLevel="0" collapsed="false">
      <c r="A419" s="37" t="n">
        <v>500800</v>
      </c>
      <c r="B419" s="37" t="s">
        <v>768</v>
      </c>
      <c r="C419" s="37" t="n">
        <v>202508</v>
      </c>
      <c r="D419" s="37" t="s">
        <v>60</v>
      </c>
      <c r="E419" s="37" t="s">
        <v>97</v>
      </c>
      <c r="F419" s="37" t="s">
        <v>194</v>
      </c>
      <c r="G419" s="37" t="s">
        <v>354</v>
      </c>
      <c r="H419" s="37"/>
      <c r="I419" s="37" t="s">
        <v>355</v>
      </c>
      <c r="J419" s="37" t="s">
        <v>769</v>
      </c>
      <c r="K419" s="45" t="n">
        <v>74.6</v>
      </c>
      <c r="L419" s="46" t="n">
        <v>6863.47</v>
      </c>
    </row>
    <row r="420" customFormat="false" ht="15" hidden="false" customHeight="false" outlineLevel="0" collapsed="false">
      <c r="A420" s="37" t="n">
        <v>500928</v>
      </c>
      <c r="B420" s="37" t="s">
        <v>768</v>
      </c>
      <c r="C420" s="37" t="n">
        <v>202508</v>
      </c>
      <c r="D420" s="37" t="s">
        <v>60</v>
      </c>
      <c r="E420" s="37" t="s">
        <v>101</v>
      </c>
      <c r="F420" s="37" t="s">
        <v>194</v>
      </c>
      <c r="G420" s="37" t="s">
        <v>354</v>
      </c>
      <c r="H420" s="37"/>
      <c r="I420" s="37" t="s">
        <v>355</v>
      </c>
      <c r="J420" s="37" t="s">
        <v>769</v>
      </c>
      <c r="K420" s="45" t="n">
        <v>112</v>
      </c>
      <c r="L420" s="46" t="n">
        <v>8290.42</v>
      </c>
    </row>
    <row r="421" customFormat="false" ht="15" hidden="false" customHeight="false" outlineLevel="0" collapsed="false">
      <c r="A421" s="37" t="n">
        <v>501107</v>
      </c>
      <c r="B421" s="37" t="s">
        <v>768</v>
      </c>
      <c r="C421" s="37" t="n">
        <v>202508</v>
      </c>
      <c r="D421" s="37" t="s">
        <v>61</v>
      </c>
      <c r="E421" s="37" t="s">
        <v>97</v>
      </c>
      <c r="F421" s="37" t="s">
        <v>194</v>
      </c>
      <c r="G421" s="37" t="s">
        <v>354</v>
      </c>
      <c r="H421" s="37"/>
      <c r="I421" s="37" t="s">
        <v>355</v>
      </c>
      <c r="J421" s="37" t="s">
        <v>769</v>
      </c>
      <c r="K421" s="45" t="n">
        <v>58.4</v>
      </c>
      <c r="L421" s="46" t="n">
        <v>5368.63</v>
      </c>
    </row>
    <row r="422" customFormat="false" ht="15" hidden="false" customHeight="false" outlineLevel="0" collapsed="false">
      <c r="A422" s="37" t="n">
        <v>501221</v>
      </c>
      <c r="B422" s="37" t="s">
        <v>768</v>
      </c>
      <c r="C422" s="37" t="n">
        <v>202508</v>
      </c>
      <c r="D422" s="37" t="s">
        <v>61</v>
      </c>
      <c r="E422" s="37" t="s">
        <v>101</v>
      </c>
      <c r="F422" s="37" t="s">
        <v>194</v>
      </c>
      <c r="G422" s="37" t="s">
        <v>354</v>
      </c>
      <c r="H422" s="37"/>
      <c r="I422" s="37" t="s">
        <v>355</v>
      </c>
      <c r="J422" s="37" t="s">
        <v>769</v>
      </c>
      <c r="K422" s="45" t="n">
        <v>54.5</v>
      </c>
      <c r="L422" s="46" t="n">
        <v>4030.38</v>
      </c>
    </row>
    <row r="423" customFormat="false" ht="15" hidden="false" customHeight="false" outlineLevel="0" collapsed="false">
      <c r="A423" s="37" t="n">
        <v>501368</v>
      </c>
      <c r="B423" s="37" t="s">
        <v>768</v>
      </c>
      <c r="C423" s="37" t="n">
        <v>202508</v>
      </c>
      <c r="D423" s="37" t="s">
        <v>62</v>
      </c>
      <c r="E423" s="37" t="s">
        <v>97</v>
      </c>
      <c r="F423" s="37" t="s">
        <v>194</v>
      </c>
      <c r="G423" s="37" t="s">
        <v>354</v>
      </c>
      <c r="H423" s="37"/>
      <c r="I423" s="37" t="s">
        <v>355</v>
      </c>
      <c r="J423" s="37" t="s">
        <v>769</v>
      </c>
      <c r="K423" s="45" t="n">
        <v>78.4</v>
      </c>
      <c r="L423" s="46" t="n">
        <v>7212.01</v>
      </c>
    </row>
    <row r="424" customFormat="false" ht="15" hidden="false" customHeight="false" outlineLevel="0" collapsed="false">
      <c r="A424" s="37" t="n">
        <v>500644</v>
      </c>
      <c r="B424" s="37" t="s">
        <v>770</v>
      </c>
      <c r="C424" s="37" t="n">
        <v>202508</v>
      </c>
      <c r="D424" s="37" t="s">
        <v>59</v>
      </c>
      <c r="E424" s="37" t="s">
        <v>102</v>
      </c>
      <c r="F424" s="37" t="s">
        <v>205</v>
      </c>
      <c r="G424" s="37" t="s">
        <v>358</v>
      </c>
      <c r="H424" s="37" t="s">
        <v>591</v>
      </c>
      <c r="I424" s="37" t="s">
        <v>592</v>
      </c>
      <c r="J424" s="37" t="s">
        <v>771</v>
      </c>
      <c r="K424" s="45" t="n">
        <v>0</v>
      </c>
      <c r="L424" s="46" t="n">
        <v>78712.44</v>
      </c>
    </row>
    <row r="425" customFormat="false" ht="15" hidden="false" customHeight="false" outlineLevel="0" collapsed="false">
      <c r="A425" s="37" t="n">
        <v>500866</v>
      </c>
      <c r="B425" s="37" t="s">
        <v>772</v>
      </c>
      <c r="C425" s="37" t="n">
        <v>202508</v>
      </c>
      <c r="D425" s="37" t="s">
        <v>60</v>
      </c>
      <c r="E425" s="37" t="s">
        <v>98</v>
      </c>
      <c r="F425" s="37" t="s">
        <v>196</v>
      </c>
      <c r="G425" s="37" t="s">
        <v>358</v>
      </c>
      <c r="H425" s="37" t="s">
        <v>359</v>
      </c>
      <c r="I425" s="37" t="s">
        <v>360</v>
      </c>
      <c r="J425" s="37" t="s">
        <v>773</v>
      </c>
      <c r="K425" s="45" t="n">
        <v>0</v>
      </c>
      <c r="L425" s="46" t="n">
        <v>3145.18</v>
      </c>
    </row>
    <row r="426" customFormat="false" ht="15" hidden="false" customHeight="false" outlineLevel="0" collapsed="false">
      <c r="A426" s="37" t="n">
        <v>500977</v>
      </c>
      <c r="B426" s="37" t="s">
        <v>772</v>
      </c>
      <c r="C426" s="37" t="n">
        <v>202508</v>
      </c>
      <c r="D426" s="37" t="s">
        <v>60</v>
      </c>
      <c r="E426" s="37" t="s">
        <v>103</v>
      </c>
      <c r="F426" s="37" t="s">
        <v>205</v>
      </c>
      <c r="G426" s="37" t="s">
        <v>358</v>
      </c>
      <c r="H426" s="37" t="s">
        <v>727</v>
      </c>
      <c r="I426" s="37" t="s">
        <v>728</v>
      </c>
      <c r="J426" s="37" t="s">
        <v>774</v>
      </c>
      <c r="K426" s="45" t="n">
        <v>0</v>
      </c>
      <c r="L426" s="46" t="n">
        <v>27905.41</v>
      </c>
    </row>
    <row r="427" customFormat="false" ht="15" hidden="false" customHeight="false" outlineLevel="0" collapsed="false">
      <c r="A427" s="37" t="n">
        <v>500664</v>
      </c>
      <c r="B427" s="37" t="s">
        <v>775</v>
      </c>
      <c r="C427" s="37" t="n">
        <v>202508</v>
      </c>
      <c r="D427" s="37" t="s">
        <v>59</v>
      </c>
      <c r="E427" s="37" t="s">
        <v>103</v>
      </c>
      <c r="F427" s="37" t="s">
        <v>205</v>
      </c>
      <c r="G427" s="37" t="s">
        <v>358</v>
      </c>
      <c r="H427" s="37" t="s">
        <v>622</v>
      </c>
      <c r="I427" s="37" t="s">
        <v>623</v>
      </c>
      <c r="J427" s="37" t="s">
        <v>776</v>
      </c>
      <c r="K427" s="45" t="n">
        <v>0</v>
      </c>
      <c r="L427" s="46" t="n">
        <v>73956.98</v>
      </c>
    </row>
    <row r="428" customFormat="false" ht="15" hidden="false" customHeight="false" outlineLevel="0" collapsed="false">
      <c r="A428" s="37" t="n">
        <v>501263</v>
      </c>
      <c r="B428" s="37" t="s">
        <v>777</v>
      </c>
      <c r="C428" s="37" t="n">
        <v>202508</v>
      </c>
      <c r="D428" s="37" t="s">
        <v>61</v>
      </c>
      <c r="E428" s="37" t="s">
        <v>103</v>
      </c>
      <c r="F428" s="37" t="s">
        <v>205</v>
      </c>
      <c r="G428" s="37" t="s">
        <v>358</v>
      </c>
      <c r="H428" s="37" t="s">
        <v>711</v>
      </c>
      <c r="I428" s="37" t="s">
        <v>401</v>
      </c>
      <c r="J428" s="37" t="s">
        <v>778</v>
      </c>
      <c r="K428" s="45" t="n">
        <v>0</v>
      </c>
      <c r="L428" s="46" t="n">
        <v>25962.55</v>
      </c>
    </row>
    <row r="429" customFormat="false" ht="15" hidden="false" customHeight="false" outlineLevel="0" collapsed="false">
      <c r="A429" s="37" t="n">
        <v>500541</v>
      </c>
      <c r="B429" s="37" t="s">
        <v>779</v>
      </c>
      <c r="C429" s="37" t="n">
        <v>202508</v>
      </c>
      <c r="D429" s="37" t="s">
        <v>59</v>
      </c>
      <c r="E429" s="37" t="s">
        <v>98</v>
      </c>
      <c r="F429" s="37" t="s">
        <v>196</v>
      </c>
      <c r="G429" s="37" t="s">
        <v>358</v>
      </c>
      <c r="H429" s="37" t="s">
        <v>359</v>
      </c>
      <c r="I429" s="37" t="s">
        <v>360</v>
      </c>
      <c r="J429" s="37" t="s">
        <v>780</v>
      </c>
      <c r="K429" s="45" t="n">
        <v>0</v>
      </c>
      <c r="L429" s="46" t="n">
        <v>11475.3</v>
      </c>
    </row>
    <row r="430" customFormat="false" ht="15" hidden="false" customHeight="false" outlineLevel="0" collapsed="false">
      <c r="A430" s="37" t="n">
        <v>500979</v>
      </c>
      <c r="B430" s="37" t="s">
        <v>779</v>
      </c>
      <c r="C430" s="37" t="n">
        <v>202508</v>
      </c>
      <c r="D430" s="37" t="s">
        <v>60</v>
      </c>
      <c r="E430" s="37" t="s">
        <v>103</v>
      </c>
      <c r="F430" s="37" t="s">
        <v>205</v>
      </c>
      <c r="G430" s="37" t="s">
        <v>358</v>
      </c>
      <c r="H430" s="37" t="s">
        <v>727</v>
      </c>
      <c r="I430" s="37" t="s">
        <v>728</v>
      </c>
      <c r="J430" s="37" t="s">
        <v>781</v>
      </c>
      <c r="K430" s="45" t="n">
        <v>0</v>
      </c>
      <c r="L430" s="46" t="n">
        <v>34237.09</v>
      </c>
    </row>
    <row r="431" customFormat="false" ht="15" hidden="false" customHeight="false" outlineLevel="0" collapsed="false">
      <c r="A431" s="37" t="n">
        <v>500542</v>
      </c>
      <c r="B431" s="37" t="s">
        <v>782</v>
      </c>
      <c r="C431" s="37" t="n">
        <v>202508</v>
      </c>
      <c r="D431" s="37" t="s">
        <v>59</v>
      </c>
      <c r="E431" s="37" t="s">
        <v>98</v>
      </c>
      <c r="F431" s="37" t="s">
        <v>196</v>
      </c>
      <c r="G431" s="37" t="s">
        <v>358</v>
      </c>
      <c r="H431" s="37" t="s">
        <v>359</v>
      </c>
      <c r="I431" s="37" t="s">
        <v>360</v>
      </c>
      <c r="J431" s="37" t="s">
        <v>783</v>
      </c>
      <c r="K431" s="45" t="n">
        <v>0</v>
      </c>
      <c r="L431" s="46" t="n">
        <v>6180.51</v>
      </c>
    </row>
    <row r="432" customFormat="false" ht="15" hidden="false" customHeight="false" outlineLevel="0" collapsed="false">
      <c r="A432" s="37" t="n">
        <v>500064</v>
      </c>
      <c r="B432" s="37" t="s">
        <v>784</v>
      </c>
      <c r="C432" s="37" t="n">
        <v>202508</v>
      </c>
      <c r="D432" s="37" t="s">
        <v>58</v>
      </c>
      <c r="E432" s="37" t="s">
        <v>97</v>
      </c>
      <c r="F432" s="37" t="s">
        <v>194</v>
      </c>
      <c r="G432" s="37" t="s">
        <v>354</v>
      </c>
      <c r="H432" s="37"/>
      <c r="I432" s="37" t="s">
        <v>355</v>
      </c>
      <c r="J432" s="37" t="s">
        <v>785</v>
      </c>
      <c r="K432" s="45" t="n">
        <v>184.5</v>
      </c>
      <c r="L432" s="46" t="n">
        <v>16977.01</v>
      </c>
    </row>
    <row r="433" customFormat="false" ht="15" hidden="false" customHeight="false" outlineLevel="0" collapsed="false">
      <c r="A433" s="37" t="n">
        <v>500338</v>
      </c>
      <c r="B433" s="37" t="s">
        <v>784</v>
      </c>
      <c r="C433" s="37" t="n">
        <v>202508</v>
      </c>
      <c r="D433" s="37" t="s">
        <v>58</v>
      </c>
      <c r="E433" s="37" t="s">
        <v>106</v>
      </c>
      <c r="F433" s="37" t="s">
        <v>194</v>
      </c>
      <c r="G433" s="37" t="s">
        <v>354</v>
      </c>
      <c r="H433" s="37"/>
      <c r="I433" s="37" t="s">
        <v>355</v>
      </c>
      <c r="J433" s="37" t="s">
        <v>785</v>
      </c>
      <c r="K433" s="45" t="n">
        <v>150.6</v>
      </c>
      <c r="L433" s="46" t="n">
        <v>10693.26</v>
      </c>
    </row>
    <row r="434" customFormat="false" ht="15" hidden="false" customHeight="false" outlineLevel="0" collapsed="false">
      <c r="A434" s="37" t="n">
        <v>500472</v>
      </c>
      <c r="B434" s="37" t="s">
        <v>784</v>
      </c>
      <c r="C434" s="37" t="n">
        <v>202508</v>
      </c>
      <c r="D434" s="37" t="s">
        <v>59</v>
      </c>
      <c r="E434" s="37" t="s">
        <v>97</v>
      </c>
      <c r="F434" s="37" t="s">
        <v>194</v>
      </c>
      <c r="G434" s="37" t="s">
        <v>354</v>
      </c>
      <c r="H434" s="37"/>
      <c r="I434" s="37" t="s">
        <v>355</v>
      </c>
      <c r="J434" s="37" t="s">
        <v>785</v>
      </c>
      <c r="K434" s="45" t="n">
        <v>145.9</v>
      </c>
      <c r="L434" s="46" t="n">
        <v>13425.38</v>
      </c>
    </row>
    <row r="435" customFormat="false" ht="15" hidden="false" customHeight="false" outlineLevel="0" collapsed="false">
      <c r="A435" s="37" t="n">
        <v>500616</v>
      </c>
      <c r="B435" s="37" t="s">
        <v>784</v>
      </c>
      <c r="C435" s="37" t="n">
        <v>202508</v>
      </c>
      <c r="D435" s="37" t="s">
        <v>59</v>
      </c>
      <c r="E435" s="37" t="s">
        <v>101</v>
      </c>
      <c r="F435" s="37" t="s">
        <v>194</v>
      </c>
      <c r="G435" s="37" t="s">
        <v>354</v>
      </c>
      <c r="H435" s="37"/>
      <c r="I435" s="37" t="s">
        <v>355</v>
      </c>
      <c r="J435" s="37" t="s">
        <v>785</v>
      </c>
      <c r="K435" s="45" t="n">
        <v>604.3</v>
      </c>
      <c r="L435" s="46" t="n">
        <v>44717.52</v>
      </c>
    </row>
    <row r="436" customFormat="false" ht="15" hidden="false" customHeight="false" outlineLevel="0" collapsed="false">
      <c r="A436" s="37" t="n">
        <v>500801</v>
      </c>
      <c r="B436" s="37" t="s">
        <v>784</v>
      </c>
      <c r="C436" s="37" t="n">
        <v>202508</v>
      </c>
      <c r="D436" s="37" t="s">
        <v>60</v>
      </c>
      <c r="E436" s="37" t="s">
        <v>97</v>
      </c>
      <c r="F436" s="37" t="s">
        <v>194</v>
      </c>
      <c r="G436" s="37" t="s">
        <v>354</v>
      </c>
      <c r="H436" s="37"/>
      <c r="I436" s="37" t="s">
        <v>355</v>
      </c>
      <c r="J436" s="37" t="s">
        <v>785</v>
      </c>
      <c r="K436" s="45" t="n">
        <v>124.5</v>
      </c>
      <c r="L436" s="46" t="n">
        <v>11455.17</v>
      </c>
    </row>
    <row r="437" customFormat="false" ht="15" hidden="false" customHeight="false" outlineLevel="0" collapsed="false">
      <c r="A437" s="37" t="n">
        <v>500929</v>
      </c>
      <c r="B437" s="37" t="s">
        <v>784</v>
      </c>
      <c r="C437" s="37" t="n">
        <v>202508</v>
      </c>
      <c r="D437" s="37" t="s">
        <v>60</v>
      </c>
      <c r="E437" s="37" t="s">
        <v>101</v>
      </c>
      <c r="F437" s="37" t="s">
        <v>194</v>
      </c>
      <c r="G437" s="37" t="s">
        <v>354</v>
      </c>
      <c r="H437" s="37"/>
      <c r="I437" s="37" t="s">
        <v>355</v>
      </c>
      <c r="J437" s="37" t="s">
        <v>785</v>
      </c>
      <c r="K437" s="45" t="n">
        <v>362.5</v>
      </c>
      <c r="L437" s="46" t="n">
        <v>26822.98</v>
      </c>
    </row>
    <row r="438" customFormat="false" ht="15" hidden="false" customHeight="false" outlineLevel="0" collapsed="false">
      <c r="A438" s="37" t="n">
        <v>501108</v>
      </c>
      <c r="B438" s="37" t="s">
        <v>784</v>
      </c>
      <c r="C438" s="37" t="n">
        <v>202508</v>
      </c>
      <c r="D438" s="37" t="s">
        <v>61</v>
      </c>
      <c r="E438" s="37" t="s">
        <v>97</v>
      </c>
      <c r="F438" s="37" t="s">
        <v>194</v>
      </c>
      <c r="G438" s="37" t="s">
        <v>354</v>
      </c>
      <c r="H438" s="37"/>
      <c r="I438" s="37" t="s">
        <v>355</v>
      </c>
      <c r="J438" s="37" t="s">
        <v>785</v>
      </c>
      <c r="K438" s="45" t="n">
        <v>80.4</v>
      </c>
      <c r="L438" s="46" t="n">
        <v>7396.66</v>
      </c>
    </row>
    <row r="439" customFormat="false" ht="15" hidden="false" customHeight="false" outlineLevel="0" collapsed="false">
      <c r="A439" s="37" t="n">
        <v>501222</v>
      </c>
      <c r="B439" s="37" t="s">
        <v>784</v>
      </c>
      <c r="C439" s="37" t="n">
        <v>202508</v>
      </c>
      <c r="D439" s="37" t="s">
        <v>61</v>
      </c>
      <c r="E439" s="37" t="s">
        <v>101</v>
      </c>
      <c r="F439" s="37" t="s">
        <v>194</v>
      </c>
      <c r="G439" s="37" t="s">
        <v>354</v>
      </c>
      <c r="H439" s="37"/>
      <c r="I439" s="37" t="s">
        <v>355</v>
      </c>
      <c r="J439" s="37" t="s">
        <v>785</v>
      </c>
      <c r="K439" s="45" t="n">
        <v>312.1</v>
      </c>
      <c r="L439" s="46" t="n">
        <v>23094.14</v>
      </c>
    </row>
    <row r="440" customFormat="false" ht="15" hidden="false" customHeight="false" outlineLevel="0" collapsed="false">
      <c r="A440" s="37" t="n">
        <v>501369</v>
      </c>
      <c r="B440" s="37" t="s">
        <v>784</v>
      </c>
      <c r="C440" s="37" t="n">
        <v>202508</v>
      </c>
      <c r="D440" s="37" t="s">
        <v>62</v>
      </c>
      <c r="E440" s="37" t="s">
        <v>97</v>
      </c>
      <c r="F440" s="37" t="s">
        <v>194</v>
      </c>
      <c r="G440" s="37" t="s">
        <v>354</v>
      </c>
      <c r="H440" s="37"/>
      <c r="I440" s="37" t="s">
        <v>355</v>
      </c>
      <c r="J440" s="37" t="s">
        <v>785</v>
      </c>
      <c r="K440" s="45" t="n">
        <v>91</v>
      </c>
      <c r="L440" s="46" t="n">
        <v>8372.59</v>
      </c>
    </row>
    <row r="441" customFormat="false" ht="15" hidden="false" customHeight="false" outlineLevel="0" collapsed="false">
      <c r="A441" s="37" t="n">
        <v>500543</v>
      </c>
      <c r="B441" s="37" t="s">
        <v>786</v>
      </c>
      <c r="C441" s="37" t="n">
        <v>202508</v>
      </c>
      <c r="D441" s="37" t="s">
        <v>59</v>
      </c>
      <c r="E441" s="37" t="s">
        <v>98</v>
      </c>
      <c r="F441" s="37" t="s">
        <v>196</v>
      </c>
      <c r="G441" s="37" t="s">
        <v>358</v>
      </c>
      <c r="H441" s="37" t="s">
        <v>359</v>
      </c>
      <c r="I441" s="37" t="s">
        <v>360</v>
      </c>
      <c r="J441" s="37" t="s">
        <v>787</v>
      </c>
      <c r="K441" s="45" t="n">
        <v>0</v>
      </c>
      <c r="L441" s="46" t="n">
        <v>20558.14</v>
      </c>
    </row>
    <row r="442" customFormat="false" ht="15" hidden="false" customHeight="false" outlineLevel="0" collapsed="false">
      <c r="A442" s="37" t="n">
        <v>500961</v>
      </c>
      <c r="B442" s="37" t="s">
        <v>786</v>
      </c>
      <c r="C442" s="37" t="n">
        <v>202508</v>
      </c>
      <c r="D442" s="37" t="s">
        <v>60</v>
      </c>
      <c r="E442" s="37" t="s">
        <v>102</v>
      </c>
      <c r="F442" s="37" t="s">
        <v>205</v>
      </c>
      <c r="G442" s="37" t="s">
        <v>358</v>
      </c>
      <c r="H442" s="37" t="s">
        <v>670</v>
      </c>
      <c r="I442" s="37" t="s">
        <v>671</v>
      </c>
      <c r="J442" s="37" t="s">
        <v>788</v>
      </c>
      <c r="K442" s="45" t="n">
        <v>0</v>
      </c>
      <c r="L442" s="46" t="n">
        <v>22924.1</v>
      </c>
    </row>
    <row r="443" customFormat="false" ht="15" hidden="false" customHeight="false" outlineLevel="0" collapsed="false">
      <c r="A443" s="37" t="n">
        <v>501168</v>
      </c>
      <c r="B443" s="37" t="s">
        <v>789</v>
      </c>
      <c r="C443" s="37" t="n">
        <v>202508</v>
      </c>
      <c r="D443" s="37" t="s">
        <v>61</v>
      </c>
      <c r="E443" s="37" t="s">
        <v>98</v>
      </c>
      <c r="F443" s="37" t="s">
        <v>196</v>
      </c>
      <c r="G443" s="37" t="s">
        <v>358</v>
      </c>
      <c r="H443" s="37" t="s">
        <v>359</v>
      </c>
      <c r="I443" s="37" t="s">
        <v>360</v>
      </c>
      <c r="J443" s="37" t="s">
        <v>790</v>
      </c>
      <c r="K443" s="45" t="n">
        <v>0</v>
      </c>
      <c r="L443" s="46" t="n">
        <v>8967.82</v>
      </c>
    </row>
    <row r="444" customFormat="false" ht="15" hidden="false" customHeight="false" outlineLevel="0" collapsed="false">
      <c r="A444" s="37" t="n">
        <v>500147</v>
      </c>
      <c r="B444" s="37" t="s">
        <v>791</v>
      </c>
      <c r="C444" s="37" t="n">
        <v>202508</v>
      </c>
      <c r="D444" s="37" t="s">
        <v>58</v>
      </c>
      <c r="E444" s="37" t="s">
        <v>98</v>
      </c>
      <c r="F444" s="37" t="s">
        <v>196</v>
      </c>
      <c r="G444" s="37" t="s">
        <v>358</v>
      </c>
      <c r="H444" s="37" t="s">
        <v>359</v>
      </c>
      <c r="I444" s="37" t="s">
        <v>360</v>
      </c>
      <c r="J444" s="37" t="s">
        <v>792</v>
      </c>
      <c r="K444" s="45" t="n">
        <v>0</v>
      </c>
      <c r="L444" s="46" t="n">
        <v>5215.8</v>
      </c>
    </row>
    <row r="445" customFormat="false" ht="15" hidden="false" customHeight="false" outlineLevel="0" collapsed="false">
      <c r="A445" s="37" t="n">
        <v>500148</v>
      </c>
      <c r="B445" s="37" t="s">
        <v>791</v>
      </c>
      <c r="C445" s="37" t="n">
        <v>202508</v>
      </c>
      <c r="D445" s="37" t="s">
        <v>58</v>
      </c>
      <c r="E445" s="37" t="s">
        <v>98</v>
      </c>
      <c r="F445" s="37" t="s">
        <v>196</v>
      </c>
      <c r="G445" s="37" t="s">
        <v>358</v>
      </c>
      <c r="H445" s="37" t="s">
        <v>359</v>
      </c>
      <c r="I445" s="37" t="s">
        <v>360</v>
      </c>
      <c r="J445" s="37" t="s">
        <v>793</v>
      </c>
      <c r="K445" s="45" t="n">
        <v>0</v>
      </c>
      <c r="L445" s="46" t="n">
        <v>16277.17</v>
      </c>
    </row>
    <row r="446" customFormat="false" ht="15" hidden="false" customHeight="false" outlineLevel="0" collapsed="false">
      <c r="A446" s="37" t="n">
        <v>500304</v>
      </c>
      <c r="B446" s="37" t="s">
        <v>791</v>
      </c>
      <c r="C446" s="37" t="n">
        <v>202508</v>
      </c>
      <c r="D446" s="37" t="s">
        <v>58</v>
      </c>
      <c r="E446" s="37" t="s">
        <v>104</v>
      </c>
      <c r="F446" s="37" t="s">
        <v>201</v>
      </c>
      <c r="G446" s="37" t="s">
        <v>358</v>
      </c>
      <c r="H446" s="37" t="s">
        <v>578</v>
      </c>
      <c r="I446" s="37" t="s">
        <v>579</v>
      </c>
      <c r="J446" s="37" t="s">
        <v>794</v>
      </c>
      <c r="K446" s="45" t="n">
        <v>0</v>
      </c>
      <c r="L446" s="46" t="n">
        <v>137906.7</v>
      </c>
    </row>
    <row r="447" customFormat="false" ht="15" hidden="false" customHeight="false" outlineLevel="0" collapsed="false">
      <c r="A447" s="37" t="n">
        <v>500317</v>
      </c>
      <c r="B447" s="37" t="s">
        <v>791</v>
      </c>
      <c r="C447" s="37" t="n">
        <v>202508</v>
      </c>
      <c r="D447" s="37" t="s">
        <v>58</v>
      </c>
      <c r="E447" s="37" t="s">
        <v>105</v>
      </c>
      <c r="F447" s="37" t="s">
        <v>201</v>
      </c>
      <c r="G447" s="37" t="s">
        <v>358</v>
      </c>
      <c r="H447" s="37" t="s">
        <v>507</v>
      </c>
      <c r="I447" s="37" t="s">
        <v>508</v>
      </c>
      <c r="J447" s="37" t="s">
        <v>794</v>
      </c>
      <c r="K447" s="45" t="n">
        <v>0</v>
      </c>
      <c r="L447" s="46" t="n">
        <v>52454.1</v>
      </c>
    </row>
    <row r="448" customFormat="false" ht="15" hidden="false" customHeight="false" outlineLevel="0" collapsed="false">
      <c r="A448" s="37" t="n">
        <v>500372</v>
      </c>
      <c r="B448" s="37" t="s">
        <v>791</v>
      </c>
      <c r="C448" s="37" t="n">
        <v>202508</v>
      </c>
      <c r="D448" s="37" t="s">
        <v>58</v>
      </c>
      <c r="E448" s="37" t="s">
        <v>107</v>
      </c>
      <c r="F448" s="37" t="s">
        <v>201</v>
      </c>
      <c r="G448" s="37" t="s">
        <v>358</v>
      </c>
      <c r="H448" s="37" t="s">
        <v>684</v>
      </c>
      <c r="I448" s="37" t="s">
        <v>685</v>
      </c>
      <c r="J448" s="37" t="s">
        <v>794</v>
      </c>
      <c r="K448" s="45" t="n">
        <v>0</v>
      </c>
      <c r="L448" s="46" t="n">
        <v>181430.2</v>
      </c>
    </row>
    <row r="449" customFormat="false" ht="15" hidden="false" customHeight="false" outlineLevel="0" collapsed="false">
      <c r="A449" s="37" t="n">
        <v>500416</v>
      </c>
      <c r="B449" s="37" t="s">
        <v>791</v>
      </c>
      <c r="C449" s="37" t="n">
        <v>202508</v>
      </c>
      <c r="D449" s="37" t="s">
        <v>58</v>
      </c>
      <c r="E449" s="37" t="s">
        <v>110</v>
      </c>
      <c r="F449" s="37" t="s">
        <v>201</v>
      </c>
      <c r="G449" s="37" t="s">
        <v>358</v>
      </c>
      <c r="H449" s="37" t="s">
        <v>547</v>
      </c>
      <c r="I449" s="37" t="s">
        <v>548</v>
      </c>
      <c r="J449" s="37" t="s">
        <v>794</v>
      </c>
      <c r="K449" s="45" t="n">
        <v>0</v>
      </c>
      <c r="L449" s="46" t="n">
        <v>207857.18</v>
      </c>
    </row>
    <row r="450" customFormat="false" ht="15" hidden="false" customHeight="false" outlineLevel="0" collapsed="false">
      <c r="A450" s="37" t="n">
        <v>500435</v>
      </c>
      <c r="B450" s="37" t="s">
        <v>791</v>
      </c>
      <c r="C450" s="37" t="n">
        <v>202508</v>
      </c>
      <c r="D450" s="37" t="s">
        <v>58</v>
      </c>
      <c r="E450" s="37" t="s">
        <v>111</v>
      </c>
      <c r="F450" s="37" t="s">
        <v>201</v>
      </c>
      <c r="G450" s="37" t="s">
        <v>358</v>
      </c>
      <c r="H450" s="37" t="s">
        <v>549</v>
      </c>
      <c r="I450" s="37" t="s">
        <v>550</v>
      </c>
      <c r="J450" s="37" t="s">
        <v>794</v>
      </c>
      <c r="K450" s="45" t="n">
        <v>0</v>
      </c>
      <c r="L450" s="46" t="n">
        <v>110337.11</v>
      </c>
    </row>
    <row r="451" customFormat="false" ht="15" hidden="false" customHeight="false" outlineLevel="0" collapsed="false">
      <c r="A451" s="37" t="n">
        <v>500594</v>
      </c>
      <c r="B451" s="37" t="s">
        <v>791</v>
      </c>
      <c r="C451" s="37" t="n">
        <v>202508</v>
      </c>
      <c r="D451" s="37" t="s">
        <v>59</v>
      </c>
      <c r="E451" s="37" t="s">
        <v>100</v>
      </c>
      <c r="F451" s="37" t="s">
        <v>201</v>
      </c>
      <c r="G451" s="37" t="s">
        <v>358</v>
      </c>
      <c r="H451" s="37" t="s">
        <v>581</v>
      </c>
      <c r="I451" s="37" t="s">
        <v>370</v>
      </c>
      <c r="J451" s="37" t="s">
        <v>794</v>
      </c>
      <c r="K451" s="45" t="n">
        <v>0</v>
      </c>
      <c r="L451" s="46" t="n">
        <v>42203.22</v>
      </c>
    </row>
    <row r="452" customFormat="false" ht="15" hidden="false" customHeight="false" outlineLevel="0" collapsed="false">
      <c r="A452" s="37" t="n">
        <v>500678</v>
      </c>
      <c r="B452" s="37" t="s">
        <v>791</v>
      </c>
      <c r="C452" s="37" t="n">
        <v>202508</v>
      </c>
      <c r="D452" s="37" t="s">
        <v>59</v>
      </c>
      <c r="E452" s="37" t="s">
        <v>105</v>
      </c>
      <c r="F452" s="37" t="s">
        <v>201</v>
      </c>
      <c r="G452" s="37" t="s">
        <v>358</v>
      </c>
      <c r="H452" s="37" t="s">
        <v>795</v>
      </c>
      <c r="I452" s="37" t="s">
        <v>796</v>
      </c>
      <c r="J452" s="37" t="s">
        <v>794</v>
      </c>
      <c r="K452" s="45" t="n">
        <v>0</v>
      </c>
      <c r="L452" s="46" t="n">
        <v>87093.85</v>
      </c>
    </row>
    <row r="453" customFormat="false" ht="15" hidden="false" customHeight="false" outlineLevel="0" collapsed="false">
      <c r="A453" s="37" t="n">
        <v>500914</v>
      </c>
      <c r="B453" s="37" t="s">
        <v>791</v>
      </c>
      <c r="C453" s="37" t="n">
        <v>202508</v>
      </c>
      <c r="D453" s="37" t="s">
        <v>60</v>
      </c>
      <c r="E453" s="37" t="s">
        <v>100</v>
      </c>
      <c r="F453" s="37" t="s">
        <v>201</v>
      </c>
      <c r="G453" s="37" t="s">
        <v>358</v>
      </c>
      <c r="H453" s="37" t="s">
        <v>645</v>
      </c>
      <c r="I453" s="37" t="s">
        <v>646</v>
      </c>
      <c r="J453" s="37" t="s">
        <v>794</v>
      </c>
      <c r="K453" s="45" t="n">
        <v>0</v>
      </c>
      <c r="L453" s="46" t="n">
        <v>137640.33</v>
      </c>
    </row>
    <row r="454" customFormat="false" ht="15" hidden="false" customHeight="false" outlineLevel="0" collapsed="false">
      <c r="A454" s="37" t="n">
        <v>501212</v>
      </c>
      <c r="B454" s="37" t="s">
        <v>791</v>
      </c>
      <c r="C454" s="37" t="n">
        <v>202508</v>
      </c>
      <c r="D454" s="37" t="s">
        <v>61</v>
      </c>
      <c r="E454" s="37" t="s">
        <v>100</v>
      </c>
      <c r="F454" s="37" t="s">
        <v>201</v>
      </c>
      <c r="G454" s="37" t="s">
        <v>358</v>
      </c>
      <c r="H454" s="37" t="s">
        <v>687</v>
      </c>
      <c r="I454" s="37" t="s">
        <v>688</v>
      </c>
      <c r="J454" s="37" t="s">
        <v>794</v>
      </c>
      <c r="K454" s="45" t="n">
        <v>0</v>
      </c>
      <c r="L454" s="46" t="n">
        <v>228677.17</v>
      </c>
    </row>
    <row r="455" customFormat="false" ht="15" hidden="false" customHeight="false" outlineLevel="0" collapsed="false">
      <c r="A455" s="37" t="n">
        <v>501469</v>
      </c>
      <c r="B455" s="37" t="s">
        <v>791</v>
      </c>
      <c r="C455" s="37" t="n">
        <v>202508</v>
      </c>
      <c r="D455" s="37" t="s">
        <v>62</v>
      </c>
      <c r="E455" s="37" t="s">
        <v>100</v>
      </c>
      <c r="F455" s="37" t="s">
        <v>201</v>
      </c>
      <c r="G455" s="37" t="s">
        <v>358</v>
      </c>
      <c r="H455" s="37" t="s">
        <v>797</v>
      </c>
      <c r="I455" s="37" t="s">
        <v>646</v>
      </c>
      <c r="J455" s="37" t="s">
        <v>794</v>
      </c>
      <c r="K455" s="45" t="n">
        <v>0</v>
      </c>
      <c r="L455" s="46" t="n">
        <v>61177.75</v>
      </c>
    </row>
    <row r="456" customFormat="false" ht="15" hidden="false" customHeight="false" outlineLevel="0" collapsed="false">
      <c r="A456" s="37" t="n">
        <v>501264</v>
      </c>
      <c r="B456" s="37" t="s">
        <v>798</v>
      </c>
      <c r="C456" s="37" t="n">
        <v>202508</v>
      </c>
      <c r="D456" s="37" t="s">
        <v>61</v>
      </c>
      <c r="E456" s="37" t="s">
        <v>103</v>
      </c>
      <c r="F456" s="37" t="s">
        <v>205</v>
      </c>
      <c r="G456" s="37" t="s">
        <v>358</v>
      </c>
      <c r="H456" s="37" t="s">
        <v>711</v>
      </c>
      <c r="I456" s="37" t="s">
        <v>401</v>
      </c>
      <c r="J456" s="37" t="s">
        <v>799</v>
      </c>
      <c r="K456" s="45" t="n">
        <v>0</v>
      </c>
      <c r="L456" s="46" t="n">
        <v>27772.17</v>
      </c>
    </row>
    <row r="457" customFormat="false" ht="15" hidden="false" customHeight="false" outlineLevel="0" collapsed="false">
      <c r="A457" s="37" t="n">
        <v>500065</v>
      </c>
      <c r="B457" s="37" t="s">
        <v>800</v>
      </c>
      <c r="C457" s="37" t="n">
        <v>202508</v>
      </c>
      <c r="D457" s="37" t="s">
        <v>58</v>
      </c>
      <c r="E457" s="37" t="s">
        <v>97</v>
      </c>
      <c r="F457" s="37" t="s">
        <v>194</v>
      </c>
      <c r="G457" s="37" t="s">
        <v>354</v>
      </c>
      <c r="H457" s="37"/>
      <c r="I457" s="37" t="s">
        <v>355</v>
      </c>
      <c r="J457" s="37" t="s">
        <v>801</v>
      </c>
      <c r="K457" s="45" t="n">
        <v>79.3</v>
      </c>
      <c r="L457" s="46" t="n">
        <v>7294.84</v>
      </c>
    </row>
    <row r="458" customFormat="false" ht="15" hidden="false" customHeight="false" outlineLevel="0" collapsed="false">
      <c r="A458" s="37" t="n">
        <v>500339</v>
      </c>
      <c r="B458" s="37" t="s">
        <v>800</v>
      </c>
      <c r="C458" s="37" t="n">
        <v>202508</v>
      </c>
      <c r="D458" s="37" t="s">
        <v>58</v>
      </c>
      <c r="E458" s="37" t="s">
        <v>106</v>
      </c>
      <c r="F458" s="37" t="s">
        <v>194</v>
      </c>
      <c r="G458" s="37" t="s">
        <v>354</v>
      </c>
      <c r="H458" s="37"/>
      <c r="I458" s="37" t="s">
        <v>355</v>
      </c>
      <c r="J458" s="37" t="s">
        <v>801</v>
      </c>
      <c r="K458" s="45" t="n">
        <v>186.1</v>
      </c>
      <c r="L458" s="46" t="n">
        <v>13212.49</v>
      </c>
    </row>
    <row r="459" customFormat="false" ht="15" hidden="false" customHeight="false" outlineLevel="0" collapsed="false">
      <c r="A459" s="37" t="n">
        <v>500473</v>
      </c>
      <c r="B459" s="37" t="s">
        <v>800</v>
      </c>
      <c r="C459" s="37" t="n">
        <v>202508</v>
      </c>
      <c r="D459" s="37" t="s">
        <v>59</v>
      </c>
      <c r="E459" s="37" t="s">
        <v>97</v>
      </c>
      <c r="F459" s="37" t="s">
        <v>194</v>
      </c>
      <c r="G459" s="37" t="s">
        <v>354</v>
      </c>
      <c r="H459" s="37"/>
      <c r="I459" s="37" t="s">
        <v>355</v>
      </c>
      <c r="J459" s="37" t="s">
        <v>801</v>
      </c>
      <c r="K459" s="45" t="n">
        <v>109.8</v>
      </c>
      <c r="L459" s="46" t="n">
        <v>10099.53</v>
      </c>
    </row>
    <row r="460" customFormat="false" ht="15" hidden="false" customHeight="false" outlineLevel="0" collapsed="false">
      <c r="A460" s="37" t="n">
        <v>500617</v>
      </c>
      <c r="B460" s="37" t="s">
        <v>800</v>
      </c>
      <c r="C460" s="37" t="n">
        <v>202508</v>
      </c>
      <c r="D460" s="37" t="s">
        <v>59</v>
      </c>
      <c r="E460" s="37" t="s">
        <v>101</v>
      </c>
      <c r="F460" s="37" t="s">
        <v>194</v>
      </c>
      <c r="G460" s="37" t="s">
        <v>354</v>
      </c>
      <c r="H460" s="37"/>
      <c r="I460" s="37" t="s">
        <v>355</v>
      </c>
      <c r="J460" s="37" t="s">
        <v>801</v>
      </c>
      <c r="K460" s="45" t="n">
        <v>1239.8</v>
      </c>
      <c r="L460" s="46" t="n">
        <v>91747.22</v>
      </c>
    </row>
    <row r="461" customFormat="false" ht="15" hidden="false" customHeight="false" outlineLevel="0" collapsed="false">
      <c r="A461" s="37" t="n">
        <v>500802</v>
      </c>
      <c r="B461" s="37" t="s">
        <v>800</v>
      </c>
      <c r="C461" s="37" t="n">
        <v>202508</v>
      </c>
      <c r="D461" s="37" t="s">
        <v>60</v>
      </c>
      <c r="E461" s="37" t="s">
        <v>97</v>
      </c>
      <c r="F461" s="37" t="s">
        <v>194</v>
      </c>
      <c r="G461" s="37" t="s">
        <v>354</v>
      </c>
      <c r="H461" s="37"/>
      <c r="I461" s="37" t="s">
        <v>355</v>
      </c>
      <c r="J461" s="37" t="s">
        <v>801</v>
      </c>
      <c r="K461" s="45" t="n">
        <v>84.6</v>
      </c>
      <c r="L461" s="46" t="n">
        <v>7783.22</v>
      </c>
    </row>
    <row r="462" customFormat="false" ht="15" hidden="false" customHeight="false" outlineLevel="0" collapsed="false">
      <c r="A462" s="37" t="n">
        <v>500930</v>
      </c>
      <c r="B462" s="37" t="s">
        <v>800</v>
      </c>
      <c r="C462" s="37" t="n">
        <v>202508</v>
      </c>
      <c r="D462" s="37" t="s">
        <v>60</v>
      </c>
      <c r="E462" s="37" t="s">
        <v>101</v>
      </c>
      <c r="F462" s="37" t="s">
        <v>194</v>
      </c>
      <c r="G462" s="37" t="s">
        <v>354</v>
      </c>
      <c r="H462" s="37"/>
      <c r="I462" s="37" t="s">
        <v>355</v>
      </c>
      <c r="J462" s="37" t="s">
        <v>801</v>
      </c>
      <c r="K462" s="45" t="n">
        <v>233.4</v>
      </c>
      <c r="L462" s="46" t="n">
        <v>17271.71</v>
      </c>
    </row>
    <row r="463" customFormat="false" ht="15" hidden="false" customHeight="false" outlineLevel="0" collapsed="false">
      <c r="A463" s="37" t="n">
        <v>501109</v>
      </c>
      <c r="B463" s="37" t="s">
        <v>800</v>
      </c>
      <c r="C463" s="37" t="n">
        <v>202508</v>
      </c>
      <c r="D463" s="37" t="s">
        <v>61</v>
      </c>
      <c r="E463" s="37" t="s">
        <v>97</v>
      </c>
      <c r="F463" s="37" t="s">
        <v>194</v>
      </c>
      <c r="G463" s="37" t="s">
        <v>354</v>
      </c>
      <c r="H463" s="37"/>
      <c r="I463" s="37" t="s">
        <v>355</v>
      </c>
      <c r="J463" s="37" t="s">
        <v>801</v>
      </c>
      <c r="K463" s="45" t="n">
        <v>68.3</v>
      </c>
      <c r="L463" s="46" t="n">
        <v>6284.66</v>
      </c>
    </row>
    <row r="464" customFormat="false" ht="15" hidden="false" customHeight="false" outlineLevel="0" collapsed="false">
      <c r="A464" s="37" t="n">
        <v>501223</v>
      </c>
      <c r="B464" s="37" t="s">
        <v>800</v>
      </c>
      <c r="C464" s="37" t="n">
        <v>202508</v>
      </c>
      <c r="D464" s="37" t="s">
        <v>61</v>
      </c>
      <c r="E464" s="37" t="s">
        <v>101</v>
      </c>
      <c r="F464" s="37" t="s">
        <v>194</v>
      </c>
      <c r="G464" s="37" t="s">
        <v>354</v>
      </c>
      <c r="H464" s="37"/>
      <c r="I464" s="37" t="s">
        <v>355</v>
      </c>
      <c r="J464" s="37" t="s">
        <v>801</v>
      </c>
      <c r="K464" s="45" t="n">
        <v>132.5</v>
      </c>
      <c r="L464" s="46" t="n">
        <v>9804.8</v>
      </c>
    </row>
    <row r="465" customFormat="false" ht="15" hidden="false" customHeight="false" outlineLevel="0" collapsed="false">
      <c r="A465" s="37" t="n">
        <v>501370</v>
      </c>
      <c r="B465" s="37" t="s">
        <v>800</v>
      </c>
      <c r="C465" s="37" t="n">
        <v>202508</v>
      </c>
      <c r="D465" s="37" t="s">
        <v>62</v>
      </c>
      <c r="E465" s="37" t="s">
        <v>97</v>
      </c>
      <c r="F465" s="37" t="s">
        <v>194</v>
      </c>
      <c r="G465" s="37" t="s">
        <v>354</v>
      </c>
      <c r="H465" s="37"/>
      <c r="I465" s="37" t="s">
        <v>355</v>
      </c>
      <c r="J465" s="37" t="s">
        <v>801</v>
      </c>
      <c r="K465" s="45" t="n">
        <v>15.8</v>
      </c>
      <c r="L465" s="46" t="n">
        <v>1457.86</v>
      </c>
    </row>
    <row r="466" customFormat="false" ht="15" hidden="false" customHeight="false" outlineLevel="0" collapsed="false">
      <c r="A466" s="37" t="n">
        <v>500188</v>
      </c>
      <c r="B466" s="37" t="s">
        <v>802</v>
      </c>
      <c r="C466" s="37" t="n">
        <v>202508</v>
      </c>
      <c r="D466" s="37" t="s">
        <v>58</v>
      </c>
      <c r="E466" s="37" t="s">
        <v>99</v>
      </c>
      <c r="F466" s="37" t="s">
        <v>198</v>
      </c>
      <c r="G466" s="37" t="s">
        <v>375</v>
      </c>
      <c r="H466" s="37"/>
      <c r="I466" s="37" t="s">
        <v>376</v>
      </c>
      <c r="J466" s="37" t="s">
        <v>377</v>
      </c>
      <c r="K466" s="45" t="n">
        <v>0</v>
      </c>
      <c r="L466" s="46" t="n">
        <v>26957.97</v>
      </c>
    </row>
    <row r="467" customFormat="false" ht="15" hidden="false" customHeight="false" outlineLevel="0" collapsed="false">
      <c r="A467" s="37" t="n">
        <v>500575</v>
      </c>
      <c r="B467" s="37" t="s">
        <v>802</v>
      </c>
      <c r="C467" s="37" t="n">
        <v>202508</v>
      </c>
      <c r="D467" s="37" t="s">
        <v>59</v>
      </c>
      <c r="E467" s="37" t="s">
        <v>99</v>
      </c>
      <c r="F467" s="37" t="s">
        <v>198</v>
      </c>
      <c r="G467" s="37" t="s">
        <v>375</v>
      </c>
      <c r="H467" s="37"/>
      <c r="I467" s="37" t="s">
        <v>376</v>
      </c>
      <c r="J467" s="37" t="s">
        <v>377</v>
      </c>
      <c r="K467" s="45" t="n">
        <v>0</v>
      </c>
      <c r="L467" s="46" t="n">
        <v>44588.91</v>
      </c>
    </row>
    <row r="468" customFormat="false" ht="15" hidden="false" customHeight="false" outlineLevel="0" collapsed="false">
      <c r="A468" s="37" t="n">
        <v>500897</v>
      </c>
      <c r="B468" s="37" t="s">
        <v>802</v>
      </c>
      <c r="C468" s="37" t="n">
        <v>202508</v>
      </c>
      <c r="D468" s="37" t="s">
        <v>60</v>
      </c>
      <c r="E468" s="37" t="s">
        <v>99</v>
      </c>
      <c r="F468" s="37" t="s">
        <v>198</v>
      </c>
      <c r="G468" s="37" t="s">
        <v>375</v>
      </c>
      <c r="H468" s="37"/>
      <c r="I468" s="37" t="s">
        <v>376</v>
      </c>
      <c r="J468" s="37" t="s">
        <v>377</v>
      </c>
      <c r="K468" s="45" t="n">
        <v>0</v>
      </c>
      <c r="L468" s="46" t="n">
        <v>14265.66</v>
      </c>
    </row>
    <row r="469" customFormat="false" ht="15" hidden="false" customHeight="false" outlineLevel="0" collapsed="false">
      <c r="A469" s="37" t="n">
        <v>501197</v>
      </c>
      <c r="B469" s="37" t="s">
        <v>802</v>
      </c>
      <c r="C469" s="37" t="n">
        <v>202508</v>
      </c>
      <c r="D469" s="37" t="s">
        <v>61</v>
      </c>
      <c r="E469" s="37" t="s">
        <v>99</v>
      </c>
      <c r="F469" s="37" t="s">
        <v>198</v>
      </c>
      <c r="G469" s="37" t="s">
        <v>375</v>
      </c>
      <c r="H469" s="37"/>
      <c r="I469" s="37" t="s">
        <v>376</v>
      </c>
      <c r="J469" s="37" t="s">
        <v>377</v>
      </c>
      <c r="K469" s="45" t="n">
        <v>0</v>
      </c>
      <c r="L469" s="46" t="n">
        <v>16131.81</v>
      </c>
    </row>
    <row r="470" customFormat="false" ht="15" hidden="false" customHeight="false" outlineLevel="0" collapsed="false">
      <c r="A470" s="37" t="n">
        <v>501455</v>
      </c>
      <c r="B470" s="37" t="s">
        <v>802</v>
      </c>
      <c r="C470" s="37" t="n">
        <v>202508</v>
      </c>
      <c r="D470" s="37" t="s">
        <v>62</v>
      </c>
      <c r="E470" s="37" t="s">
        <v>99</v>
      </c>
      <c r="F470" s="37" t="s">
        <v>198</v>
      </c>
      <c r="G470" s="37" t="s">
        <v>375</v>
      </c>
      <c r="H470" s="37"/>
      <c r="I470" s="37" t="s">
        <v>376</v>
      </c>
      <c r="J470" s="37" t="s">
        <v>377</v>
      </c>
      <c r="K470" s="45" t="n">
        <v>0</v>
      </c>
      <c r="L470" s="46" t="n">
        <v>4156.31</v>
      </c>
    </row>
    <row r="471" customFormat="false" ht="15" hidden="false" customHeight="false" outlineLevel="0" collapsed="false">
      <c r="A471" s="37" t="n">
        <v>500150</v>
      </c>
      <c r="B471" s="37" t="s">
        <v>803</v>
      </c>
      <c r="C471" s="37" t="n">
        <v>202509</v>
      </c>
      <c r="D471" s="37" t="s">
        <v>58</v>
      </c>
      <c r="E471" s="37" t="s">
        <v>98</v>
      </c>
      <c r="F471" s="37" t="s">
        <v>196</v>
      </c>
      <c r="G471" s="37" t="s">
        <v>358</v>
      </c>
      <c r="H471" s="37" t="s">
        <v>359</v>
      </c>
      <c r="I471" s="37" t="s">
        <v>360</v>
      </c>
      <c r="J471" s="37" t="s">
        <v>804</v>
      </c>
      <c r="K471" s="45" t="n">
        <v>0</v>
      </c>
      <c r="L471" s="46" t="n">
        <v>18214.03</v>
      </c>
    </row>
    <row r="472" customFormat="false" ht="15" hidden="false" customHeight="false" outlineLevel="0" collapsed="false">
      <c r="A472" s="37" t="n">
        <v>500066</v>
      </c>
      <c r="B472" s="37" t="s">
        <v>805</v>
      </c>
      <c r="C472" s="37" t="n">
        <v>202509</v>
      </c>
      <c r="D472" s="37" t="s">
        <v>58</v>
      </c>
      <c r="E472" s="37" t="s">
        <v>97</v>
      </c>
      <c r="F472" s="37" t="s">
        <v>194</v>
      </c>
      <c r="G472" s="37" t="s">
        <v>354</v>
      </c>
      <c r="H472" s="37"/>
      <c r="I472" s="37" t="s">
        <v>355</v>
      </c>
      <c r="J472" s="37" t="s">
        <v>806</v>
      </c>
      <c r="K472" s="45" t="n">
        <v>301.9</v>
      </c>
      <c r="L472" s="46" t="n">
        <v>27775.03</v>
      </c>
    </row>
    <row r="473" customFormat="false" ht="15" hidden="false" customHeight="false" outlineLevel="0" collapsed="false">
      <c r="A473" s="37" t="n">
        <v>500340</v>
      </c>
      <c r="B473" s="37" t="s">
        <v>805</v>
      </c>
      <c r="C473" s="37" t="n">
        <v>202509</v>
      </c>
      <c r="D473" s="37" t="s">
        <v>58</v>
      </c>
      <c r="E473" s="37" t="s">
        <v>106</v>
      </c>
      <c r="F473" s="37" t="s">
        <v>194</v>
      </c>
      <c r="G473" s="37" t="s">
        <v>354</v>
      </c>
      <c r="H473" s="37"/>
      <c r="I473" s="37" t="s">
        <v>355</v>
      </c>
      <c r="J473" s="37" t="s">
        <v>806</v>
      </c>
      <c r="K473" s="45" t="n">
        <v>163.8</v>
      </c>
      <c r="L473" s="46" t="n">
        <v>11630.9</v>
      </c>
    </row>
    <row r="474" customFormat="false" ht="15" hidden="false" customHeight="false" outlineLevel="0" collapsed="false">
      <c r="A474" s="37" t="n">
        <v>500474</v>
      </c>
      <c r="B474" s="37" t="s">
        <v>805</v>
      </c>
      <c r="C474" s="37" t="n">
        <v>202509</v>
      </c>
      <c r="D474" s="37" t="s">
        <v>59</v>
      </c>
      <c r="E474" s="37" t="s">
        <v>97</v>
      </c>
      <c r="F474" s="37" t="s">
        <v>194</v>
      </c>
      <c r="G474" s="37" t="s">
        <v>354</v>
      </c>
      <c r="H474" s="37"/>
      <c r="I474" s="37" t="s">
        <v>355</v>
      </c>
      <c r="J474" s="37" t="s">
        <v>806</v>
      </c>
      <c r="K474" s="45" t="n">
        <v>291.8</v>
      </c>
      <c r="L474" s="46" t="n">
        <v>26843.78</v>
      </c>
    </row>
    <row r="475" customFormat="false" ht="15" hidden="false" customHeight="false" outlineLevel="0" collapsed="false">
      <c r="A475" s="37" t="n">
        <v>500618</v>
      </c>
      <c r="B475" s="37" t="s">
        <v>805</v>
      </c>
      <c r="C475" s="37" t="n">
        <v>202509</v>
      </c>
      <c r="D475" s="37" t="s">
        <v>59</v>
      </c>
      <c r="E475" s="37" t="s">
        <v>101</v>
      </c>
      <c r="F475" s="37" t="s">
        <v>194</v>
      </c>
      <c r="G475" s="37" t="s">
        <v>354</v>
      </c>
      <c r="H475" s="37"/>
      <c r="I475" s="37" t="s">
        <v>355</v>
      </c>
      <c r="J475" s="37" t="s">
        <v>806</v>
      </c>
      <c r="K475" s="45" t="n">
        <v>651.7</v>
      </c>
      <c r="L475" s="46" t="n">
        <v>48227.18</v>
      </c>
    </row>
    <row r="476" customFormat="false" ht="15" hidden="false" customHeight="false" outlineLevel="0" collapsed="false">
      <c r="A476" s="37" t="n">
        <v>500803</v>
      </c>
      <c r="B476" s="37" t="s">
        <v>805</v>
      </c>
      <c r="C476" s="37" t="n">
        <v>202509</v>
      </c>
      <c r="D476" s="37" t="s">
        <v>60</v>
      </c>
      <c r="E476" s="37" t="s">
        <v>97</v>
      </c>
      <c r="F476" s="37" t="s">
        <v>194</v>
      </c>
      <c r="G476" s="37" t="s">
        <v>354</v>
      </c>
      <c r="H476" s="37"/>
      <c r="I476" s="37" t="s">
        <v>355</v>
      </c>
      <c r="J476" s="37" t="s">
        <v>806</v>
      </c>
      <c r="K476" s="45" t="n">
        <v>48</v>
      </c>
      <c r="L476" s="46" t="n">
        <v>4413.33</v>
      </c>
    </row>
    <row r="477" customFormat="false" ht="15" hidden="false" customHeight="false" outlineLevel="0" collapsed="false">
      <c r="A477" s="37" t="n">
        <v>500931</v>
      </c>
      <c r="B477" s="37" t="s">
        <v>805</v>
      </c>
      <c r="C477" s="37" t="n">
        <v>202509</v>
      </c>
      <c r="D477" s="37" t="s">
        <v>60</v>
      </c>
      <c r="E477" s="37" t="s">
        <v>101</v>
      </c>
      <c r="F477" s="37" t="s">
        <v>194</v>
      </c>
      <c r="G477" s="37" t="s">
        <v>354</v>
      </c>
      <c r="H477" s="37"/>
      <c r="I477" s="37" t="s">
        <v>355</v>
      </c>
      <c r="J477" s="37" t="s">
        <v>806</v>
      </c>
      <c r="K477" s="45" t="n">
        <v>557.4</v>
      </c>
      <c r="L477" s="46" t="n">
        <v>41244.12</v>
      </c>
    </row>
    <row r="478" customFormat="false" ht="15" hidden="false" customHeight="false" outlineLevel="0" collapsed="false">
      <c r="A478" s="37" t="n">
        <v>501110</v>
      </c>
      <c r="B478" s="37" t="s">
        <v>805</v>
      </c>
      <c r="C478" s="37" t="n">
        <v>202509</v>
      </c>
      <c r="D478" s="37" t="s">
        <v>61</v>
      </c>
      <c r="E478" s="37" t="s">
        <v>97</v>
      </c>
      <c r="F478" s="37" t="s">
        <v>194</v>
      </c>
      <c r="G478" s="37" t="s">
        <v>354</v>
      </c>
      <c r="H478" s="37"/>
      <c r="I478" s="37" t="s">
        <v>355</v>
      </c>
      <c r="J478" s="37" t="s">
        <v>806</v>
      </c>
      <c r="K478" s="45" t="n">
        <v>123.2</v>
      </c>
      <c r="L478" s="46" t="n">
        <v>11337.42</v>
      </c>
    </row>
    <row r="479" customFormat="false" ht="15" hidden="false" customHeight="false" outlineLevel="0" collapsed="false">
      <c r="A479" s="37" t="n">
        <v>501224</v>
      </c>
      <c r="B479" s="37" t="s">
        <v>805</v>
      </c>
      <c r="C479" s="37" t="n">
        <v>202509</v>
      </c>
      <c r="D479" s="37" t="s">
        <v>61</v>
      </c>
      <c r="E479" s="37" t="s">
        <v>101</v>
      </c>
      <c r="F479" s="37" t="s">
        <v>194</v>
      </c>
      <c r="G479" s="37" t="s">
        <v>354</v>
      </c>
      <c r="H479" s="37"/>
      <c r="I479" s="37" t="s">
        <v>355</v>
      </c>
      <c r="J479" s="37" t="s">
        <v>806</v>
      </c>
      <c r="K479" s="45" t="n">
        <v>143.9</v>
      </c>
      <c r="L479" s="46" t="n">
        <v>10650.13</v>
      </c>
    </row>
    <row r="480" customFormat="false" ht="15" hidden="false" customHeight="false" outlineLevel="0" collapsed="false">
      <c r="A480" s="37" t="n">
        <v>501371</v>
      </c>
      <c r="B480" s="37" t="s">
        <v>805</v>
      </c>
      <c r="C480" s="37" t="n">
        <v>202509</v>
      </c>
      <c r="D480" s="37" t="s">
        <v>62</v>
      </c>
      <c r="E480" s="37" t="s">
        <v>97</v>
      </c>
      <c r="F480" s="37" t="s">
        <v>194</v>
      </c>
      <c r="G480" s="37" t="s">
        <v>354</v>
      </c>
      <c r="H480" s="37"/>
      <c r="I480" s="37" t="s">
        <v>355</v>
      </c>
      <c r="J480" s="37" t="s">
        <v>806</v>
      </c>
      <c r="K480" s="45" t="n">
        <v>128.8</v>
      </c>
      <c r="L480" s="46" t="n">
        <v>11852.39</v>
      </c>
    </row>
    <row r="481" customFormat="false" ht="15" hidden="false" customHeight="false" outlineLevel="0" collapsed="false">
      <c r="A481" s="37" t="n">
        <v>501475</v>
      </c>
      <c r="B481" s="37" t="s">
        <v>805</v>
      </c>
      <c r="C481" s="37" t="n">
        <v>202509</v>
      </c>
      <c r="D481" s="37" t="s">
        <v>62</v>
      </c>
      <c r="E481" s="37" t="s">
        <v>101</v>
      </c>
      <c r="F481" s="37" t="s">
        <v>194</v>
      </c>
      <c r="G481" s="37" t="s">
        <v>354</v>
      </c>
      <c r="H481" s="37"/>
      <c r="I481" s="37" t="s">
        <v>355</v>
      </c>
      <c r="J481" s="37" t="s">
        <v>806</v>
      </c>
      <c r="K481" s="45" t="n">
        <v>14.1</v>
      </c>
      <c r="L481" s="46" t="n">
        <v>1045.79</v>
      </c>
    </row>
    <row r="482" customFormat="false" ht="15" hidden="false" customHeight="false" outlineLevel="0" collapsed="false">
      <c r="A482" s="37" t="n">
        <v>501617</v>
      </c>
      <c r="B482" s="37" t="s">
        <v>805</v>
      </c>
      <c r="C482" s="37" t="n">
        <v>202509</v>
      </c>
      <c r="D482" s="37" t="s">
        <v>63</v>
      </c>
      <c r="E482" s="37" t="s">
        <v>97</v>
      </c>
      <c r="F482" s="37" t="s">
        <v>194</v>
      </c>
      <c r="G482" s="37" t="s">
        <v>354</v>
      </c>
      <c r="H482" s="37"/>
      <c r="I482" s="37" t="s">
        <v>355</v>
      </c>
      <c r="J482" s="37" t="s">
        <v>806</v>
      </c>
      <c r="K482" s="45" t="n">
        <v>59.2</v>
      </c>
      <c r="L482" s="46" t="n">
        <v>5444.71</v>
      </c>
    </row>
    <row r="483" customFormat="false" ht="15" hidden="false" customHeight="false" outlineLevel="0" collapsed="false">
      <c r="A483" s="37" t="n">
        <v>501675</v>
      </c>
      <c r="B483" s="37" t="s">
        <v>807</v>
      </c>
      <c r="C483" s="37" t="n">
        <v>202509</v>
      </c>
      <c r="D483" s="37" t="s">
        <v>63</v>
      </c>
      <c r="E483" s="37" t="s">
        <v>98</v>
      </c>
      <c r="F483" s="37" t="s">
        <v>196</v>
      </c>
      <c r="G483" s="37" t="s">
        <v>358</v>
      </c>
      <c r="H483" s="37" t="s">
        <v>359</v>
      </c>
      <c r="I483" s="37" t="s">
        <v>360</v>
      </c>
      <c r="J483" s="37" t="s">
        <v>808</v>
      </c>
      <c r="K483" s="45" t="n">
        <v>0</v>
      </c>
      <c r="L483" s="46" t="n">
        <v>262.32</v>
      </c>
    </row>
    <row r="484" customFormat="false" ht="15" hidden="false" customHeight="false" outlineLevel="0" collapsed="false">
      <c r="A484" s="37" t="n">
        <v>501514</v>
      </c>
      <c r="B484" s="37" t="s">
        <v>809</v>
      </c>
      <c r="C484" s="37" t="n">
        <v>202509</v>
      </c>
      <c r="D484" s="37" t="s">
        <v>62</v>
      </c>
      <c r="E484" s="37" t="s">
        <v>102</v>
      </c>
      <c r="F484" s="37" t="s">
        <v>205</v>
      </c>
      <c r="G484" s="37" t="s">
        <v>358</v>
      </c>
      <c r="H484" s="37" t="s">
        <v>810</v>
      </c>
      <c r="I484" s="37" t="s">
        <v>811</v>
      </c>
      <c r="J484" s="37" t="s">
        <v>812</v>
      </c>
      <c r="K484" s="45" t="n">
        <v>0</v>
      </c>
      <c r="L484" s="46" t="n">
        <v>1537.54</v>
      </c>
    </row>
    <row r="485" customFormat="false" ht="15" hidden="false" customHeight="false" outlineLevel="0" collapsed="false">
      <c r="A485" s="37" t="n">
        <v>501673</v>
      </c>
      <c r="B485" s="37" t="s">
        <v>813</v>
      </c>
      <c r="C485" s="37" t="n">
        <v>202509</v>
      </c>
      <c r="D485" s="37" t="s">
        <v>63</v>
      </c>
      <c r="E485" s="37" t="s">
        <v>98</v>
      </c>
      <c r="F485" s="37" t="s">
        <v>196</v>
      </c>
      <c r="G485" s="37" t="s">
        <v>358</v>
      </c>
      <c r="H485" s="37" t="s">
        <v>359</v>
      </c>
      <c r="I485" s="37" t="s">
        <v>360</v>
      </c>
      <c r="J485" s="37" t="s">
        <v>814</v>
      </c>
      <c r="K485" s="45" t="n">
        <v>0</v>
      </c>
      <c r="L485" s="46" t="n">
        <v>2842.96</v>
      </c>
    </row>
    <row r="486" customFormat="false" ht="15" hidden="false" customHeight="false" outlineLevel="0" collapsed="false">
      <c r="A486" s="37" t="n">
        <v>500963</v>
      </c>
      <c r="B486" s="37" t="s">
        <v>815</v>
      </c>
      <c r="C486" s="37" t="n">
        <v>202509</v>
      </c>
      <c r="D486" s="37" t="s">
        <v>60</v>
      </c>
      <c r="E486" s="37" t="s">
        <v>102</v>
      </c>
      <c r="F486" s="37" t="s">
        <v>205</v>
      </c>
      <c r="G486" s="37" t="s">
        <v>358</v>
      </c>
      <c r="H486" s="37" t="s">
        <v>670</v>
      </c>
      <c r="I486" s="37" t="s">
        <v>671</v>
      </c>
      <c r="J486" s="37" t="s">
        <v>816</v>
      </c>
      <c r="K486" s="45" t="n">
        <v>0</v>
      </c>
      <c r="L486" s="46" t="n">
        <v>90680.85</v>
      </c>
    </row>
    <row r="487" customFormat="false" ht="15" hidden="false" customHeight="false" outlineLevel="0" collapsed="false">
      <c r="A487" s="37" t="n">
        <v>500149</v>
      </c>
      <c r="B487" s="37" t="s">
        <v>817</v>
      </c>
      <c r="C487" s="37" t="n">
        <v>202509</v>
      </c>
      <c r="D487" s="37" t="s">
        <v>58</v>
      </c>
      <c r="E487" s="37" t="s">
        <v>98</v>
      </c>
      <c r="F487" s="37" t="s">
        <v>196</v>
      </c>
      <c r="G487" s="37" t="s">
        <v>358</v>
      </c>
      <c r="H487" s="37" t="s">
        <v>359</v>
      </c>
      <c r="I487" s="37" t="s">
        <v>360</v>
      </c>
      <c r="J487" s="37" t="s">
        <v>818</v>
      </c>
      <c r="K487" s="45" t="n">
        <v>0</v>
      </c>
      <c r="L487" s="46" t="n">
        <v>10053.56</v>
      </c>
    </row>
    <row r="488" customFormat="false" ht="15" hidden="false" customHeight="false" outlineLevel="0" collapsed="false">
      <c r="A488" s="37" t="n">
        <v>500067</v>
      </c>
      <c r="B488" s="37" t="s">
        <v>819</v>
      </c>
      <c r="C488" s="37" t="n">
        <v>202509</v>
      </c>
      <c r="D488" s="37" t="s">
        <v>58</v>
      </c>
      <c r="E488" s="37" t="s">
        <v>97</v>
      </c>
      <c r="F488" s="37" t="s">
        <v>194</v>
      </c>
      <c r="G488" s="37" t="s">
        <v>354</v>
      </c>
      <c r="H488" s="37"/>
      <c r="I488" s="37" t="s">
        <v>355</v>
      </c>
      <c r="J488" s="37" t="s">
        <v>820</v>
      </c>
      <c r="K488" s="45" t="n">
        <v>173.7</v>
      </c>
      <c r="L488" s="46" t="n">
        <v>15981.91</v>
      </c>
    </row>
    <row r="489" customFormat="false" ht="15" hidden="false" customHeight="false" outlineLevel="0" collapsed="false">
      <c r="A489" s="37" t="n">
        <v>500341</v>
      </c>
      <c r="B489" s="37" t="s">
        <v>819</v>
      </c>
      <c r="C489" s="37" t="n">
        <v>202509</v>
      </c>
      <c r="D489" s="37" t="s">
        <v>58</v>
      </c>
      <c r="E489" s="37" t="s">
        <v>106</v>
      </c>
      <c r="F489" s="37" t="s">
        <v>194</v>
      </c>
      <c r="G489" s="37" t="s">
        <v>354</v>
      </c>
      <c r="H489" s="37"/>
      <c r="I489" s="37" t="s">
        <v>355</v>
      </c>
      <c r="J489" s="37" t="s">
        <v>820</v>
      </c>
      <c r="K489" s="45" t="n">
        <v>80.1</v>
      </c>
      <c r="L489" s="46" t="n">
        <v>5687.35</v>
      </c>
    </row>
    <row r="490" customFormat="false" ht="15" hidden="false" customHeight="false" outlineLevel="0" collapsed="false">
      <c r="A490" s="37" t="n">
        <v>500475</v>
      </c>
      <c r="B490" s="37" t="s">
        <v>819</v>
      </c>
      <c r="C490" s="37" t="n">
        <v>202509</v>
      </c>
      <c r="D490" s="37" t="s">
        <v>59</v>
      </c>
      <c r="E490" s="37" t="s">
        <v>97</v>
      </c>
      <c r="F490" s="37" t="s">
        <v>194</v>
      </c>
      <c r="G490" s="37" t="s">
        <v>354</v>
      </c>
      <c r="H490" s="37"/>
      <c r="I490" s="37" t="s">
        <v>355</v>
      </c>
      <c r="J490" s="37" t="s">
        <v>820</v>
      </c>
      <c r="K490" s="45" t="n">
        <v>124.2</v>
      </c>
      <c r="L490" s="46" t="n">
        <v>11424.25</v>
      </c>
    </row>
    <row r="491" customFormat="false" ht="15" hidden="false" customHeight="false" outlineLevel="0" collapsed="false">
      <c r="A491" s="37" t="n">
        <v>500545</v>
      </c>
      <c r="B491" s="37" t="s">
        <v>819</v>
      </c>
      <c r="C491" s="37" t="n">
        <v>202509</v>
      </c>
      <c r="D491" s="37" t="s">
        <v>59</v>
      </c>
      <c r="E491" s="37" t="s">
        <v>98</v>
      </c>
      <c r="F491" s="37" t="s">
        <v>196</v>
      </c>
      <c r="G491" s="37" t="s">
        <v>358</v>
      </c>
      <c r="H491" s="37" t="s">
        <v>359</v>
      </c>
      <c r="I491" s="37" t="s">
        <v>360</v>
      </c>
      <c r="J491" s="37" t="s">
        <v>821</v>
      </c>
      <c r="K491" s="45" t="n">
        <v>0</v>
      </c>
      <c r="L491" s="46" t="n">
        <v>27158.1</v>
      </c>
    </row>
    <row r="492" customFormat="false" ht="15" hidden="false" customHeight="false" outlineLevel="0" collapsed="false">
      <c r="A492" s="37" t="n">
        <v>500619</v>
      </c>
      <c r="B492" s="37" t="s">
        <v>819</v>
      </c>
      <c r="C492" s="37" t="n">
        <v>202509</v>
      </c>
      <c r="D492" s="37" t="s">
        <v>59</v>
      </c>
      <c r="E492" s="37" t="s">
        <v>101</v>
      </c>
      <c r="F492" s="37" t="s">
        <v>194</v>
      </c>
      <c r="G492" s="37" t="s">
        <v>354</v>
      </c>
      <c r="H492" s="37"/>
      <c r="I492" s="37" t="s">
        <v>355</v>
      </c>
      <c r="J492" s="37" t="s">
        <v>820</v>
      </c>
      <c r="K492" s="45" t="n">
        <v>661.1</v>
      </c>
      <c r="L492" s="46" t="n">
        <v>48921.16</v>
      </c>
    </row>
    <row r="493" customFormat="false" ht="15" hidden="false" customHeight="false" outlineLevel="0" collapsed="false">
      <c r="A493" s="37" t="n">
        <v>500804</v>
      </c>
      <c r="B493" s="37" t="s">
        <v>819</v>
      </c>
      <c r="C493" s="37" t="n">
        <v>202509</v>
      </c>
      <c r="D493" s="37" t="s">
        <v>60</v>
      </c>
      <c r="E493" s="37" t="s">
        <v>97</v>
      </c>
      <c r="F493" s="37" t="s">
        <v>194</v>
      </c>
      <c r="G493" s="37" t="s">
        <v>354</v>
      </c>
      <c r="H493" s="37"/>
      <c r="I493" s="37" t="s">
        <v>355</v>
      </c>
      <c r="J493" s="37" t="s">
        <v>820</v>
      </c>
      <c r="K493" s="45" t="n">
        <v>169</v>
      </c>
      <c r="L493" s="46" t="n">
        <v>15551.68</v>
      </c>
    </row>
    <row r="494" customFormat="false" ht="15" hidden="false" customHeight="false" outlineLevel="0" collapsed="false">
      <c r="A494" s="37" t="n">
        <v>500932</v>
      </c>
      <c r="B494" s="37" t="s">
        <v>819</v>
      </c>
      <c r="C494" s="37" t="n">
        <v>202509</v>
      </c>
      <c r="D494" s="37" t="s">
        <v>60</v>
      </c>
      <c r="E494" s="37" t="s">
        <v>101</v>
      </c>
      <c r="F494" s="37" t="s">
        <v>194</v>
      </c>
      <c r="G494" s="37" t="s">
        <v>354</v>
      </c>
      <c r="H494" s="37"/>
      <c r="I494" s="37" t="s">
        <v>355</v>
      </c>
      <c r="J494" s="37" t="s">
        <v>820</v>
      </c>
      <c r="K494" s="45" t="n">
        <v>420.7</v>
      </c>
      <c r="L494" s="46" t="n">
        <v>31134.57</v>
      </c>
    </row>
    <row r="495" customFormat="false" ht="15" hidden="false" customHeight="false" outlineLevel="0" collapsed="false">
      <c r="A495" s="37" t="n">
        <v>500981</v>
      </c>
      <c r="B495" s="37" t="s">
        <v>819</v>
      </c>
      <c r="C495" s="37" t="n">
        <v>202509</v>
      </c>
      <c r="D495" s="37" t="s">
        <v>60</v>
      </c>
      <c r="E495" s="37" t="s">
        <v>103</v>
      </c>
      <c r="F495" s="37" t="s">
        <v>205</v>
      </c>
      <c r="G495" s="37" t="s">
        <v>358</v>
      </c>
      <c r="H495" s="37" t="s">
        <v>727</v>
      </c>
      <c r="I495" s="37" t="s">
        <v>728</v>
      </c>
      <c r="J495" s="37" t="s">
        <v>822</v>
      </c>
      <c r="K495" s="45" t="n">
        <v>0</v>
      </c>
      <c r="L495" s="46" t="n">
        <v>36085.58</v>
      </c>
    </row>
    <row r="496" customFormat="false" ht="15" hidden="false" customHeight="false" outlineLevel="0" collapsed="false">
      <c r="A496" s="37" t="n">
        <v>501111</v>
      </c>
      <c r="B496" s="37" t="s">
        <v>819</v>
      </c>
      <c r="C496" s="37" t="n">
        <v>202509</v>
      </c>
      <c r="D496" s="37" t="s">
        <v>61</v>
      </c>
      <c r="E496" s="37" t="s">
        <v>97</v>
      </c>
      <c r="F496" s="37" t="s">
        <v>194</v>
      </c>
      <c r="G496" s="37" t="s">
        <v>354</v>
      </c>
      <c r="H496" s="37"/>
      <c r="I496" s="37" t="s">
        <v>355</v>
      </c>
      <c r="J496" s="37" t="s">
        <v>820</v>
      </c>
      <c r="K496" s="45" t="n">
        <v>186.2</v>
      </c>
      <c r="L496" s="46" t="n">
        <v>17129.09</v>
      </c>
    </row>
    <row r="497" customFormat="false" ht="15" hidden="false" customHeight="false" outlineLevel="0" collapsed="false">
      <c r="A497" s="37" t="n">
        <v>501225</v>
      </c>
      <c r="B497" s="37" t="s">
        <v>819</v>
      </c>
      <c r="C497" s="37" t="n">
        <v>202509</v>
      </c>
      <c r="D497" s="37" t="s">
        <v>61</v>
      </c>
      <c r="E497" s="37" t="s">
        <v>101</v>
      </c>
      <c r="F497" s="37" t="s">
        <v>194</v>
      </c>
      <c r="G497" s="37" t="s">
        <v>354</v>
      </c>
      <c r="H497" s="37"/>
      <c r="I497" s="37" t="s">
        <v>355</v>
      </c>
      <c r="J497" s="37" t="s">
        <v>820</v>
      </c>
      <c r="K497" s="45" t="n">
        <v>395.4</v>
      </c>
      <c r="L497" s="46" t="n">
        <v>29259.54</v>
      </c>
    </row>
    <row r="498" customFormat="false" ht="15" hidden="false" customHeight="false" outlineLevel="0" collapsed="false">
      <c r="A498" s="37" t="n">
        <v>501372</v>
      </c>
      <c r="B498" s="37" t="s">
        <v>819</v>
      </c>
      <c r="C498" s="37" t="n">
        <v>202509</v>
      </c>
      <c r="D498" s="37" t="s">
        <v>62</v>
      </c>
      <c r="E498" s="37" t="s">
        <v>97</v>
      </c>
      <c r="F498" s="37" t="s">
        <v>194</v>
      </c>
      <c r="G498" s="37" t="s">
        <v>354</v>
      </c>
      <c r="H498" s="37"/>
      <c r="I498" s="37" t="s">
        <v>355</v>
      </c>
      <c r="J498" s="37" t="s">
        <v>820</v>
      </c>
      <c r="K498" s="45" t="n">
        <v>101.3</v>
      </c>
      <c r="L498" s="46" t="n">
        <v>9321.4</v>
      </c>
    </row>
    <row r="499" customFormat="false" ht="15" hidden="false" customHeight="false" outlineLevel="0" collapsed="false">
      <c r="A499" s="37" t="n">
        <v>501476</v>
      </c>
      <c r="B499" s="37" t="s">
        <v>819</v>
      </c>
      <c r="C499" s="37" t="n">
        <v>202509</v>
      </c>
      <c r="D499" s="37" t="s">
        <v>62</v>
      </c>
      <c r="E499" s="37" t="s">
        <v>101</v>
      </c>
      <c r="F499" s="37" t="s">
        <v>194</v>
      </c>
      <c r="G499" s="37" t="s">
        <v>354</v>
      </c>
      <c r="H499" s="37"/>
      <c r="I499" s="37" t="s">
        <v>355</v>
      </c>
      <c r="J499" s="37" t="s">
        <v>820</v>
      </c>
      <c r="K499" s="45" t="n">
        <v>18.6</v>
      </c>
      <c r="L499" s="46" t="n">
        <v>1374.14</v>
      </c>
    </row>
    <row r="500" customFormat="false" ht="15" hidden="false" customHeight="false" outlineLevel="0" collapsed="false">
      <c r="A500" s="37" t="n">
        <v>501618</v>
      </c>
      <c r="B500" s="37" t="s">
        <v>819</v>
      </c>
      <c r="C500" s="37" t="n">
        <v>202509</v>
      </c>
      <c r="D500" s="37" t="s">
        <v>63</v>
      </c>
      <c r="E500" s="37" t="s">
        <v>97</v>
      </c>
      <c r="F500" s="37" t="s">
        <v>194</v>
      </c>
      <c r="G500" s="37" t="s">
        <v>354</v>
      </c>
      <c r="H500" s="37"/>
      <c r="I500" s="37" t="s">
        <v>355</v>
      </c>
      <c r="J500" s="37" t="s">
        <v>820</v>
      </c>
      <c r="K500" s="45" t="n">
        <v>35.4</v>
      </c>
      <c r="L500" s="46" t="n">
        <v>3252.59</v>
      </c>
    </row>
    <row r="501" customFormat="false" ht="15" hidden="false" customHeight="false" outlineLevel="0" collapsed="false">
      <c r="A501" s="37" t="n">
        <v>500870</v>
      </c>
      <c r="B501" s="37" t="s">
        <v>823</v>
      </c>
      <c r="C501" s="37" t="n">
        <v>202509</v>
      </c>
      <c r="D501" s="37" t="s">
        <v>60</v>
      </c>
      <c r="E501" s="37" t="s">
        <v>98</v>
      </c>
      <c r="F501" s="37" t="s">
        <v>196</v>
      </c>
      <c r="G501" s="37" t="s">
        <v>358</v>
      </c>
      <c r="H501" s="37" t="s">
        <v>359</v>
      </c>
      <c r="I501" s="37" t="s">
        <v>360</v>
      </c>
      <c r="J501" s="37" t="s">
        <v>824</v>
      </c>
      <c r="K501" s="45" t="n">
        <v>0</v>
      </c>
      <c r="L501" s="46" t="n">
        <v>10455.25</v>
      </c>
    </row>
    <row r="502" customFormat="false" ht="15" hidden="false" customHeight="false" outlineLevel="0" collapsed="false">
      <c r="A502" s="37" t="n">
        <v>501674</v>
      </c>
      <c r="B502" s="37" t="s">
        <v>823</v>
      </c>
      <c r="C502" s="37" t="n">
        <v>202509</v>
      </c>
      <c r="D502" s="37" t="s">
        <v>63</v>
      </c>
      <c r="E502" s="37" t="s">
        <v>98</v>
      </c>
      <c r="F502" s="37" t="s">
        <v>196</v>
      </c>
      <c r="G502" s="37" t="s">
        <v>358</v>
      </c>
      <c r="H502" s="37" t="s">
        <v>359</v>
      </c>
      <c r="I502" s="37" t="s">
        <v>360</v>
      </c>
      <c r="J502" s="37" t="s">
        <v>825</v>
      </c>
      <c r="K502" s="45" t="n">
        <v>0</v>
      </c>
      <c r="L502" s="46" t="n">
        <v>700.71</v>
      </c>
    </row>
    <row r="503" customFormat="false" ht="15" hidden="false" customHeight="false" outlineLevel="0" collapsed="false">
      <c r="A503" s="37" t="n">
        <v>500648</v>
      </c>
      <c r="B503" s="37" t="s">
        <v>826</v>
      </c>
      <c r="C503" s="37" t="n">
        <v>202509</v>
      </c>
      <c r="D503" s="37" t="s">
        <v>59</v>
      </c>
      <c r="E503" s="37" t="s">
        <v>102</v>
      </c>
      <c r="F503" s="37" t="s">
        <v>205</v>
      </c>
      <c r="G503" s="37" t="s">
        <v>358</v>
      </c>
      <c r="H503" s="37" t="s">
        <v>591</v>
      </c>
      <c r="I503" s="37" t="s">
        <v>592</v>
      </c>
      <c r="J503" s="37" t="s">
        <v>827</v>
      </c>
      <c r="K503" s="45" t="n">
        <v>0</v>
      </c>
      <c r="L503" s="46" t="n">
        <v>63740.71</v>
      </c>
    </row>
    <row r="504" customFormat="false" ht="15" hidden="false" customHeight="false" outlineLevel="0" collapsed="false">
      <c r="A504" s="37" t="n">
        <v>501265</v>
      </c>
      <c r="B504" s="37" t="s">
        <v>828</v>
      </c>
      <c r="C504" s="37" t="n">
        <v>202509</v>
      </c>
      <c r="D504" s="37" t="s">
        <v>61</v>
      </c>
      <c r="E504" s="37" t="s">
        <v>103</v>
      </c>
      <c r="F504" s="37" t="s">
        <v>205</v>
      </c>
      <c r="G504" s="37" t="s">
        <v>358</v>
      </c>
      <c r="H504" s="37" t="s">
        <v>711</v>
      </c>
      <c r="I504" s="37" t="s">
        <v>401</v>
      </c>
      <c r="J504" s="37" t="s">
        <v>829</v>
      </c>
      <c r="K504" s="45" t="n">
        <v>0</v>
      </c>
      <c r="L504" s="46" t="n">
        <v>114878.45</v>
      </c>
    </row>
    <row r="505" customFormat="false" ht="15" hidden="false" customHeight="false" outlineLevel="0" collapsed="false">
      <c r="A505" s="37" t="n">
        <v>501251</v>
      </c>
      <c r="B505" s="37" t="s">
        <v>830</v>
      </c>
      <c r="C505" s="37" t="n">
        <v>202509</v>
      </c>
      <c r="D505" s="37" t="s">
        <v>61</v>
      </c>
      <c r="E505" s="37" t="s">
        <v>102</v>
      </c>
      <c r="F505" s="37" t="s">
        <v>205</v>
      </c>
      <c r="G505" s="37" t="s">
        <v>358</v>
      </c>
      <c r="H505" s="37" t="s">
        <v>714</v>
      </c>
      <c r="I505" s="37" t="s">
        <v>715</v>
      </c>
      <c r="J505" s="37" t="s">
        <v>831</v>
      </c>
      <c r="K505" s="45" t="n">
        <v>0</v>
      </c>
      <c r="L505" s="46" t="n">
        <v>50491.13</v>
      </c>
    </row>
    <row r="506" customFormat="false" ht="15" hidden="false" customHeight="false" outlineLevel="0" collapsed="false">
      <c r="A506" s="37" t="n">
        <v>501252</v>
      </c>
      <c r="B506" s="37" t="s">
        <v>830</v>
      </c>
      <c r="C506" s="37" t="n">
        <v>202509</v>
      </c>
      <c r="D506" s="37" t="s">
        <v>61</v>
      </c>
      <c r="E506" s="37" t="s">
        <v>102</v>
      </c>
      <c r="F506" s="37" t="s">
        <v>205</v>
      </c>
      <c r="G506" s="37" t="s">
        <v>358</v>
      </c>
      <c r="H506" s="37" t="s">
        <v>714</v>
      </c>
      <c r="I506" s="37" t="s">
        <v>715</v>
      </c>
      <c r="J506" s="37" t="s">
        <v>832</v>
      </c>
      <c r="K506" s="45" t="n">
        <v>0</v>
      </c>
      <c r="L506" s="46" t="n">
        <v>59196.51</v>
      </c>
    </row>
    <row r="507" customFormat="false" ht="15" hidden="false" customHeight="false" outlineLevel="0" collapsed="false">
      <c r="A507" s="37" t="n">
        <v>500068</v>
      </c>
      <c r="B507" s="37" t="s">
        <v>833</v>
      </c>
      <c r="C507" s="37" t="n">
        <v>202509</v>
      </c>
      <c r="D507" s="37" t="s">
        <v>58</v>
      </c>
      <c r="E507" s="37" t="s">
        <v>97</v>
      </c>
      <c r="F507" s="37" t="s">
        <v>194</v>
      </c>
      <c r="G507" s="37" t="s">
        <v>354</v>
      </c>
      <c r="H507" s="37"/>
      <c r="I507" s="37" t="s">
        <v>355</v>
      </c>
      <c r="J507" s="37" t="s">
        <v>834</v>
      </c>
      <c r="K507" s="45" t="n">
        <v>84.6</v>
      </c>
      <c r="L507" s="46" t="n">
        <v>7781.62</v>
      </c>
    </row>
    <row r="508" customFormat="false" ht="15" hidden="false" customHeight="false" outlineLevel="0" collapsed="false">
      <c r="A508" s="37" t="n">
        <v>500342</v>
      </c>
      <c r="B508" s="37" t="s">
        <v>833</v>
      </c>
      <c r="C508" s="37" t="n">
        <v>202509</v>
      </c>
      <c r="D508" s="37" t="s">
        <v>58</v>
      </c>
      <c r="E508" s="37" t="s">
        <v>106</v>
      </c>
      <c r="F508" s="37" t="s">
        <v>194</v>
      </c>
      <c r="G508" s="37" t="s">
        <v>354</v>
      </c>
      <c r="H508" s="37"/>
      <c r="I508" s="37" t="s">
        <v>355</v>
      </c>
      <c r="J508" s="37" t="s">
        <v>834</v>
      </c>
      <c r="K508" s="45" t="n">
        <v>571.2</v>
      </c>
      <c r="L508" s="46" t="n">
        <v>40556.68</v>
      </c>
    </row>
    <row r="509" customFormat="false" ht="15" hidden="false" customHeight="false" outlineLevel="0" collapsed="false">
      <c r="A509" s="37" t="n">
        <v>500476</v>
      </c>
      <c r="B509" s="37" t="s">
        <v>833</v>
      </c>
      <c r="C509" s="37" t="n">
        <v>202509</v>
      </c>
      <c r="D509" s="37" t="s">
        <v>59</v>
      </c>
      <c r="E509" s="37" t="s">
        <v>97</v>
      </c>
      <c r="F509" s="37" t="s">
        <v>194</v>
      </c>
      <c r="G509" s="37" t="s">
        <v>354</v>
      </c>
      <c r="H509" s="37"/>
      <c r="I509" s="37" t="s">
        <v>355</v>
      </c>
      <c r="J509" s="37" t="s">
        <v>834</v>
      </c>
      <c r="K509" s="45" t="n">
        <v>215.9</v>
      </c>
      <c r="L509" s="46" t="n">
        <v>19861.96</v>
      </c>
    </row>
    <row r="510" customFormat="false" ht="15" hidden="false" customHeight="false" outlineLevel="0" collapsed="false">
      <c r="A510" s="37" t="n">
        <v>500544</v>
      </c>
      <c r="B510" s="37" t="s">
        <v>833</v>
      </c>
      <c r="C510" s="37" t="n">
        <v>202509</v>
      </c>
      <c r="D510" s="37" t="s">
        <v>59</v>
      </c>
      <c r="E510" s="37" t="s">
        <v>98</v>
      </c>
      <c r="F510" s="37" t="s">
        <v>196</v>
      </c>
      <c r="G510" s="37" t="s">
        <v>358</v>
      </c>
      <c r="H510" s="37" t="s">
        <v>359</v>
      </c>
      <c r="I510" s="37" t="s">
        <v>360</v>
      </c>
      <c r="J510" s="37" t="s">
        <v>835</v>
      </c>
      <c r="K510" s="45" t="n">
        <v>0</v>
      </c>
      <c r="L510" s="46" t="n">
        <v>18142.27</v>
      </c>
    </row>
    <row r="511" customFormat="false" ht="15" hidden="false" customHeight="false" outlineLevel="0" collapsed="false">
      <c r="A511" s="37" t="n">
        <v>500620</v>
      </c>
      <c r="B511" s="37" t="s">
        <v>833</v>
      </c>
      <c r="C511" s="37" t="n">
        <v>202509</v>
      </c>
      <c r="D511" s="37" t="s">
        <v>59</v>
      </c>
      <c r="E511" s="37" t="s">
        <v>101</v>
      </c>
      <c r="F511" s="37" t="s">
        <v>194</v>
      </c>
      <c r="G511" s="37" t="s">
        <v>354</v>
      </c>
      <c r="H511" s="37"/>
      <c r="I511" s="37" t="s">
        <v>355</v>
      </c>
      <c r="J511" s="37" t="s">
        <v>834</v>
      </c>
      <c r="K511" s="45" t="n">
        <v>524</v>
      </c>
      <c r="L511" s="46" t="n">
        <v>38776.48</v>
      </c>
    </row>
    <row r="512" customFormat="false" ht="15" hidden="false" customHeight="false" outlineLevel="0" collapsed="false">
      <c r="A512" s="37" t="n">
        <v>500666</v>
      </c>
      <c r="B512" s="37" t="s">
        <v>833</v>
      </c>
      <c r="C512" s="37" t="n">
        <v>202509</v>
      </c>
      <c r="D512" s="37" t="s">
        <v>59</v>
      </c>
      <c r="E512" s="37" t="s">
        <v>103</v>
      </c>
      <c r="F512" s="37" t="s">
        <v>205</v>
      </c>
      <c r="G512" s="37" t="s">
        <v>358</v>
      </c>
      <c r="H512" s="37" t="s">
        <v>622</v>
      </c>
      <c r="I512" s="37" t="s">
        <v>623</v>
      </c>
      <c r="J512" s="37" t="s">
        <v>836</v>
      </c>
      <c r="K512" s="45" t="n">
        <v>0</v>
      </c>
      <c r="L512" s="46" t="n">
        <v>247140.2</v>
      </c>
    </row>
    <row r="513" customFormat="false" ht="15" hidden="false" customHeight="false" outlineLevel="0" collapsed="false">
      <c r="A513" s="37" t="n">
        <v>500805</v>
      </c>
      <c r="B513" s="37" t="s">
        <v>833</v>
      </c>
      <c r="C513" s="37" t="n">
        <v>202509</v>
      </c>
      <c r="D513" s="37" t="s">
        <v>60</v>
      </c>
      <c r="E513" s="37" t="s">
        <v>97</v>
      </c>
      <c r="F513" s="37" t="s">
        <v>194</v>
      </c>
      <c r="G513" s="37" t="s">
        <v>354</v>
      </c>
      <c r="H513" s="37"/>
      <c r="I513" s="37" t="s">
        <v>355</v>
      </c>
      <c r="J513" s="37" t="s">
        <v>834</v>
      </c>
      <c r="K513" s="45" t="n">
        <v>221.9</v>
      </c>
      <c r="L513" s="46" t="n">
        <v>20415.5</v>
      </c>
    </row>
    <row r="514" customFormat="false" ht="15" hidden="false" customHeight="false" outlineLevel="0" collapsed="false">
      <c r="A514" s="37" t="n">
        <v>500933</v>
      </c>
      <c r="B514" s="37" t="s">
        <v>833</v>
      </c>
      <c r="C514" s="37" t="n">
        <v>202509</v>
      </c>
      <c r="D514" s="37" t="s">
        <v>60</v>
      </c>
      <c r="E514" s="37" t="s">
        <v>101</v>
      </c>
      <c r="F514" s="37" t="s">
        <v>194</v>
      </c>
      <c r="G514" s="37" t="s">
        <v>354</v>
      </c>
      <c r="H514" s="37"/>
      <c r="I514" s="37" t="s">
        <v>355</v>
      </c>
      <c r="J514" s="37" t="s">
        <v>834</v>
      </c>
      <c r="K514" s="45" t="n">
        <v>304.6</v>
      </c>
      <c r="L514" s="46" t="n">
        <v>22538.15</v>
      </c>
    </row>
    <row r="515" customFormat="false" ht="15" hidden="false" customHeight="false" outlineLevel="0" collapsed="false">
      <c r="A515" s="37" t="n">
        <v>501112</v>
      </c>
      <c r="B515" s="37" t="s">
        <v>833</v>
      </c>
      <c r="C515" s="37" t="n">
        <v>202509</v>
      </c>
      <c r="D515" s="37" t="s">
        <v>61</v>
      </c>
      <c r="E515" s="37" t="s">
        <v>97</v>
      </c>
      <c r="F515" s="37" t="s">
        <v>194</v>
      </c>
      <c r="G515" s="37" t="s">
        <v>354</v>
      </c>
      <c r="H515" s="37"/>
      <c r="I515" s="37" t="s">
        <v>355</v>
      </c>
      <c r="J515" s="37" t="s">
        <v>834</v>
      </c>
      <c r="K515" s="45" t="n">
        <v>126</v>
      </c>
      <c r="L515" s="46" t="n">
        <v>11591.44</v>
      </c>
    </row>
    <row r="516" customFormat="false" ht="15" hidden="false" customHeight="false" outlineLevel="0" collapsed="false">
      <c r="A516" s="37" t="n">
        <v>501169</v>
      </c>
      <c r="B516" s="37" t="s">
        <v>833</v>
      </c>
      <c r="C516" s="37" t="n">
        <v>202509</v>
      </c>
      <c r="D516" s="37" t="s">
        <v>61</v>
      </c>
      <c r="E516" s="37" t="s">
        <v>98</v>
      </c>
      <c r="F516" s="37" t="s">
        <v>196</v>
      </c>
      <c r="G516" s="37" t="s">
        <v>358</v>
      </c>
      <c r="H516" s="37" t="s">
        <v>359</v>
      </c>
      <c r="I516" s="37" t="s">
        <v>360</v>
      </c>
      <c r="J516" s="37" t="s">
        <v>837</v>
      </c>
      <c r="K516" s="45" t="n">
        <v>0</v>
      </c>
      <c r="L516" s="46" t="n">
        <v>11416.81</v>
      </c>
    </row>
    <row r="517" customFormat="false" ht="15" hidden="false" customHeight="false" outlineLevel="0" collapsed="false">
      <c r="A517" s="37" t="n">
        <v>501226</v>
      </c>
      <c r="B517" s="37" t="s">
        <v>833</v>
      </c>
      <c r="C517" s="37" t="n">
        <v>202509</v>
      </c>
      <c r="D517" s="37" t="s">
        <v>61</v>
      </c>
      <c r="E517" s="37" t="s">
        <v>101</v>
      </c>
      <c r="F517" s="37" t="s">
        <v>194</v>
      </c>
      <c r="G517" s="37" t="s">
        <v>354</v>
      </c>
      <c r="H517" s="37"/>
      <c r="I517" s="37" t="s">
        <v>355</v>
      </c>
      <c r="J517" s="37" t="s">
        <v>834</v>
      </c>
      <c r="K517" s="45" t="n">
        <v>339.6</v>
      </c>
      <c r="L517" s="46" t="n">
        <v>25133.31</v>
      </c>
    </row>
    <row r="518" customFormat="false" ht="15" hidden="false" customHeight="false" outlineLevel="0" collapsed="false">
      <c r="A518" s="37" t="n">
        <v>501373</v>
      </c>
      <c r="B518" s="37" t="s">
        <v>833</v>
      </c>
      <c r="C518" s="37" t="n">
        <v>202509</v>
      </c>
      <c r="D518" s="37" t="s">
        <v>62</v>
      </c>
      <c r="E518" s="37" t="s">
        <v>97</v>
      </c>
      <c r="F518" s="37" t="s">
        <v>194</v>
      </c>
      <c r="G518" s="37" t="s">
        <v>354</v>
      </c>
      <c r="H518" s="37"/>
      <c r="I518" s="37" t="s">
        <v>355</v>
      </c>
      <c r="J518" s="37" t="s">
        <v>834</v>
      </c>
      <c r="K518" s="45" t="n">
        <v>57</v>
      </c>
      <c r="L518" s="46" t="n">
        <v>5248.08</v>
      </c>
    </row>
    <row r="519" customFormat="false" ht="15" hidden="false" customHeight="false" outlineLevel="0" collapsed="false">
      <c r="A519" s="37" t="n">
        <v>501477</v>
      </c>
      <c r="B519" s="37" t="s">
        <v>833</v>
      </c>
      <c r="C519" s="37" t="n">
        <v>202509</v>
      </c>
      <c r="D519" s="37" t="s">
        <v>62</v>
      </c>
      <c r="E519" s="37" t="s">
        <v>101</v>
      </c>
      <c r="F519" s="37" t="s">
        <v>194</v>
      </c>
      <c r="G519" s="37" t="s">
        <v>354</v>
      </c>
      <c r="H519" s="37"/>
      <c r="I519" s="37" t="s">
        <v>355</v>
      </c>
      <c r="J519" s="37" t="s">
        <v>834</v>
      </c>
      <c r="K519" s="45" t="n">
        <v>18.9</v>
      </c>
      <c r="L519" s="46" t="n">
        <v>1402.07</v>
      </c>
    </row>
    <row r="520" customFormat="false" ht="15" hidden="false" customHeight="false" outlineLevel="0" collapsed="false">
      <c r="A520" s="37" t="n">
        <v>501619</v>
      </c>
      <c r="B520" s="37" t="s">
        <v>833</v>
      </c>
      <c r="C520" s="37" t="n">
        <v>202509</v>
      </c>
      <c r="D520" s="37" t="s">
        <v>63</v>
      </c>
      <c r="E520" s="37" t="s">
        <v>97</v>
      </c>
      <c r="F520" s="37" t="s">
        <v>194</v>
      </c>
      <c r="G520" s="37" t="s">
        <v>354</v>
      </c>
      <c r="H520" s="37"/>
      <c r="I520" s="37" t="s">
        <v>355</v>
      </c>
      <c r="J520" s="37" t="s">
        <v>834</v>
      </c>
      <c r="K520" s="45" t="n">
        <v>19.7</v>
      </c>
      <c r="L520" s="46" t="n">
        <v>1815.95</v>
      </c>
    </row>
    <row r="521" customFormat="false" ht="15" hidden="false" customHeight="false" outlineLevel="0" collapsed="false">
      <c r="A521" s="37" t="n">
        <v>500647</v>
      </c>
      <c r="B521" s="37" t="s">
        <v>838</v>
      </c>
      <c r="C521" s="37" t="n">
        <v>202509</v>
      </c>
      <c r="D521" s="37" t="s">
        <v>59</v>
      </c>
      <c r="E521" s="37" t="s">
        <v>102</v>
      </c>
      <c r="F521" s="37" t="s">
        <v>205</v>
      </c>
      <c r="G521" s="37" t="s">
        <v>358</v>
      </c>
      <c r="H521" s="37" t="s">
        <v>591</v>
      </c>
      <c r="I521" s="37" t="s">
        <v>592</v>
      </c>
      <c r="J521" s="37" t="s">
        <v>839</v>
      </c>
      <c r="K521" s="45" t="n">
        <v>0</v>
      </c>
      <c r="L521" s="46" t="n">
        <v>68627.67</v>
      </c>
    </row>
    <row r="522" customFormat="false" ht="15" hidden="false" customHeight="false" outlineLevel="0" collapsed="false">
      <c r="A522" s="37" t="n">
        <v>500868</v>
      </c>
      <c r="B522" s="37" t="s">
        <v>840</v>
      </c>
      <c r="C522" s="37" t="n">
        <v>202509</v>
      </c>
      <c r="D522" s="37" t="s">
        <v>60</v>
      </c>
      <c r="E522" s="37" t="s">
        <v>98</v>
      </c>
      <c r="F522" s="37" t="s">
        <v>196</v>
      </c>
      <c r="G522" s="37" t="s">
        <v>358</v>
      </c>
      <c r="H522" s="37" t="s">
        <v>359</v>
      </c>
      <c r="I522" s="37" t="s">
        <v>360</v>
      </c>
      <c r="J522" s="37" t="s">
        <v>841</v>
      </c>
      <c r="K522" s="45" t="n">
        <v>0</v>
      </c>
      <c r="L522" s="46" t="n">
        <v>4533.36</v>
      </c>
    </row>
    <row r="523" customFormat="false" ht="15" hidden="false" customHeight="false" outlineLevel="0" collapsed="false">
      <c r="A523" s="37" t="n">
        <v>500982</v>
      </c>
      <c r="B523" s="37" t="s">
        <v>842</v>
      </c>
      <c r="C523" s="37" t="n">
        <v>202509</v>
      </c>
      <c r="D523" s="37" t="s">
        <v>60</v>
      </c>
      <c r="E523" s="37" t="s">
        <v>103</v>
      </c>
      <c r="F523" s="37" t="s">
        <v>205</v>
      </c>
      <c r="G523" s="37" t="s">
        <v>358</v>
      </c>
      <c r="H523" s="37" t="s">
        <v>727</v>
      </c>
      <c r="I523" s="37" t="s">
        <v>728</v>
      </c>
      <c r="J523" s="37" t="s">
        <v>843</v>
      </c>
      <c r="K523" s="45" t="n">
        <v>0</v>
      </c>
      <c r="L523" s="46" t="n">
        <v>14866.02</v>
      </c>
    </row>
    <row r="524" customFormat="false" ht="15" hidden="false" customHeight="false" outlineLevel="0" collapsed="false">
      <c r="A524" s="37" t="n">
        <v>500649</v>
      </c>
      <c r="B524" s="37" t="s">
        <v>844</v>
      </c>
      <c r="C524" s="37" t="n">
        <v>202509</v>
      </c>
      <c r="D524" s="37" t="s">
        <v>59</v>
      </c>
      <c r="E524" s="37" t="s">
        <v>102</v>
      </c>
      <c r="F524" s="37" t="s">
        <v>205</v>
      </c>
      <c r="G524" s="37" t="s">
        <v>358</v>
      </c>
      <c r="H524" s="37" t="s">
        <v>591</v>
      </c>
      <c r="I524" s="37" t="s">
        <v>592</v>
      </c>
      <c r="J524" s="37" t="s">
        <v>845</v>
      </c>
      <c r="K524" s="45" t="n">
        <v>0</v>
      </c>
      <c r="L524" s="46" t="n">
        <v>87770.6</v>
      </c>
    </row>
    <row r="525" customFormat="false" ht="15" hidden="false" customHeight="false" outlineLevel="0" collapsed="false">
      <c r="A525" s="37" t="n">
        <v>500305</v>
      </c>
      <c r="B525" s="37" t="s">
        <v>846</v>
      </c>
      <c r="C525" s="37" t="n">
        <v>202509</v>
      </c>
      <c r="D525" s="37" t="s">
        <v>58</v>
      </c>
      <c r="E525" s="37" t="s">
        <v>104</v>
      </c>
      <c r="F525" s="37" t="s">
        <v>201</v>
      </c>
      <c r="G525" s="37" t="s">
        <v>358</v>
      </c>
      <c r="H525" s="37" t="s">
        <v>578</v>
      </c>
      <c r="I525" s="37" t="s">
        <v>579</v>
      </c>
      <c r="J525" s="37" t="s">
        <v>847</v>
      </c>
      <c r="K525" s="45" t="n">
        <v>0</v>
      </c>
      <c r="L525" s="46" t="n">
        <v>106667.82</v>
      </c>
    </row>
    <row r="526" customFormat="false" ht="15" hidden="false" customHeight="false" outlineLevel="0" collapsed="false">
      <c r="A526" s="37" t="n">
        <v>500373</v>
      </c>
      <c r="B526" s="37" t="s">
        <v>846</v>
      </c>
      <c r="C526" s="37" t="n">
        <v>202509</v>
      </c>
      <c r="D526" s="37" t="s">
        <v>58</v>
      </c>
      <c r="E526" s="37" t="s">
        <v>107</v>
      </c>
      <c r="F526" s="37" t="s">
        <v>201</v>
      </c>
      <c r="G526" s="37" t="s">
        <v>358</v>
      </c>
      <c r="H526" s="37" t="s">
        <v>684</v>
      </c>
      <c r="I526" s="37" t="s">
        <v>685</v>
      </c>
      <c r="J526" s="37" t="s">
        <v>847</v>
      </c>
      <c r="K526" s="45" t="n">
        <v>0</v>
      </c>
      <c r="L526" s="46" t="n">
        <v>207931.16</v>
      </c>
    </row>
    <row r="527" customFormat="false" ht="15" hidden="false" customHeight="false" outlineLevel="0" collapsed="false">
      <c r="A527" s="37" t="n">
        <v>500417</v>
      </c>
      <c r="B527" s="37" t="s">
        <v>846</v>
      </c>
      <c r="C527" s="37" t="n">
        <v>202509</v>
      </c>
      <c r="D527" s="37" t="s">
        <v>58</v>
      </c>
      <c r="E527" s="37" t="s">
        <v>110</v>
      </c>
      <c r="F527" s="37" t="s">
        <v>201</v>
      </c>
      <c r="G527" s="37" t="s">
        <v>358</v>
      </c>
      <c r="H527" s="37" t="s">
        <v>547</v>
      </c>
      <c r="I527" s="37" t="s">
        <v>548</v>
      </c>
      <c r="J527" s="37" t="s">
        <v>847</v>
      </c>
      <c r="K527" s="45" t="n">
        <v>0</v>
      </c>
      <c r="L527" s="46" t="n">
        <v>201822.29</v>
      </c>
    </row>
    <row r="528" customFormat="false" ht="15" hidden="false" customHeight="false" outlineLevel="0" collapsed="false">
      <c r="A528" s="37" t="n">
        <v>500436</v>
      </c>
      <c r="B528" s="37" t="s">
        <v>846</v>
      </c>
      <c r="C528" s="37" t="n">
        <v>202509</v>
      </c>
      <c r="D528" s="37" t="s">
        <v>58</v>
      </c>
      <c r="E528" s="37" t="s">
        <v>111</v>
      </c>
      <c r="F528" s="37" t="s">
        <v>201</v>
      </c>
      <c r="G528" s="37" t="s">
        <v>358</v>
      </c>
      <c r="H528" s="37" t="s">
        <v>549</v>
      </c>
      <c r="I528" s="37" t="s">
        <v>550</v>
      </c>
      <c r="J528" s="37" t="s">
        <v>847</v>
      </c>
      <c r="K528" s="45" t="n">
        <v>0</v>
      </c>
      <c r="L528" s="46" t="n">
        <v>154846.34</v>
      </c>
    </row>
    <row r="529" customFormat="false" ht="15" hidden="false" customHeight="false" outlineLevel="0" collapsed="false">
      <c r="A529" s="37" t="n">
        <v>500667</v>
      </c>
      <c r="B529" s="37" t="s">
        <v>846</v>
      </c>
      <c r="C529" s="37" t="n">
        <v>202509</v>
      </c>
      <c r="D529" s="37" t="s">
        <v>59</v>
      </c>
      <c r="E529" s="37" t="s">
        <v>103</v>
      </c>
      <c r="F529" s="37" t="s">
        <v>205</v>
      </c>
      <c r="G529" s="37" t="s">
        <v>358</v>
      </c>
      <c r="H529" s="37" t="s">
        <v>622</v>
      </c>
      <c r="I529" s="37" t="s">
        <v>623</v>
      </c>
      <c r="J529" s="37" t="s">
        <v>848</v>
      </c>
      <c r="K529" s="45" t="n">
        <v>0</v>
      </c>
      <c r="L529" s="46" t="n">
        <v>58267.69</v>
      </c>
    </row>
    <row r="530" customFormat="false" ht="15" hidden="false" customHeight="false" outlineLevel="0" collapsed="false">
      <c r="A530" s="37" t="n">
        <v>500679</v>
      </c>
      <c r="B530" s="37" t="s">
        <v>846</v>
      </c>
      <c r="C530" s="37" t="n">
        <v>202509</v>
      </c>
      <c r="D530" s="37" t="s">
        <v>59</v>
      </c>
      <c r="E530" s="37" t="s">
        <v>105</v>
      </c>
      <c r="F530" s="37" t="s">
        <v>201</v>
      </c>
      <c r="G530" s="37" t="s">
        <v>358</v>
      </c>
      <c r="H530" s="37" t="s">
        <v>795</v>
      </c>
      <c r="I530" s="37" t="s">
        <v>796</v>
      </c>
      <c r="J530" s="37" t="s">
        <v>847</v>
      </c>
      <c r="K530" s="45" t="n">
        <v>0</v>
      </c>
      <c r="L530" s="46" t="n">
        <v>326528.1</v>
      </c>
    </row>
    <row r="531" customFormat="false" ht="15" hidden="false" customHeight="false" outlineLevel="0" collapsed="false">
      <c r="A531" s="37" t="n">
        <v>500759</v>
      </c>
      <c r="B531" s="37" t="s">
        <v>846</v>
      </c>
      <c r="C531" s="37" t="n">
        <v>202509</v>
      </c>
      <c r="D531" s="37" t="s">
        <v>59</v>
      </c>
      <c r="E531" s="37" t="s">
        <v>110</v>
      </c>
      <c r="F531" s="37" t="s">
        <v>201</v>
      </c>
      <c r="G531" s="37" t="s">
        <v>358</v>
      </c>
      <c r="H531" s="37" t="s">
        <v>849</v>
      </c>
      <c r="I531" s="37" t="s">
        <v>850</v>
      </c>
      <c r="J531" s="37" t="s">
        <v>847</v>
      </c>
      <c r="K531" s="45" t="n">
        <v>0</v>
      </c>
      <c r="L531" s="46" t="n">
        <v>21449.52</v>
      </c>
    </row>
    <row r="532" customFormat="false" ht="15" hidden="false" customHeight="false" outlineLevel="0" collapsed="false">
      <c r="A532" s="37" t="n">
        <v>500772</v>
      </c>
      <c r="B532" s="37" t="s">
        <v>846</v>
      </c>
      <c r="C532" s="37" t="n">
        <v>202509</v>
      </c>
      <c r="D532" s="37" t="s">
        <v>59</v>
      </c>
      <c r="E532" s="37" t="s">
        <v>111</v>
      </c>
      <c r="F532" s="37" t="s">
        <v>201</v>
      </c>
      <c r="G532" s="37" t="s">
        <v>358</v>
      </c>
      <c r="H532" s="37" t="s">
        <v>851</v>
      </c>
      <c r="I532" s="37" t="s">
        <v>852</v>
      </c>
      <c r="J532" s="37" t="s">
        <v>847</v>
      </c>
      <c r="K532" s="45" t="n">
        <v>0</v>
      </c>
      <c r="L532" s="46" t="n">
        <v>27546.09</v>
      </c>
    </row>
    <row r="533" customFormat="false" ht="15" hidden="false" customHeight="false" outlineLevel="0" collapsed="false">
      <c r="A533" s="37" t="n">
        <v>500915</v>
      </c>
      <c r="B533" s="37" t="s">
        <v>846</v>
      </c>
      <c r="C533" s="37" t="n">
        <v>202509</v>
      </c>
      <c r="D533" s="37" t="s">
        <v>60</v>
      </c>
      <c r="E533" s="37" t="s">
        <v>100</v>
      </c>
      <c r="F533" s="37" t="s">
        <v>201</v>
      </c>
      <c r="G533" s="37" t="s">
        <v>358</v>
      </c>
      <c r="H533" s="37" t="s">
        <v>645</v>
      </c>
      <c r="I533" s="37" t="s">
        <v>646</v>
      </c>
      <c r="J533" s="37" t="s">
        <v>847</v>
      </c>
      <c r="K533" s="45" t="n">
        <v>0</v>
      </c>
      <c r="L533" s="46" t="n">
        <v>66875.98</v>
      </c>
    </row>
    <row r="534" customFormat="false" ht="15" hidden="false" customHeight="false" outlineLevel="0" collapsed="false">
      <c r="A534" s="37" t="n">
        <v>501213</v>
      </c>
      <c r="B534" s="37" t="s">
        <v>846</v>
      </c>
      <c r="C534" s="37" t="n">
        <v>202509</v>
      </c>
      <c r="D534" s="37" t="s">
        <v>61</v>
      </c>
      <c r="E534" s="37" t="s">
        <v>100</v>
      </c>
      <c r="F534" s="37" t="s">
        <v>201</v>
      </c>
      <c r="G534" s="37" t="s">
        <v>358</v>
      </c>
      <c r="H534" s="37" t="s">
        <v>687</v>
      </c>
      <c r="I534" s="37" t="s">
        <v>688</v>
      </c>
      <c r="J534" s="37" t="s">
        <v>847</v>
      </c>
      <c r="K534" s="45" t="n">
        <v>0</v>
      </c>
      <c r="L534" s="46" t="n">
        <v>109685.75</v>
      </c>
    </row>
    <row r="535" customFormat="false" ht="15" hidden="false" customHeight="false" outlineLevel="0" collapsed="false">
      <c r="A535" s="37" t="n">
        <v>501470</v>
      </c>
      <c r="B535" s="37" t="s">
        <v>846</v>
      </c>
      <c r="C535" s="37" t="n">
        <v>202509</v>
      </c>
      <c r="D535" s="37" t="s">
        <v>62</v>
      </c>
      <c r="E535" s="37" t="s">
        <v>100</v>
      </c>
      <c r="F535" s="37" t="s">
        <v>201</v>
      </c>
      <c r="G535" s="37" t="s">
        <v>358</v>
      </c>
      <c r="H535" s="37" t="s">
        <v>797</v>
      </c>
      <c r="I535" s="37" t="s">
        <v>646</v>
      </c>
      <c r="J535" s="37" t="s">
        <v>847</v>
      </c>
      <c r="K535" s="45" t="n">
        <v>0</v>
      </c>
      <c r="L535" s="46" t="n">
        <v>172180.24</v>
      </c>
    </row>
    <row r="536" customFormat="false" ht="15" hidden="false" customHeight="false" outlineLevel="0" collapsed="false">
      <c r="A536" s="37" t="n">
        <v>501720</v>
      </c>
      <c r="B536" s="37" t="s">
        <v>846</v>
      </c>
      <c r="C536" s="37" t="n">
        <v>202509</v>
      </c>
      <c r="D536" s="37" t="s">
        <v>63</v>
      </c>
      <c r="E536" s="37" t="s">
        <v>100</v>
      </c>
      <c r="F536" s="37" t="s">
        <v>201</v>
      </c>
      <c r="G536" s="37" t="s">
        <v>358</v>
      </c>
      <c r="H536" s="37" t="s">
        <v>853</v>
      </c>
      <c r="I536" s="37" t="s">
        <v>854</v>
      </c>
      <c r="J536" s="37" t="s">
        <v>847</v>
      </c>
      <c r="K536" s="45" t="n">
        <v>0</v>
      </c>
      <c r="L536" s="46" t="n">
        <v>24886.79</v>
      </c>
    </row>
    <row r="537" customFormat="false" ht="15" hidden="false" customHeight="false" outlineLevel="0" collapsed="false">
      <c r="A537" s="37" t="n">
        <v>500069</v>
      </c>
      <c r="B537" s="37" t="s">
        <v>855</v>
      </c>
      <c r="C537" s="37" t="n">
        <v>202509</v>
      </c>
      <c r="D537" s="37" t="s">
        <v>58</v>
      </c>
      <c r="E537" s="37" t="s">
        <v>97</v>
      </c>
      <c r="F537" s="37" t="s">
        <v>194</v>
      </c>
      <c r="G537" s="37" t="s">
        <v>354</v>
      </c>
      <c r="H537" s="37"/>
      <c r="I537" s="37" t="s">
        <v>355</v>
      </c>
      <c r="J537" s="37" t="s">
        <v>856</v>
      </c>
      <c r="K537" s="45" t="n">
        <v>215.7</v>
      </c>
      <c r="L537" s="46" t="n">
        <v>19845.01</v>
      </c>
    </row>
    <row r="538" customFormat="false" ht="15" hidden="false" customHeight="false" outlineLevel="0" collapsed="false">
      <c r="A538" s="37" t="n">
        <v>500343</v>
      </c>
      <c r="B538" s="37" t="s">
        <v>855</v>
      </c>
      <c r="C538" s="37" t="n">
        <v>202509</v>
      </c>
      <c r="D538" s="37" t="s">
        <v>58</v>
      </c>
      <c r="E538" s="37" t="s">
        <v>106</v>
      </c>
      <c r="F538" s="37" t="s">
        <v>194</v>
      </c>
      <c r="G538" s="37" t="s">
        <v>354</v>
      </c>
      <c r="H538" s="37"/>
      <c r="I538" s="37" t="s">
        <v>355</v>
      </c>
      <c r="J538" s="37" t="s">
        <v>856</v>
      </c>
      <c r="K538" s="45" t="n">
        <v>226.6</v>
      </c>
      <c r="L538" s="46" t="n">
        <v>16090.02</v>
      </c>
    </row>
    <row r="539" customFormat="false" ht="15" hidden="false" customHeight="false" outlineLevel="0" collapsed="false">
      <c r="A539" s="37" t="n">
        <v>500477</v>
      </c>
      <c r="B539" s="37" t="s">
        <v>855</v>
      </c>
      <c r="C539" s="37" t="n">
        <v>202509</v>
      </c>
      <c r="D539" s="37" t="s">
        <v>59</v>
      </c>
      <c r="E539" s="37" t="s">
        <v>97</v>
      </c>
      <c r="F539" s="37" t="s">
        <v>194</v>
      </c>
      <c r="G539" s="37" t="s">
        <v>354</v>
      </c>
      <c r="H539" s="37"/>
      <c r="I539" s="37" t="s">
        <v>355</v>
      </c>
      <c r="J539" s="37" t="s">
        <v>856</v>
      </c>
      <c r="K539" s="45" t="n">
        <v>119.8</v>
      </c>
      <c r="L539" s="46" t="n">
        <v>11020.01</v>
      </c>
    </row>
    <row r="540" customFormat="false" ht="15" hidden="false" customHeight="false" outlineLevel="0" collapsed="false">
      <c r="A540" s="37" t="n">
        <v>500621</v>
      </c>
      <c r="B540" s="37" t="s">
        <v>855</v>
      </c>
      <c r="C540" s="37" t="n">
        <v>202509</v>
      </c>
      <c r="D540" s="37" t="s">
        <v>59</v>
      </c>
      <c r="E540" s="37" t="s">
        <v>101</v>
      </c>
      <c r="F540" s="37" t="s">
        <v>194</v>
      </c>
      <c r="G540" s="37" t="s">
        <v>354</v>
      </c>
      <c r="H540" s="37"/>
      <c r="I540" s="37" t="s">
        <v>355</v>
      </c>
      <c r="J540" s="37" t="s">
        <v>856</v>
      </c>
      <c r="K540" s="45" t="n">
        <v>1680.7</v>
      </c>
      <c r="L540" s="46" t="n">
        <v>124371.52</v>
      </c>
    </row>
    <row r="541" customFormat="false" ht="15" hidden="false" customHeight="false" outlineLevel="0" collapsed="false">
      <c r="A541" s="37" t="n">
        <v>500806</v>
      </c>
      <c r="B541" s="37" t="s">
        <v>855</v>
      </c>
      <c r="C541" s="37" t="n">
        <v>202509</v>
      </c>
      <c r="D541" s="37" t="s">
        <v>60</v>
      </c>
      <c r="E541" s="37" t="s">
        <v>97</v>
      </c>
      <c r="F541" s="37" t="s">
        <v>194</v>
      </c>
      <c r="G541" s="37" t="s">
        <v>354</v>
      </c>
      <c r="H541" s="37"/>
      <c r="I541" s="37" t="s">
        <v>355</v>
      </c>
      <c r="J541" s="37" t="s">
        <v>856</v>
      </c>
      <c r="K541" s="45" t="n">
        <v>97.3</v>
      </c>
      <c r="L541" s="46" t="n">
        <v>8953.3</v>
      </c>
    </row>
    <row r="542" customFormat="false" ht="15" hidden="false" customHeight="false" outlineLevel="0" collapsed="false">
      <c r="A542" s="37" t="n">
        <v>500869</v>
      </c>
      <c r="B542" s="37" t="s">
        <v>855</v>
      </c>
      <c r="C542" s="37" t="n">
        <v>202509</v>
      </c>
      <c r="D542" s="37" t="s">
        <v>60</v>
      </c>
      <c r="E542" s="37" t="s">
        <v>98</v>
      </c>
      <c r="F542" s="37" t="s">
        <v>196</v>
      </c>
      <c r="G542" s="37" t="s">
        <v>358</v>
      </c>
      <c r="H542" s="37" t="s">
        <v>359</v>
      </c>
      <c r="I542" s="37" t="s">
        <v>360</v>
      </c>
      <c r="J542" s="37" t="s">
        <v>857</v>
      </c>
      <c r="K542" s="45" t="n">
        <v>0</v>
      </c>
      <c r="L542" s="46" t="n">
        <v>3507.08</v>
      </c>
    </row>
    <row r="543" customFormat="false" ht="15" hidden="false" customHeight="false" outlineLevel="0" collapsed="false">
      <c r="A543" s="37" t="n">
        <v>500934</v>
      </c>
      <c r="B543" s="37" t="s">
        <v>855</v>
      </c>
      <c r="C543" s="37" t="n">
        <v>202509</v>
      </c>
      <c r="D543" s="37" t="s">
        <v>60</v>
      </c>
      <c r="E543" s="37" t="s">
        <v>101</v>
      </c>
      <c r="F543" s="37" t="s">
        <v>194</v>
      </c>
      <c r="G543" s="37" t="s">
        <v>354</v>
      </c>
      <c r="H543" s="37"/>
      <c r="I543" s="37" t="s">
        <v>355</v>
      </c>
      <c r="J543" s="37" t="s">
        <v>856</v>
      </c>
      <c r="K543" s="45" t="n">
        <v>560.4</v>
      </c>
      <c r="L543" s="46" t="n">
        <v>41473.23</v>
      </c>
    </row>
    <row r="544" customFormat="false" ht="15" hidden="false" customHeight="false" outlineLevel="0" collapsed="false">
      <c r="A544" s="37" t="n">
        <v>501113</v>
      </c>
      <c r="B544" s="37" t="s">
        <v>855</v>
      </c>
      <c r="C544" s="37" t="n">
        <v>202509</v>
      </c>
      <c r="D544" s="37" t="s">
        <v>61</v>
      </c>
      <c r="E544" s="37" t="s">
        <v>97</v>
      </c>
      <c r="F544" s="37" t="s">
        <v>194</v>
      </c>
      <c r="G544" s="37" t="s">
        <v>354</v>
      </c>
      <c r="H544" s="37"/>
      <c r="I544" s="37" t="s">
        <v>355</v>
      </c>
      <c r="J544" s="37" t="s">
        <v>856</v>
      </c>
      <c r="K544" s="45" t="n">
        <v>46.1</v>
      </c>
      <c r="L544" s="46" t="n">
        <v>4244.98</v>
      </c>
    </row>
    <row r="545" customFormat="false" ht="15" hidden="false" customHeight="false" outlineLevel="0" collapsed="false">
      <c r="A545" s="37" t="n">
        <v>501227</v>
      </c>
      <c r="B545" s="37" t="s">
        <v>855</v>
      </c>
      <c r="C545" s="37" t="n">
        <v>202509</v>
      </c>
      <c r="D545" s="37" t="s">
        <v>61</v>
      </c>
      <c r="E545" s="37" t="s">
        <v>101</v>
      </c>
      <c r="F545" s="37" t="s">
        <v>194</v>
      </c>
      <c r="G545" s="37" t="s">
        <v>354</v>
      </c>
      <c r="H545" s="37"/>
      <c r="I545" s="37" t="s">
        <v>355</v>
      </c>
      <c r="J545" s="37" t="s">
        <v>856</v>
      </c>
      <c r="K545" s="45" t="n">
        <v>489.8</v>
      </c>
      <c r="L545" s="46" t="n">
        <v>36246.66</v>
      </c>
    </row>
    <row r="546" customFormat="false" ht="15" hidden="false" customHeight="false" outlineLevel="0" collapsed="false">
      <c r="A546" s="37" t="n">
        <v>501374</v>
      </c>
      <c r="B546" s="37" t="s">
        <v>855</v>
      </c>
      <c r="C546" s="37" t="n">
        <v>202509</v>
      </c>
      <c r="D546" s="37" t="s">
        <v>62</v>
      </c>
      <c r="E546" s="37" t="s">
        <v>97</v>
      </c>
      <c r="F546" s="37" t="s">
        <v>194</v>
      </c>
      <c r="G546" s="37" t="s">
        <v>354</v>
      </c>
      <c r="H546" s="37"/>
      <c r="I546" s="37" t="s">
        <v>355</v>
      </c>
      <c r="J546" s="37" t="s">
        <v>856</v>
      </c>
      <c r="K546" s="45" t="n">
        <v>66.1</v>
      </c>
      <c r="L546" s="46" t="n">
        <v>6084.62</v>
      </c>
    </row>
    <row r="547" customFormat="false" ht="15" hidden="false" customHeight="false" outlineLevel="0" collapsed="false">
      <c r="A547" s="37" t="n">
        <v>501478</v>
      </c>
      <c r="B547" s="37" t="s">
        <v>855</v>
      </c>
      <c r="C547" s="37" t="n">
        <v>202509</v>
      </c>
      <c r="D547" s="37" t="s">
        <v>62</v>
      </c>
      <c r="E547" s="37" t="s">
        <v>101</v>
      </c>
      <c r="F547" s="37" t="s">
        <v>194</v>
      </c>
      <c r="G547" s="37" t="s">
        <v>354</v>
      </c>
      <c r="H547" s="37"/>
      <c r="I547" s="37" t="s">
        <v>355</v>
      </c>
      <c r="J547" s="37" t="s">
        <v>856</v>
      </c>
      <c r="K547" s="45" t="n">
        <v>17.9</v>
      </c>
      <c r="L547" s="46" t="n">
        <v>1326.32</v>
      </c>
    </row>
    <row r="548" customFormat="false" ht="15" hidden="false" customHeight="false" outlineLevel="0" collapsed="false">
      <c r="A548" s="37" t="n">
        <v>501620</v>
      </c>
      <c r="B548" s="37" t="s">
        <v>855</v>
      </c>
      <c r="C548" s="37" t="n">
        <v>202509</v>
      </c>
      <c r="D548" s="37" t="s">
        <v>63</v>
      </c>
      <c r="E548" s="37" t="s">
        <v>97</v>
      </c>
      <c r="F548" s="37" t="s">
        <v>194</v>
      </c>
      <c r="G548" s="37" t="s">
        <v>354</v>
      </c>
      <c r="H548" s="37"/>
      <c r="I548" s="37" t="s">
        <v>355</v>
      </c>
      <c r="J548" s="37" t="s">
        <v>856</v>
      </c>
      <c r="K548" s="45" t="n">
        <v>20.2</v>
      </c>
      <c r="L548" s="46" t="n">
        <v>1862.91</v>
      </c>
    </row>
    <row r="549" customFormat="false" ht="15" hidden="false" customHeight="false" outlineLevel="0" collapsed="false">
      <c r="A549" s="37" t="n">
        <v>500980</v>
      </c>
      <c r="B549" s="37" t="s">
        <v>858</v>
      </c>
      <c r="C549" s="37" t="n">
        <v>202509</v>
      </c>
      <c r="D549" s="37" t="s">
        <v>60</v>
      </c>
      <c r="E549" s="37" t="s">
        <v>103</v>
      </c>
      <c r="F549" s="37" t="s">
        <v>205</v>
      </c>
      <c r="G549" s="37" t="s">
        <v>358</v>
      </c>
      <c r="H549" s="37" t="s">
        <v>727</v>
      </c>
      <c r="I549" s="37" t="s">
        <v>728</v>
      </c>
      <c r="J549" s="37" t="s">
        <v>859</v>
      </c>
      <c r="K549" s="45" t="n">
        <v>0</v>
      </c>
      <c r="L549" s="46" t="n">
        <v>55468.42</v>
      </c>
    </row>
    <row r="550" customFormat="false" ht="15" hidden="false" customHeight="false" outlineLevel="0" collapsed="false">
      <c r="A550" s="37" t="n">
        <v>501253</v>
      </c>
      <c r="B550" s="37" t="s">
        <v>858</v>
      </c>
      <c r="C550" s="37" t="n">
        <v>202509</v>
      </c>
      <c r="D550" s="37" t="s">
        <v>61</v>
      </c>
      <c r="E550" s="37" t="s">
        <v>102</v>
      </c>
      <c r="F550" s="37" t="s">
        <v>205</v>
      </c>
      <c r="G550" s="37" t="s">
        <v>358</v>
      </c>
      <c r="H550" s="37" t="s">
        <v>714</v>
      </c>
      <c r="I550" s="37" t="s">
        <v>715</v>
      </c>
      <c r="J550" s="37" t="s">
        <v>860</v>
      </c>
      <c r="K550" s="45" t="n">
        <v>0</v>
      </c>
      <c r="L550" s="46" t="n">
        <v>38374.88</v>
      </c>
    </row>
    <row r="551" customFormat="false" ht="15" hidden="false" customHeight="false" outlineLevel="0" collapsed="false">
      <c r="A551" s="37" t="n">
        <v>501428</v>
      </c>
      <c r="B551" s="37" t="s">
        <v>858</v>
      </c>
      <c r="C551" s="37" t="n">
        <v>202509</v>
      </c>
      <c r="D551" s="37" t="s">
        <v>62</v>
      </c>
      <c r="E551" s="37" t="s">
        <v>98</v>
      </c>
      <c r="F551" s="37" t="s">
        <v>196</v>
      </c>
      <c r="G551" s="37" t="s">
        <v>358</v>
      </c>
      <c r="H551" s="37" t="s">
        <v>359</v>
      </c>
      <c r="I551" s="37" t="s">
        <v>360</v>
      </c>
      <c r="J551" s="37" t="s">
        <v>861</v>
      </c>
      <c r="K551" s="45" t="n">
        <v>0</v>
      </c>
      <c r="L551" s="46" t="n">
        <v>13260.86</v>
      </c>
    </row>
    <row r="552" customFormat="false" ht="15" hidden="false" customHeight="false" outlineLevel="0" collapsed="false">
      <c r="A552" s="37" t="n">
        <v>501515</v>
      </c>
      <c r="B552" s="37" t="s">
        <v>858</v>
      </c>
      <c r="C552" s="37" t="n">
        <v>202509</v>
      </c>
      <c r="D552" s="37" t="s">
        <v>62</v>
      </c>
      <c r="E552" s="37" t="s">
        <v>102</v>
      </c>
      <c r="F552" s="37" t="s">
        <v>205</v>
      </c>
      <c r="G552" s="37" t="s">
        <v>358</v>
      </c>
      <c r="H552" s="37" t="s">
        <v>810</v>
      </c>
      <c r="I552" s="37" t="s">
        <v>811</v>
      </c>
      <c r="J552" s="37" t="s">
        <v>862</v>
      </c>
      <c r="K552" s="45" t="n">
        <v>0</v>
      </c>
      <c r="L552" s="46" t="n">
        <v>2250.58</v>
      </c>
    </row>
    <row r="553" customFormat="false" ht="15" hidden="false" customHeight="false" outlineLevel="0" collapsed="false">
      <c r="A553" s="37" t="n">
        <v>500189</v>
      </c>
      <c r="B553" s="37" t="s">
        <v>863</v>
      </c>
      <c r="C553" s="37" t="n">
        <v>202509</v>
      </c>
      <c r="D553" s="37" t="s">
        <v>58</v>
      </c>
      <c r="E553" s="37" t="s">
        <v>99</v>
      </c>
      <c r="F553" s="37" t="s">
        <v>198</v>
      </c>
      <c r="G553" s="37" t="s">
        <v>375</v>
      </c>
      <c r="H553" s="37"/>
      <c r="I553" s="37" t="s">
        <v>376</v>
      </c>
      <c r="J553" s="37" t="s">
        <v>377</v>
      </c>
      <c r="K553" s="45" t="n">
        <v>0</v>
      </c>
      <c r="L553" s="46" t="n">
        <v>21372.98</v>
      </c>
    </row>
    <row r="554" customFormat="false" ht="15" hidden="false" customHeight="false" outlineLevel="0" collapsed="false">
      <c r="A554" s="37" t="n">
        <v>500576</v>
      </c>
      <c r="B554" s="37" t="s">
        <v>863</v>
      </c>
      <c r="C554" s="37" t="n">
        <v>202509</v>
      </c>
      <c r="D554" s="37" t="s">
        <v>59</v>
      </c>
      <c r="E554" s="37" t="s">
        <v>99</v>
      </c>
      <c r="F554" s="37" t="s">
        <v>198</v>
      </c>
      <c r="G554" s="37" t="s">
        <v>375</v>
      </c>
      <c r="H554" s="37"/>
      <c r="I554" s="37" t="s">
        <v>376</v>
      </c>
      <c r="J554" s="37" t="s">
        <v>377</v>
      </c>
      <c r="K554" s="45" t="n">
        <v>0</v>
      </c>
      <c r="L554" s="46" t="n">
        <v>56925.8</v>
      </c>
    </row>
    <row r="555" customFormat="false" ht="15" hidden="false" customHeight="false" outlineLevel="0" collapsed="false">
      <c r="A555" s="37" t="n">
        <v>500898</v>
      </c>
      <c r="B555" s="37" t="s">
        <v>863</v>
      </c>
      <c r="C555" s="37" t="n">
        <v>202509</v>
      </c>
      <c r="D555" s="37" t="s">
        <v>60</v>
      </c>
      <c r="E555" s="37" t="s">
        <v>99</v>
      </c>
      <c r="F555" s="37" t="s">
        <v>198</v>
      </c>
      <c r="G555" s="37" t="s">
        <v>375</v>
      </c>
      <c r="H555" s="37"/>
      <c r="I555" s="37" t="s">
        <v>376</v>
      </c>
      <c r="J555" s="37" t="s">
        <v>377</v>
      </c>
      <c r="K555" s="45" t="n">
        <v>0</v>
      </c>
      <c r="L555" s="46" t="n">
        <v>20424.5</v>
      </c>
    </row>
    <row r="556" customFormat="false" ht="15" hidden="false" customHeight="false" outlineLevel="0" collapsed="false">
      <c r="A556" s="37" t="n">
        <v>501198</v>
      </c>
      <c r="B556" s="37" t="s">
        <v>863</v>
      </c>
      <c r="C556" s="37" t="n">
        <v>202509</v>
      </c>
      <c r="D556" s="37" t="s">
        <v>61</v>
      </c>
      <c r="E556" s="37" t="s">
        <v>99</v>
      </c>
      <c r="F556" s="37" t="s">
        <v>198</v>
      </c>
      <c r="G556" s="37" t="s">
        <v>375</v>
      </c>
      <c r="H556" s="37"/>
      <c r="I556" s="37" t="s">
        <v>376</v>
      </c>
      <c r="J556" s="37" t="s">
        <v>377</v>
      </c>
      <c r="K556" s="45" t="n">
        <v>0</v>
      </c>
      <c r="L556" s="46" t="n">
        <v>22277.11</v>
      </c>
    </row>
    <row r="557" customFormat="false" ht="15" hidden="false" customHeight="false" outlineLevel="0" collapsed="false">
      <c r="A557" s="37" t="n">
        <v>501456</v>
      </c>
      <c r="B557" s="37" t="s">
        <v>863</v>
      </c>
      <c r="C557" s="37" t="n">
        <v>202509</v>
      </c>
      <c r="D557" s="37" t="s">
        <v>62</v>
      </c>
      <c r="E557" s="37" t="s">
        <v>99</v>
      </c>
      <c r="F557" s="37" t="s">
        <v>198</v>
      </c>
      <c r="G557" s="37" t="s">
        <v>375</v>
      </c>
      <c r="H557" s="37"/>
      <c r="I557" s="37" t="s">
        <v>376</v>
      </c>
      <c r="J557" s="37" t="s">
        <v>377</v>
      </c>
      <c r="K557" s="45" t="n">
        <v>0</v>
      </c>
      <c r="L557" s="46" t="n">
        <v>11240.28</v>
      </c>
    </row>
    <row r="558" customFormat="false" ht="15" hidden="false" customHeight="false" outlineLevel="0" collapsed="false">
      <c r="A558" s="37" t="n">
        <v>501707</v>
      </c>
      <c r="B558" s="37" t="s">
        <v>863</v>
      </c>
      <c r="C558" s="37" t="n">
        <v>202509</v>
      </c>
      <c r="D558" s="37" t="s">
        <v>63</v>
      </c>
      <c r="E558" s="37" t="s">
        <v>99</v>
      </c>
      <c r="F558" s="37" t="s">
        <v>198</v>
      </c>
      <c r="G558" s="37" t="s">
        <v>375</v>
      </c>
      <c r="H558" s="37"/>
      <c r="I558" s="37" t="s">
        <v>376</v>
      </c>
      <c r="J558" s="37" t="s">
        <v>377</v>
      </c>
      <c r="K558" s="45" t="n">
        <v>0</v>
      </c>
      <c r="L558" s="46" t="n">
        <v>2984.73</v>
      </c>
    </row>
    <row r="559" customFormat="false" ht="15" hidden="false" customHeight="false" outlineLevel="0" collapsed="false">
      <c r="A559" s="37" t="n">
        <v>500070</v>
      </c>
      <c r="B559" s="37" t="s">
        <v>864</v>
      </c>
      <c r="C559" s="37" t="n">
        <v>202510</v>
      </c>
      <c r="D559" s="37" t="s">
        <v>58</v>
      </c>
      <c r="E559" s="37" t="s">
        <v>97</v>
      </c>
      <c r="F559" s="37" t="s">
        <v>194</v>
      </c>
      <c r="G559" s="37" t="s">
        <v>354</v>
      </c>
      <c r="H559" s="37"/>
      <c r="I559" s="37" t="s">
        <v>355</v>
      </c>
      <c r="J559" s="37" t="s">
        <v>865</v>
      </c>
      <c r="K559" s="45" t="n">
        <v>111</v>
      </c>
      <c r="L559" s="46" t="n">
        <v>10213.13</v>
      </c>
    </row>
    <row r="560" customFormat="false" ht="15" hidden="false" customHeight="false" outlineLevel="0" collapsed="false">
      <c r="A560" s="37" t="n">
        <v>500344</v>
      </c>
      <c r="B560" s="37" t="s">
        <v>864</v>
      </c>
      <c r="C560" s="37" t="n">
        <v>202510</v>
      </c>
      <c r="D560" s="37" t="s">
        <v>58</v>
      </c>
      <c r="E560" s="37" t="s">
        <v>106</v>
      </c>
      <c r="F560" s="37" t="s">
        <v>194</v>
      </c>
      <c r="G560" s="37" t="s">
        <v>354</v>
      </c>
      <c r="H560" s="37"/>
      <c r="I560" s="37" t="s">
        <v>355</v>
      </c>
      <c r="J560" s="37" t="s">
        <v>865</v>
      </c>
      <c r="K560" s="45" t="n">
        <v>288.5</v>
      </c>
      <c r="L560" s="46" t="n">
        <v>20486.88</v>
      </c>
    </row>
    <row r="561" customFormat="false" ht="15" hidden="false" customHeight="false" outlineLevel="0" collapsed="false">
      <c r="A561" s="37" t="n">
        <v>500478</v>
      </c>
      <c r="B561" s="37" t="s">
        <v>864</v>
      </c>
      <c r="C561" s="37" t="n">
        <v>202510</v>
      </c>
      <c r="D561" s="37" t="s">
        <v>59</v>
      </c>
      <c r="E561" s="37" t="s">
        <v>97</v>
      </c>
      <c r="F561" s="37" t="s">
        <v>194</v>
      </c>
      <c r="G561" s="37" t="s">
        <v>354</v>
      </c>
      <c r="H561" s="37"/>
      <c r="I561" s="37" t="s">
        <v>355</v>
      </c>
      <c r="J561" s="37" t="s">
        <v>865</v>
      </c>
      <c r="K561" s="45" t="n">
        <v>189.8</v>
      </c>
      <c r="L561" s="46" t="n">
        <v>17458.69</v>
      </c>
    </row>
    <row r="562" customFormat="false" ht="15" hidden="false" customHeight="false" outlineLevel="0" collapsed="false">
      <c r="A562" s="37" t="n">
        <v>500547</v>
      </c>
      <c r="B562" s="37" t="s">
        <v>864</v>
      </c>
      <c r="C562" s="37" t="n">
        <v>202510</v>
      </c>
      <c r="D562" s="37" t="s">
        <v>59</v>
      </c>
      <c r="E562" s="37" t="s">
        <v>98</v>
      </c>
      <c r="F562" s="37" t="s">
        <v>196</v>
      </c>
      <c r="G562" s="37" t="s">
        <v>358</v>
      </c>
      <c r="H562" s="37" t="s">
        <v>359</v>
      </c>
      <c r="I562" s="37" t="s">
        <v>360</v>
      </c>
      <c r="J562" s="37" t="s">
        <v>866</v>
      </c>
      <c r="K562" s="45" t="n">
        <v>0</v>
      </c>
      <c r="L562" s="46" t="n">
        <v>21260.11</v>
      </c>
    </row>
    <row r="563" customFormat="false" ht="15" hidden="false" customHeight="false" outlineLevel="0" collapsed="false">
      <c r="A563" s="37" t="n">
        <v>500622</v>
      </c>
      <c r="B563" s="37" t="s">
        <v>864</v>
      </c>
      <c r="C563" s="37" t="n">
        <v>202510</v>
      </c>
      <c r="D563" s="37" t="s">
        <v>59</v>
      </c>
      <c r="E563" s="37" t="s">
        <v>101</v>
      </c>
      <c r="F563" s="37" t="s">
        <v>194</v>
      </c>
      <c r="G563" s="37" t="s">
        <v>354</v>
      </c>
      <c r="H563" s="37"/>
      <c r="I563" s="37" t="s">
        <v>355</v>
      </c>
      <c r="J563" s="37" t="s">
        <v>865</v>
      </c>
      <c r="K563" s="45" t="n">
        <v>422.9</v>
      </c>
      <c r="L563" s="46" t="n">
        <v>31298.24</v>
      </c>
    </row>
    <row r="564" customFormat="false" ht="15" hidden="false" customHeight="false" outlineLevel="0" collapsed="false">
      <c r="A564" s="37" t="n">
        <v>500807</v>
      </c>
      <c r="B564" s="37" t="s">
        <v>864</v>
      </c>
      <c r="C564" s="37" t="n">
        <v>202510</v>
      </c>
      <c r="D564" s="37" t="s">
        <v>60</v>
      </c>
      <c r="E564" s="37" t="s">
        <v>97</v>
      </c>
      <c r="F564" s="37" t="s">
        <v>194</v>
      </c>
      <c r="G564" s="37" t="s">
        <v>354</v>
      </c>
      <c r="H564" s="37"/>
      <c r="I564" s="37" t="s">
        <v>355</v>
      </c>
      <c r="J564" s="37" t="s">
        <v>865</v>
      </c>
      <c r="K564" s="45" t="n">
        <v>142.7</v>
      </c>
      <c r="L564" s="46" t="n">
        <v>13129.81</v>
      </c>
    </row>
    <row r="565" customFormat="false" ht="15" hidden="false" customHeight="false" outlineLevel="0" collapsed="false">
      <c r="A565" s="37" t="n">
        <v>500935</v>
      </c>
      <c r="B565" s="37" t="s">
        <v>864</v>
      </c>
      <c r="C565" s="37" t="n">
        <v>202510</v>
      </c>
      <c r="D565" s="37" t="s">
        <v>60</v>
      </c>
      <c r="E565" s="37" t="s">
        <v>101</v>
      </c>
      <c r="F565" s="37" t="s">
        <v>194</v>
      </c>
      <c r="G565" s="37" t="s">
        <v>354</v>
      </c>
      <c r="H565" s="37"/>
      <c r="I565" s="37" t="s">
        <v>355</v>
      </c>
      <c r="J565" s="37" t="s">
        <v>865</v>
      </c>
      <c r="K565" s="45" t="n">
        <v>266.2</v>
      </c>
      <c r="L565" s="46" t="n">
        <v>19701.22</v>
      </c>
    </row>
    <row r="566" customFormat="false" ht="15" hidden="false" customHeight="false" outlineLevel="0" collapsed="false">
      <c r="A566" s="37" t="n">
        <v>501114</v>
      </c>
      <c r="B566" s="37" t="s">
        <v>864</v>
      </c>
      <c r="C566" s="37" t="n">
        <v>202510</v>
      </c>
      <c r="D566" s="37" t="s">
        <v>61</v>
      </c>
      <c r="E566" s="37" t="s">
        <v>97</v>
      </c>
      <c r="F566" s="37" t="s">
        <v>194</v>
      </c>
      <c r="G566" s="37" t="s">
        <v>354</v>
      </c>
      <c r="H566" s="37"/>
      <c r="I566" s="37" t="s">
        <v>355</v>
      </c>
      <c r="J566" s="37" t="s">
        <v>865</v>
      </c>
      <c r="K566" s="45" t="n">
        <v>198.7</v>
      </c>
      <c r="L566" s="46" t="n">
        <v>18284.75</v>
      </c>
    </row>
    <row r="567" customFormat="false" ht="15" hidden="false" customHeight="false" outlineLevel="0" collapsed="false">
      <c r="A567" s="37" t="n">
        <v>501228</v>
      </c>
      <c r="B567" s="37" t="s">
        <v>864</v>
      </c>
      <c r="C567" s="37" t="n">
        <v>202510</v>
      </c>
      <c r="D567" s="37" t="s">
        <v>61</v>
      </c>
      <c r="E567" s="37" t="s">
        <v>101</v>
      </c>
      <c r="F567" s="37" t="s">
        <v>194</v>
      </c>
      <c r="G567" s="37" t="s">
        <v>354</v>
      </c>
      <c r="H567" s="37"/>
      <c r="I567" s="37" t="s">
        <v>355</v>
      </c>
      <c r="J567" s="37" t="s">
        <v>865</v>
      </c>
      <c r="K567" s="45" t="n">
        <v>242</v>
      </c>
      <c r="L567" s="46" t="n">
        <v>17911.37</v>
      </c>
    </row>
    <row r="568" customFormat="false" ht="15" hidden="false" customHeight="false" outlineLevel="0" collapsed="false">
      <c r="A568" s="37" t="n">
        <v>501266</v>
      </c>
      <c r="B568" s="37" t="s">
        <v>864</v>
      </c>
      <c r="C568" s="37" t="n">
        <v>202510</v>
      </c>
      <c r="D568" s="37" t="s">
        <v>61</v>
      </c>
      <c r="E568" s="37" t="s">
        <v>103</v>
      </c>
      <c r="F568" s="37" t="s">
        <v>205</v>
      </c>
      <c r="G568" s="37" t="s">
        <v>358</v>
      </c>
      <c r="H568" s="37" t="s">
        <v>711</v>
      </c>
      <c r="I568" s="37" t="s">
        <v>401</v>
      </c>
      <c r="J568" s="37" t="s">
        <v>867</v>
      </c>
      <c r="K568" s="45" t="n">
        <v>0</v>
      </c>
      <c r="L568" s="46" t="n">
        <v>142022.49</v>
      </c>
    </row>
    <row r="569" customFormat="false" ht="15" hidden="false" customHeight="false" outlineLevel="0" collapsed="false">
      <c r="A569" s="37" t="n">
        <v>501375</v>
      </c>
      <c r="B569" s="37" t="s">
        <v>864</v>
      </c>
      <c r="C569" s="37" t="n">
        <v>202510</v>
      </c>
      <c r="D569" s="37" t="s">
        <v>62</v>
      </c>
      <c r="E569" s="37" t="s">
        <v>97</v>
      </c>
      <c r="F569" s="37" t="s">
        <v>194</v>
      </c>
      <c r="G569" s="37" t="s">
        <v>354</v>
      </c>
      <c r="H569" s="37"/>
      <c r="I569" s="37" t="s">
        <v>355</v>
      </c>
      <c r="J569" s="37" t="s">
        <v>865</v>
      </c>
      <c r="K569" s="45" t="n">
        <v>105.6</v>
      </c>
      <c r="L569" s="46" t="n">
        <v>9718.03</v>
      </c>
    </row>
    <row r="570" customFormat="false" ht="15" hidden="false" customHeight="false" outlineLevel="0" collapsed="false">
      <c r="A570" s="37" t="n">
        <v>501479</v>
      </c>
      <c r="B570" s="37" t="s">
        <v>864</v>
      </c>
      <c r="C570" s="37" t="n">
        <v>202510</v>
      </c>
      <c r="D570" s="37" t="s">
        <v>62</v>
      </c>
      <c r="E570" s="37" t="s">
        <v>101</v>
      </c>
      <c r="F570" s="37" t="s">
        <v>194</v>
      </c>
      <c r="G570" s="37" t="s">
        <v>354</v>
      </c>
      <c r="H570" s="37"/>
      <c r="I570" s="37" t="s">
        <v>355</v>
      </c>
      <c r="J570" s="37" t="s">
        <v>865</v>
      </c>
      <c r="K570" s="45" t="n">
        <v>332.9</v>
      </c>
      <c r="L570" s="46" t="n">
        <v>24631.42</v>
      </c>
    </row>
    <row r="571" customFormat="false" ht="15" hidden="false" customHeight="false" outlineLevel="0" collapsed="false">
      <c r="A571" s="37" t="n">
        <v>501621</v>
      </c>
      <c r="B571" s="37" t="s">
        <v>864</v>
      </c>
      <c r="C571" s="37" t="n">
        <v>202510</v>
      </c>
      <c r="D571" s="37" t="s">
        <v>63</v>
      </c>
      <c r="E571" s="37" t="s">
        <v>97</v>
      </c>
      <c r="F571" s="37" t="s">
        <v>194</v>
      </c>
      <c r="G571" s="37" t="s">
        <v>354</v>
      </c>
      <c r="H571" s="37"/>
      <c r="I571" s="37" t="s">
        <v>355</v>
      </c>
      <c r="J571" s="37" t="s">
        <v>865</v>
      </c>
      <c r="K571" s="45" t="n">
        <v>85.5</v>
      </c>
      <c r="L571" s="46" t="n">
        <v>7861.59</v>
      </c>
    </row>
    <row r="572" customFormat="false" ht="15" hidden="false" customHeight="false" outlineLevel="0" collapsed="false">
      <c r="A572" s="37" t="n">
        <v>501725</v>
      </c>
      <c r="B572" s="37" t="s">
        <v>864</v>
      </c>
      <c r="C572" s="37" t="n">
        <v>202510</v>
      </c>
      <c r="D572" s="37" t="s">
        <v>63</v>
      </c>
      <c r="E572" s="37" t="s">
        <v>101</v>
      </c>
      <c r="F572" s="37" t="s">
        <v>194</v>
      </c>
      <c r="G572" s="37" t="s">
        <v>354</v>
      </c>
      <c r="H572" s="37"/>
      <c r="I572" s="37" t="s">
        <v>355</v>
      </c>
      <c r="J572" s="37" t="s">
        <v>865</v>
      </c>
      <c r="K572" s="45" t="n">
        <v>27</v>
      </c>
      <c r="L572" s="46" t="n">
        <v>1994.98</v>
      </c>
    </row>
    <row r="573" customFormat="false" ht="15" hidden="false" customHeight="false" outlineLevel="0" collapsed="false">
      <c r="A573" s="37" t="n">
        <v>501855</v>
      </c>
      <c r="B573" s="37" t="s">
        <v>864</v>
      </c>
      <c r="C573" s="37" t="n">
        <v>202510</v>
      </c>
      <c r="D573" s="37" t="s">
        <v>64</v>
      </c>
      <c r="E573" s="37" t="s">
        <v>97</v>
      </c>
      <c r="F573" s="37" t="s">
        <v>194</v>
      </c>
      <c r="G573" s="37" t="s">
        <v>354</v>
      </c>
      <c r="H573" s="37"/>
      <c r="I573" s="37" t="s">
        <v>355</v>
      </c>
      <c r="J573" s="37" t="s">
        <v>865</v>
      </c>
      <c r="K573" s="45" t="n">
        <v>49.8</v>
      </c>
      <c r="L573" s="46" t="n">
        <v>4582.25</v>
      </c>
    </row>
    <row r="574" customFormat="false" ht="15" hidden="false" customHeight="false" outlineLevel="0" collapsed="false">
      <c r="A574" s="37" t="n">
        <v>501431</v>
      </c>
      <c r="B574" s="37" t="s">
        <v>868</v>
      </c>
      <c r="C574" s="37" t="n">
        <v>202510</v>
      </c>
      <c r="D574" s="37" t="s">
        <v>62</v>
      </c>
      <c r="E574" s="37" t="s">
        <v>98</v>
      </c>
      <c r="F574" s="37" t="s">
        <v>196</v>
      </c>
      <c r="G574" s="37" t="s">
        <v>358</v>
      </c>
      <c r="H574" s="37" t="s">
        <v>359</v>
      </c>
      <c r="I574" s="37" t="s">
        <v>360</v>
      </c>
      <c r="J574" s="37" t="s">
        <v>869</v>
      </c>
      <c r="K574" s="45" t="n">
        <v>0</v>
      </c>
      <c r="L574" s="46" t="n">
        <v>13968.44</v>
      </c>
    </row>
    <row r="575" customFormat="false" ht="15" hidden="false" customHeight="false" outlineLevel="0" collapsed="false">
      <c r="A575" s="37" t="n">
        <v>500668</v>
      </c>
      <c r="B575" s="37" t="s">
        <v>168</v>
      </c>
      <c r="C575" s="37" t="n">
        <v>202510</v>
      </c>
      <c r="D575" s="37" t="s">
        <v>59</v>
      </c>
      <c r="E575" s="37" t="s">
        <v>103</v>
      </c>
      <c r="F575" s="37" t="s">
        <v>205</v>
      </c>
      <c r="G575" s="37" t="s">
        <v>358</v>
      </c>
      <c r="H575" s="37" t="s">
        <v>622</v>
      </c>
      <c r="I575" s="37" t="s">
        <v>623</v>
      </c>
      <c r="J575" s="37" t="s">
        <v>870</v>
      </c>
      <c r="K575" s="45" t="n">
        <v>0</v>
      </c>
      <c r="L575" s="46" t="n">
        <v>178206.44</v>
      </c>
    </row>
    <row r="576" customFormat="false" ht="15" hidden="false" customHeight="false" outlineLevel="0" collapsed="false">
      <c r="A576" s="37" t="n">
        <v>501254</v>
      </c>
      <c r="B576" s="37" t="s">
        <v>168</v>
      </c>
      <c r="C576" s="37" t="n">
        <v>202510</v>
      </c>
      <c r="D576" s="37" t="s">
        <v>61</v>
      </c>
      <c r="E576" s="37" t="s">
        <v>102</v>
      </c>
      <c r="F576" s="37" t="s">
        <v>205</v>
      </c>
      <c r="G576" s="37" t="s">
        <v>358</v>
      </c>
      <c r="H576" s="37" t="s">
        <v>714</v>
      </c>
      <c r="I576" s="37" t="s">
        <v>715</v>
      </c>
      <c r="J576" s="37" t="s">
        <v>871</v>
      </c>
      <c r="K576" s="45" t="n">
        <v>0</v>
      </c>
      <c r="L576" s="46" t="n">
        <v>96345.19</v>
      </c>
    </row>
    <row r="577" customFormat="false" ht="15" hidden="false" customHeight="false" outlineLevel="0" collapsed="false">
      <c r="A577" s="37" t="n">
        <v>500548</v>
      </c>
      <c r="B577" s="37" t="s">
        <v>872</v>
      </c>
      <c r="C577" s="37" t="n">
        <v>202510</v>
      </c>
      <c r="D577" s="37" t="s">
        <v>59</v>
      </c>
      <c r="E577" s="37" t="s">
        <v>98</v>
      </c>
      <c r="F577" s="37" t="s">
        <v>196</v>
      </c>
      <c r="G577" s="37" t="s">
        <v>358</v>
      </c>
      <c r="H577" s="37" t="s">
        <v>359</v>
      </c>
      <c r="I577" s="37" t="s">
        <v>360</v>
      </c>
      <c r="J577" s="37" t="s">
        <v>873</v>
      </c>
      <c r="K577" s="45" t="n">
        <v>0</v>
      </c>
      <c r="L577" s="46" t="n">
        <v>33038.61</v>
      </c>
    </row>
    <row r="578" customFormat="false" ht="15" hidden="false" customHeight="false" outlineLevel="0" collapsed="false">
      <c r="A578" s="37" t="n">
        <v>500964</v>
      </c>
      <c r="B578" s="37" t="s">
        <v>874</v>
      </c>
      <c r="C578" s="37" t="n">
        <v>202510</v>
      </c>
      <c r="D578" s="37" t="s">
        <v>60</v>
      </c>
      <c r="E578" s="37" t="s">
        <v>102</v>
      </c>
      <c r="F578" s="37" t="s">
        <v>205</v>
      </c>
      <c r="G578" s="37" t="s">
        <v>358</v>
      </c>
      <c r="H578" s="37" t="s">
        <v>670</v>
      </c>
      <c r="I578" s="37" t="s">
        <v>671</v>
      </c>
      <c r="J578" s="37" t="s">
        <v>875</v>
      </c>
      <c r="K578" s="45" t="n">
        <v>0</v>
      </c>
      <c r="L578" s="46" t="n">
        <v>37887.9</v>
      </c>
    </row>
    <row r="579" customFormat="false" ht="15" hidden="false" customHeight="false" outlineLevel="0" collapsed="false">
      <c r="A579" s="37" t="n">
        <v>500546</v>
      </c>
      <c r="B579" s="37" t="s">
        <v>876</v>
      </c>
      <c r="C579" s="37" t="n">
        <v>202510</v>
      </c>
      <c r="D579" s="37" t="s">
        <v>59</v>
      </c>
      <c r="E579" s="37" t="s">
        <v>98</v>
      </c>
      <c r="F579" s="37" t="s">
        <v>196</v>
      </c>
      <c r="G579" s="37" t="s">
        <v>358</v>
      </c>
      <c r="H579" s="37" t="s">
        <v>359</v>
      </c>
      <c r="I579" s="37" t="s">
        <v>360</v>
      </c>
      <c r="J579" s="37" t="s">
        <v>877</v>
      </c>
      <c r="K579" s="45" t="n">
        <v>0</v>
      </c>
      <c r="L579" s="46" t="n">
        <v>9728.21</v>
      </c>
    </row>
    <row r="580" customFormat="false" ht="15" hidden="false" customHeight="false" outlineLevel="0" collapsed="false">
      <c r="A580" s="37" t="n">
        <v>500071</v>
      </c>
      <c r="B580" s="37" t="s">
        <v>878</v>
      </c>
      <c r="C580" s="37" t="n">
        <v>202510</v>
      </c>
      <c r="D580" s="37" t="s">
        <v>58</v>
      </c>
      <c r="E580" s="37" t="s">
        <v>97</v>
      </c>
      <c r="F580" s="37" t="s">
        <v>194</v>
      </c>
      <c r="G580" s="37" t="s">
        <v>354</v>
      </c>
      <c r="H580" s="37"/>
      <c r="I580" s="37" t="s">
        <v>355</v>
      </c>
      <c r="J580" s="37" t="s">
        <v>879</v>
      </c>
      <c r="K580" s="45" t="n">
        <v>153.1</v>
      </c>
      <c r="L580" s="46" t="n">
        <v>14089.13</v>
      </c>
    </row>
    <row r="581" customFormat="false" ht="15" hidden="false" customHeight="false" outlineLevel="0" collapsed="false">
      <c r="A581" s="37" t="n">
        <v>500151</v>
      </c>
      <c r="B581" s="37" t="s">
        <v>878</v>
      </c>
      <c r="C581" s="37" t="n">
        <v>202510</v>
      </c>
      <c r="D581" s="37" t="s">
        <v>58</v>
      </c>
      <c r="E581" s="37" t="s">
        <v>98</v>
      </c>
      <c r="F581" s="37" t="s">
        <v>196</v>
      </c>
      <c r="G581" s="37" t="s">
        <v>358</v>
      </c>
      <c r="H581" s="37" t="s">
        <v>359</v>
      </c>
      <c r="I581" s="37" t="s">
        <v>360</v>
      </c>
      <c r="J581" s="37" t="s">
        <v>880</v>
      </c>
      <c r="K581" s="45" t="n">
        <v>0</v>
      </c>
      <c r="L581" s="46" t="n">
        <v>26995.29</v>
      </c>
    </row>
    <row r="582" customFormat="false" ht="15" hidden="false" customHeight="false" outlineLevel="0" collapsed="false">
      <c r="A582" s="37" t="n">
        <v>500345</v>
      </c>
      <c r="B582" s="37" t="s">
        <v>878</v>
      </c>
      <c r="C582" s="37" t="n">
        <v>202510</v>
      </c>
      <c r="D582" s="37" t="s">
        <v>58</v>
      </c>
      <c r="E582" s="37" t="s">
        <v>106</v>
      </c>
      <c r="F582" s="37" t="s">
        <v>194</v>
      </c>
      <c r="G582" s="37" t="s">
        <v>354</v>
      </c>
      <c r="H582" s="37"/>
      <c r="I582" s="37" t="s">
        <v>355</v>
      </c>
      <c r="J582" s="37" t="s">
        <v>879</v>
      </c>
      <c r="K582" s="45" t="n">
        <v>361.2</v>
      </c>
      <c r="L582" s="46" t="n">
        <v>25641.93</v>
      </c>
    </row>
    <row r="583" customFormat="false" ht="15" hidden="false" customHeight="false" outlineLevel="0" collapsed="false">
      <c r="A583" s="37" t="n">
        <v>500479</v>
      </c>
      <c r="B583" s="37" t="s">
        <v>878</v>
      </c>
      <c r="C583" s="37" t="n">
        <v>202510</v>
      </c>
      <c r="D583" s="37" t="s">
        <v>59</v>
      </c>
      <c r="E583" s="37" t="s">
        <v>97</v>
      </c>
      <c r="F583" s="37" t="s">
        <v>194</v>
      </c>
      <c r="G583" s="37" t="s">
        <v>354</v>
      </c>
      <c r="H583" s="37"/>
      <c r="I583" s="37" t="s">
        <v>355</v>
      </c>
      <c r="J583" s="37" t="s">
        <v>879</v>
      </c>
      <c r="K583" s="45" t="n">
        <v>213.1</v>
      </c>
      <c r="L583" s="46" t="n">
        <v>19601.5</v>
      </c>
    </row>
    <row r="584" customFormat="false" ht="15" hidden="false" customHeight="false" outlineLevel="0" collapsed="false">
      <c r="A584" s="37" t="n">
        <v>500623</v>
      </c>
      <c r="B584" s="37" t="s">
        <v>878</v>
      </c>
      <c r="C584" s="37" t="n">
        <v>202510</v>
      </c>
      <c r="D584" s="37" t="s">
        <v>59</v>
      </c>
      <c r="E584" s="37" t="s">
        <v>101</v>
      </c>
      <c r="F584" s="37" t="s">
        <v>194</v>
      </c>
      <c r="G584" s="37" t="s">
        <v>354</v>
      </c>
      <c r="H584" s="37"/>
      <c r="I584" s="37" t="s">
        <v>355</v>
      </c>
      <c r="J584" s="37" t="s">
        <v>879</v>
      </c>
      <c r="K584" s="45" t="n">
        <v>403.3</v>
      </c>
      <c r="L584" s="46" t="n">
        <v>29845.9</v>
      </c>
    </row>
    <row r="585" customFormat="false" ht="15" hidden="false" customHeight="false" outlineLevel="0" collapsed="false">
      <c r="A585" s="37" t="n">
        <v>500808</v>
      </c>
      <c r="B585" s="37" t="s">
        <v>878</v>
      </c>
      <c r="C585" s="37" t="n">
        <v>202510</v>
      </c>
      <c r="D585" s="37" t="s">
        <v>60</v>
      </c>
      <c r="E585" s="37" t="s">
        <v>97</v>
      </c>
      <c r="F585" s="37" t="s">
        <v>194</v>
      </c>
      <c r="G585" s="37" t="s">
        <v>354</v>
      </c>
      <c r="H585" s="37"/>
      <c r="I585" s="37" t="s">
        <v>355</v>
      </c>
      <c r="J585" s="37" t="s">
        <v>879</v>
      </c>
      <c r="K585" s="45" t="n">
        <v>117.1</v>
      </c>
      <c r="L585" s="46" t="n">
        <v>10772.93</v>
      </c>
    </row>
    <row r="586" customFormat="false" ht="15" hidden="false" customHeight="false" outlineLevel="0" collapsed="false">
      <c r="A586" s="37" t="n">
        <v>500936</v>
      </c>
      <c r="B586" s="37" t="s">
        <v>878</v>
      </c>
      <c r="C586" s="37" t="n">
        <v>202510</v>
      </c>
      <c r="D586" s="37" t="s">
        <v>60</v>
      </c>
      <c r="E586" s="37" t="s">
        <v>101</v>
      </c>
      <c r="F586" s="37" t="s">
        <v>194</v>
      </c>
      <c r="G586" s="37" t="s">
        <v>354</v>
      </c>
      <c r="H586" s="37"/>
      <c r="I586" s="37" t="s">
        <v>355</v>
      </c>
      <c r="J586" s="37" t="s">
        <v>879</v>
      </c>
      <c r="K586" s="45" t="n">
        <v>740.1</v>
      </c>
      <c r="L586" s="46" t="n">
        <v>54768.68</v>
      </c>
    </row>
    <row r="587" customFormat="false" ht="15" hidden="false" customHeight="false" outlineLevel="0" collapsed="false">
      <c r="A587" s="37" t="n">
        <v>501115</v>
      </c>
      <c r="B587" s="37" t="s">
        <v>878</v>
      </c>
      <c r="C587" s="37" t="n">
        <v>202510</v>
      </c>
      <c r="D587" s="37" t="s">
        <v>61</v>
      </c>
      <c r="E587" s="37" t="s">
        <v>97</v>
      </c>
      <c r="F587" s="37" t="s">
        <v>194</v>
      </c>
      <c r="G587" s="37" t="s">
        <v>354</v>
      </c>
      <c r="H587" s="37"/>
      <c r="I587" s="37" t="s">
        <v>355</v>
      </c>
      <c r="J587" s="37" t="s">
        <v>879</v>
      </c>
      <c r="K587" s="45" t="n">
        <v>111.5</v>
      </c>
      <c r="L587" s="46" t="n">
        <v>10262.48</v>
      </c>
    </row>
    <row r="588" customFormat="false" ht="15" hidden="false" customHeight="false" outlineLevel="0" collapsed="false">
      <c r="A588" s="37" t="n">
        <v>501229</v>
      </c>
      <c r="B588" s="37" t="s">
        <v>878</v>
      </c>
      <c r="C588" s="37" t="n">
        <v>202510</v>
      </c>
      <c r="D588" s="37" t="s">
        <v>61</v>
      </c>
      <c r="E588" s="37" t="s">
        <v>101</v>
      </c>
      <c r="F588" s="37" t="s">
        <v>194</v>
      </c>
      <c r="G588" s="37" t="s">
        <v>354</v>
      </c>
      <c r="H588" s="37"/>
      <c r="I588" s="37" t="s">
        <v>355</v>
      </c>
      <c r="J588" s="37" t="s">
        <v>879</v>
      </c>
      <c r="K588" s="45" t="n">
        <v>342.7</v>
      </c>
      <c r="L588" s="46" t="n">
        <v>25357.15</v>
      </c>
    </row>
    <row r="589" customFormat="false" ht="15" hidden="false" customHeight="false" outlineLevel="0" collapsed="false">
      <c r="A589" s="37" t="n">
        <v>501376</v>
      </c>
      <c r="B589" s="37" t="s">
        <v>878</v>
      </c>
      <c r="C589" s="37" t="n">
        <v>202510</v>
      </c>
      <c r="D589" s="37" t="s">
        <v>62</v>
      </c>
      <c r="E589" s="37" t="s">
        <v>97</v>
      </c>
      <c r="F589" s="37" t="s">
        <v>194</v>
      </c>
      <c r="G589" s="37" t="s">
        <v>354</v>
      </c>
      <c r="H589" s="37"/>
      <c r="I589" s="37" t="s">
        <v>355</v>
      </c>
      <c r="J589" s="37" t="s">
        <v>879</v>
      </c>
      <c r="K589" s="45" t="n">
        <v>131.5</v>
      </c>
      <c r="L589" s="46" t="n">
        <v>12100.56</v>
      </c>
    </row>
    <row r="590" customFormat="false" ht="15" hidden="false" customHeight="false" outlineLevel="0" collapsed="false">
      <c r="A590" s="37" t="n">
        <v>501480</v>
      </c>
      <c r="B590" s="37" t="s">
        <v>878</v>
      </c>
      <c r="C590" s="37" t="n">
        <v>202510</v>
      </c>
      <c r="D590" s="37" t="s">
        <v>62</v>
      </c>
      <c r="E590" s="37" t="s">
        <v>101</v>
      </c>
      <c r="F590" s="37" t="s">
        <v>194</v>
      </c>
      <c r="G590" s="37" t="s">
        <v>354</v>
      </c>
      <c r="H590" s="37"/>
      <c r="I590" s="37" t="s">
        <v>355</v>
      </c>
      <c r="J590" s="37" t="s">
        <v>879</v>
      </c>
      <c r="K590" s="45" t="n">
        <v>80.6</v>
      </c>
      <c r="L590" s="46" t="n">
        <v>5967.78</v>
      </c>
    </row>
    <row r="591" customFormat="false" ht="15" hidden="false" customHeight="false" outlineLevel="0" collapsed="false">
      <c r="A591" s="37" t="n">
        <v>501622</v>
      </c>
      <c r="B591" s="37" t="s">
        <v>878</v>
      </c>
      <c r="C591" s="37" t="n">
        <v>202510</v>
      </c>
      <c r="D591" s="37" t="s">
        <v>63</v>
      </c>
      <c r="E591" s="37" t="s">
        <v>97</v>
      </c>
      <c r="F591" s="37" t="s">
        <v>194</v>
      </c>
      <c r="G591" s="37" t="s">
        <v>354</v>
      </c>
      <c r="H591" s="37"/>
      <c r="I591" s="37" t="s">
        <v>355</v>
      </c>
      <c r="J591" s="37" t="s">
        <v>879</v>
      </c>
      <c r="K591" s="45" t="n">
        <v>53</v>
      </c>
      <c r="L591" s="46" t="n">
        <v>4876.37</v>
      </c>
    </row>
    <row r="592" customFormat="false" ht="15" hidden="false" customHeight="false" outlineLevel="0" collapsed="false">
      <c r="A592" s="37" t="n">
        <v>501726</v>
      </c>
      <c r="B592" s="37" t="s">
        <v>878</v>
      </c>
      <c r="C592" s="37" t="n">
        <v>202510</v>
      </c>
      <c r="D592" s="37" t="s">
        <v>63</v>
      </c>
      <c r="E592" s="37" t="s">
        <v>101</v>
      </c>
      <c r="F592" s="37" t="s">
        <v>194</v>
      </c>
      <c r="G592" s="37" t="s">
        <v>354</v>
      </c>
      <c r="H592" s="37"/>
      <c r="I592" s="37" t="s">
        <v>355</v>
      </c>
      <c r="J592" s="37" t="s">
        <v>879</v>
      </c>
      <c r="K592" s="45" t="n">
        <v>31.6</v>
      </c>
      <c r="L592" s="46" t="n">
        <v>2340.46</v>
      </c>
    </row>
    <row r="593" customFormat="false" ht="15" hidden="false" customHeight="false" outlineLevel="0" collapsed="false">
      <c r="A593" s="37" t="n">
        <v>501856</v>
      </c>
      <c r="B593" s="37" t="s">
        <v>878</v>
      </c>
      <c r="C593" s="37" t="n">
        <v>202510</v>
      </c>
      <c r="D593" s="37" t="s">
        <v>64</v>
      </c>
      <c r="E593" s="37" t="s">
        <v>97</v>
      </c>
      <c r="F593" s="37" t="s">
        <v>194</v>
      </c>
      <c r="G593" s="37" t="s">
        <v>354</v>
      </c>
      <c r="H593" s="37"/>
      <c r="I593" s="37" t="s">
        <v>355</v>
      </c>
      <c r="J593" s="37" t="s">
        <v>879</v>
      </c>
      <c r="K593" s="45" t="n">
        <v>35.2</v>
      </c>
      <c r="L593" s="46" t="n">
        <v>3239.14</v>
      </c>
    </row>
    <row r="594" customFormat="false" ht="15" hidden="false" customHeight="false" outlineLevel="0" collapsed="false">
      <c r="A594" s="37" t="n">
        <v>500983</v>
      </c>
      <c r="B594" s="37" t="s">
        <v>881</v>
      </c>
      <c r="C594" s="37" t="n">
        <v>202510</v>
      </c>
      <c r="D594" s="37" t="s">
        <v>60</v>
      </c>
      <c r="E594" s="37" t="s">
        <v>103</v>
      </c>
      <c r="F594" s="37" t="s">
        <v>205</v>
      </c>
      <c r="G594" s="37" t="s">
        <v>358</v>
      </c>
      <c r="H594" s="37" t="s">
        <v>727</v>
      </c>
      <c r="I594" s="37" t="s">
        <v>728</v>
      </c>
      <c r="J594" s="37" t="s">
        <v>882</v>
      </c>
      <c r="K594" s="45" t="n">
        <v>0</v>
      </c>
      <c r="L594" s="46" t="n">
        <v>122887.65</v>
      </c>
    </row>
    <row r="595" customFormat="false" ht="15" hidden="false" customHeight="false" outlineLevel="0" collapsed="false">
      <c r="A595" s="37" t="n">
        <v>501255</v>
      </c>
      <c r="B595" s="37" t="s">
        <v>881</v>
      </c>
      <c r="C595" s="37" t="n">
        <v>202510</v>
      </c>
      <c r="D595" s="37" t="s">
        <v>61</v>
      </c>
      <c r="E595" s="37" t="s">
        <v>102</v>
      </c>
      <c r="F595" s="37" t="s">
        <v>205</v>
      </c>
      <c r="G595" s="37" t="s">
        <v>358</v>
      </c>
      <c r="H595" s="37" t="s">
        <v>714</v>
      </c>
      <c r="I595" s="37" t="s">
        <v>715</v>
      </c>
      <c r="J595" s="37" t="s">
        <v>883</v>
      </c>
      <c r="K595" s="45" t="n">
        <v>0</v>
      </c>
      <c r="L595" s="46" t="n">
        <v>72054.61</v>
      </c>
    </row>
    <row r="596" customFormat="false" ht="15" hidden="false" customHeight="false" outlineLevel="0" collapsed="false">
      <c r="A596" s="37" t="n">
        <v>500380</v>
      </c>
      <c r="B596" s="37" t="s">
        <v>884</v>
      </c>
      <c r="C596" s="37" t="n">
        <v>202510</v>
      </c>
      <c r="D596" s="37" t="s">
        <v>58</v>
      </c>
      <c r="E596" s="37" t="s">
        <v>108</v>
      </c>
      <c r="F596" s="37" t="s">
        <v>205</v>
      </c>
      <c r="G596" s="37" t="s">
        <v>358</v>
      </c>
      <c r="H596" s="37" t="s">
        <v>885</v>
      </c>
      <c r="I596" s="37" t="s">
        <v>886</v>
      </c>
      <c r="J596" s="37" t="s">
        <v>887</v>
      </c>
      <c r="K596" s="45" t="n">
        <v>0</v>
      </c>
      <c r="L596" s="46" t="n">
        <v>4602.8</v>
      </c>
    </row>
    <row r="597" customFormat="false" ht="15" hidden="false" customHeight="false" outlineLevel="0" collapsed="false">
      <c r="A597" s="37" t="n">
        <v>501908</v>
      </c>
      <c r="B597" s="37" t="s">
        <v>884</v>
      </c>
      <c r="C597" s="37" t="n">
        <v>202510</v>
      </c>
      <c r="D597" s="37" t="s">
        <v>64</v>
      </c>
      <c r="E597" s="37" t="s">
        <v>98</v>
      </c>
      <c r="F597" s="37" t="s">
        <v>196</v>
      </c>
      <c r="G597" s="37" t="s">
        <v>358</v>
      </c>
      <c r="H597" s="37" t="s">
        <v>359</v>
      </c>
      <c r="I597" s="37" t="s">
        <v>360</v>
      </c>
      <c r="J597" s="37" t="s">
        <v>888</v>
      </c>
      <c r="K597" s="45" t="n">
        <v>0</v>
      </c>
      <c r="L597" s="46" t="n">
        <v>3608.86</v>
      </c>
    </row>
    <row r="598" customFormat="false" ht="15" hidden="false" customHeight="false" outlineLevel="0" collapsed="false">
      <c r="A598" s="37" t="n">
        <v>501677</v>
      </c>
      <c r="B598" s="37" t="s">
        <v>889</v>
      </c>
      <c r="C598" s="37" t="n">
        <v>202510</v>
      </c>
      <c r="D598" s="37" t="s">
        <v>63</v>
      </c>
      <c r="E598" s="37" t="s">
        <v>98</v>
      </c>
      <c r="F598" s="37" t="s">
        <v>196</v>
      </c>
      <c r="G598" s="37" t="s">
        <v>358</v>
      </c>
      <c r="H598" s="37" t="s">
        <v>359</v>
      </c>
      <c r="I598" s="37" t="s">
        <v>360</v>
      </c>
      <c r="J598" s="37" t="s">
        <v>890</v>
      </c>
      <c r="K598" s="45" t="n">
        <v>0</v>
      </c>
      <c r="L598" s="46" t="n">
        <v>1928.91</v>
      </c>
    </row>
    <row r="599" customFormat="false" ht="15" hidden="false" customHeight="false" outlineLevel="0" collapsed="false">
      <c r="A599" s="37" t="n">
        <v>501751</v>
      </c>
      <c r="B599" s="37" t="s">
        <v>889</v>
      </c>
      <c r="C599" s="37" t="n">
        <v>202510</v>
      </c>
      <c r="D599" s="37" t="s">
        <v>63</v>
      </c>
      <c r="E599" s="37" t="s">
        <v>102</v>
      </c>
      <c r="F599" s="37" t="s">
        <v>205</v>
      </c>
      <c r="G599" s="37" t="s">
        <v>358</v>
      </c>
      <c r="H599" s="37" t="s">
        <v>891</v>
      </c>
      <c r="I599" s="37" t="s">
        <v>892</v>
      </c>
      <c r="J599" s="37" t="s">
        <v>893</v>
      </c>
      <c r="K599" s="45" t="n">
        <v>0</v>
      </c>
      <c r="L599" s="46" t="n">
        <v>11380.83</v>
      </c>
    </row>
    <row r="600" customFormat="false" ht="15" hidden="false" customHeight="false" outlineLevel="0" collapsed="false">
      <c r="A600" s="37" t="n">
        <v>501170</v>
      </c>
      <c r="B600" s="37" t="s">
        <v>894</v>
      </c>
      <c r="C600" s="37" t="n">
        <v>202510</v>
      </c>
      <c r="D600" s="37" t="s">
        <v>61</v>
      </c>
      <c r="E600" s="37" t="s">
        <v>98</v>
      </c>
      <c r="F600" s="37" t="s">
        <v>196</v>
      </c>
      <c r="G600" s="37" t="s">
        <v>358</v>
      </c>
      <c r="H600" s="37" t="s">
        <v>359</v>
      </c>
      <c r="I600" s="37" t="s">
        <v>360</v>
      </c>
      <c r="J600" s="37" t="s">
        <v>895</v>
      </c>
      <c r="K600" s="45" t="n">
        <v>0</v>
      </c>
      <c r="L600" s="46" t="n">
        <v>15600.7</v>
      </c>
    </row>
    <row r="601" customFormat="false" ht="15" hidden="false" customHeight="false" outlineLevel="0" collapsed="false">
      <c r="A601" s="37" t="n">
        <v>501517</v>
      </c>
      <c r="B601" s="37" t="s">
        <v>894</v>
      </c>
      <c r="C601" s="37" t="n">
        <v>202510</v>
      </c>
      <c r="D601" s="37" t="s">
        <v>62</v>
      </c>
      <c r="E601" s="37" t="s">
        <v>102</v>
      </c>
      <c r="F601" s="37" t="s">
        <v>205</v>
      </c>
      <c r="G601" s="37" t="s">
        <v>358</v>
      </c>
      <c r="H601" s="37" t="s">
        <v>810</v>
      </c>
      <c r="I601" s="37" t="s">
        <v>811</v>
      </c>
      <c r="J601" s="37" t="s">
        <v>896</v>
      </c>
      <c r="K601" s="45" t="n">
        <v>0</v>
      </c>
      <c r="L601" s="46" t="n">
        <v>3880.26</v>
      </c>
    </row>
    <row r="602" customFormat="false" ht="15" hidden="false" customHeight="false" outlineLevel="0" collapsed="false">
      <c r="A602" s="37" t="n">
        <v>501534</v>
      </c>
      <c r="B602" s="37" t="s">
        <v>894</v>
      </c>
      <c r="C602" s="37" t="n">
        <v>202510</v>
      </c>
      <c r="D602" s="37" t="s">
        <v>62</v>
      </c>
      <c r="E602" s="37" t="s">
        <v>103</v>
      </c>
      <c r="F602" s="37" t="s">
        <v>205</v>
      </c>
      <c r="G602" s="37" t="s">
        <v>358</v>
      </c>
      <c r="H602" s="37" t="s">
        <v>897</v>
      </c>
      <c r="I602" s="37" t="s">
        <v>898</v>
      </c>
      <c r="J602" s="37" t="s">
        <v>899</v>
      </c>
      <c r="K602" s="45" t="n">
        <v>0</v>
      </c>
      <c r="L602" s="46" t="n">
        <v>49238.69</v>
      </c>
    </row>
    <row r="603" customFormat="false" ht="15" hidden="false" customHeight="false" outlineLevel="0" collapsed="false">
      <c r="A603" s="37" t="n">
        <v>501676</v>
      </c>
      <c r="B603" s="37" t="s">
        <v>900</v>
      </c>
      <c r="C603" s="37" t="n">
        <v>202510</v>
      </c>
      <c r="D603" s="37" t="s">
        <v>63</v>
      </c>
      <c r="E603" s="37" t="s">
        <v>98</v>
      </c>
      <c r="F603" s="37" t="s">
        <v>196</v>
      </c>
      <c r="G603" s="37" t="s">
        <v>358</v>
      </c>
      <c r="H603" s="37" t="s">
        <v>359</v>
      </c>
      <c r="I603" s="37" t="s">
        <v>360</v>
      </c>
      <c r="J603" s="37" t="s">
        <v>901</v>
      </c>
      <c r="K603" s="45" t="n">
        <v>0</v>
      </c>
      <c r="L603" s="46" t="n">
        <v>5295.35</v>
      </c>
    </row>
    <row r="604" customFormat="false" ht="15" hidden="false" customHeight="false" outlineLevel="0" collapsed="false">
      <c r="A604" s="37" t="n">
        <v>500072</v>
      </c>
      <c r="B604" s="37" t="s">
        <v>902</v>
      </c>
      <c r="C604" s="37" t="n">
        <v>202510</v>
      </c>
      <c r="D604" s="37" t="s">
        <v>58</v>
      </c>
      <c r="E604" s="37" t="s">
        <v>97</v>
      </c>
      <c r="F604" s="37" t="s">
        <v>194</v>
      </c>
      <c r="G604" s="37" t="s">
        <v>354</v>
      </c>
      <c r="H604" s="37"/>
      <c r="I604" s="37" t="s">
        <v>355</v>
      </c>
      <c r="J604" s="37" t="s">
        <v>903</v>
      </c>
      <c r="K604" s="45" t="n">
        <v>101.5</v>
      </c>
      <c r="L604" s="46" t="n">
        <v>9337.92</v>
      </c>
    </row>
    <row r="605" customFormat="false" ht="15" hidden="false" customHeight="false" outlineLevel="0" collapsed="false">
      <c r="A605" s="37" t="n">
        <v>500346</v>
      </c>
      <c r="B605" s="37" t="s">
        <v>902</v>
      </c>
      <c r="C605" s="37" t="n">
        <v>202510</v>
      </c>
      <c r="D605" s="37" t="s">
        <v>58</v>
      </c>
      <c r="E605" s="37" t="s">
        <v>106</v>
      </c>
      <c r="F605" s="37" t="s">
        <v>194</v>
      </c>
      <c r="G605" s="37" t="s">
        <v>354</v>
      </c>
      <c r="H605" s="37"/>
      <c r="I605" s="37" t="s">
        <v>355</v>
      </c>
      <c r="J605" s="37" t="s">
        <v>903</v>
      </c>
      <c r="K605" s="45" t="n">
        <v>215.1</v>
      </c>
      <c r="L605" s="46" t="n">
        <v>15268.89</v>
      </c>
    </row>
    <row r="606" customFormat="false" ht="15" hidden="false" customHeight="false" outlineLevel="0" collapsed="false">
      <c r="A606" s="37" t="n">
        <v>500480</v>
      </c>
      <c r="B606" s="37" t="s">
        <v>902</v>
      </c>
      <c r="C606" s="37" t="n">
        <v>202510</v>
      </c>
      <c r="D606" s="37" t="s">
        <v>59</v>
      </c>
      <c r="E606" s="37" t="s">
        <v>97</v>
      </c>
      <c r="F606" s="37" t="s">
        <v>194</v>
      </c>
      <c r="G606" s="37" t="s">
        <v>354</v>
      </c>
      <c r="H606" s="37"/>
      <c r="I606" s="37" t="s">
        <v>355</v>
      </c>
      <c r="J606" s="37" t="s">
        <v>903</v>
      </c>
      <c r="K606" s="45" t="n">
        <v>116.9</v>
      </c>
      <c r="L606" s="46" t="n">
        <v>10755.92</v>
      </c>
    </row>
    <row r="607" customFormat="false" ht="15" hidden="false" customHeight="false" outlineLevel="0" collapsed="false">
      <c r="A607" s="37" t="n">
        <v>500624</v>
      </c>
      <c r="B607" s="37" t="s">
        <v>902</v>
      </c>
      <c r="C607" s="37" t="n">
        <v>202510</v>
      </c>
      <c r="D607" s="37" t="s">
        <v>59</v>
      </c>
      <c r="E607" s="37" t="s">
        <v>101</v>
      </c>
      <c r="F607" s="37" t="s">
        <v>194</v>
      </c>
      <c r="G607" s="37" t="s">
        <v>354</v>
      </c>
      <c r="H607" s="37"/>
      <c r="I607" s="37" t="s">
        <v>355</v>
      </c>
      <c r="J607" s="37" t="s">
        <v>903</v>
      </c>
      <c r="K607" s="45" t="n">
        <v>560.6</v>
      </c>
      <c r="L607" s="46" t="n">
        <v>41486.88</v>
      </c>
    </row>
    <row r="608" customFormat="false" ht="15" hidden="false" customHeight="false" outlineLevel="0" collapsed="false">
      <c r="A608" s="37" t="n">
        <v>500809</v>
      </c>
      <c r="B608" s="37" t="s">
        <v>902</v>
      </c>
      <c r="C608" s="37" t="n">
        <v>202510</v>
      </c>
      <c r="D608" s="37" t="s">
        <v>60</v>
      </c>
      <c r="E608" s="37" t="s">
        <v>97</v>
      </c>
      <c r="F608" s="37" t="s">
        <v>194</v>
      </c>
      <c r="G608" s="37" t="s">
        <v>354</v>
      </c>
      <c r="H608" s="37"/>
      <c r="I608" s="37" t="s">
        <v>355</v>
      </c>
      <c r="J608" s="37" t="s">
        <v>903</v>
      </c>
      <c r="K608" s="45" t="n">
        <v>162.9</v>
      </c>
      <c r="L608" s="46" t="n">
        <v>14987.9</v>
      </c>
    </row>
    <row r="609" customFormat="false" ht="15" hidden="false" customHeight="false" outlineLevel="0" collapsed="false">
      <c r="A609" s="37" t="n">
        <v>500937</v>
      </c>
      <c r="B609" s="37" t="s">
        <v>902</v>
      </c>
      <c r="C609" s="37" t="n">
        <v>202510</v>
      </c>
      <c r="D609" s="37" t="s">
        <v>60</v>
      </c>
      <c r="E609" s="37" t="s">
        <v>101</v>
      </c>
      <c r="F609" s="37" t="s">
        <v>194</v>
      </c>
      <c r="G609" s="37" t="s">
        <v>354</v>
      </c>
      <c r="H609" s="37"/>
      <c r="I609" s="37" t="s">
        <v>355</v>
      </c>
      <c r="J609" s="37" t="s">
        <v>903</v>
      </c>
      <c r="K609" s="45" t="n">
        <v>333.6</v>
      </c>
      <c r="L609" s="46" t="n">
        <v>24689.48</v>
      </c>
    </row>
    <row r="610" customFormat="false" ht="15" hidden="false" customHeight="false" outlineLevel="0" collapsed="false">
      <c r="A610" s="37" t="n">
        <v>500965</v>
      </c>
      <c r="B610" s="37" t="s">
        <v>902</v>
      </c>
      <c r="C610" s="37" t="n">
        <v>202510</v>
      </c>
      <c r="D610" s="37" t="s">
        <v>60</v>
      </c>
      <c r="E610" s="37" t="s">
        <v>102</v>
      </c>
      <c r="F610" s="37" t="s">
        <v>205</v>
      </c>
      <c r="G610" s="37" t="s">
        <v>358</v>
      </c>
      <c r="H610" s="37" t="s">
        <v>670</v>
      </c>
      <c r="I610" s="37" t="s">
        <v>671</v>
      </c>
      <c r="J610" s="37" t="s">
        <v>904</v>
      </c>
      <c r="K610" s="45" t="n">
        <v>0</v>
      </c>
      <c r="L610" s="46" t="n">
        <v>62140.27</v>
      </c>
    </row>
    <row r="611" customFormat="false" ht="15" hidden="false" customHeight="false" outlineLevel="0" collapsed="false">
      <c r="A611" s="37" t="n">
        <v>501116</v>
      </c>
      <c r="B611" s="37" t="s">
        <v>902</v>
      </c>
      <c r="C611" s="37" t="n">
        <v>202510</v>
      </c>
      <c r="D611" s="37" t="s">
        <v>61</v>
      </c>
      <c r="E611" s="37" t="s">
        <v>97</v>
      </c>
      <c r="F611" s="37" t="s">
        <v>194</v>
      </c>
      <c r="G611" s="37" t="s">
        <v>354</v>
      </c>
      <c r="H611" s="37"/>
      <c r="I611" s="37" t="s">
        <v>355</v>
      </c>
      <c r="J611" s="37" t="s">
        <v>903</v>
      </c>
      <c r="K611" s="45" t="n">
        <v>89.5</v>
      </c>
      <c r="L611" s="46" t="n">
        <v>8237.5</v>
      </c>
    </row>
    <row r="612" customFormat="false" ht="15" hidden="false" customHeight="false" outlineLevel="0" collapsed="false">
      <c r="A612" s="37" t="n">
        <v>501230</v>
      </c>
      <c r="B612" s="37" t="s">
        <v>902</v>
      </c>
      <c r="C612" s="37" t="n">
        <v>202510</v>
      </c>
      <c r="D612" s="37" t="s">
        <v>61</v>
      </c>
      <c r="E612" s="37" t="s">
        <v>101</v>
      </c>
      <c r="F612" s="37" t="s">
        <v>194</v>
      </c>
      <c r="G612" s="37" t="s">
        <v>354</v>
      </c>
      <c r="H612" s="37"/>
      <c r="I612" s="37" t="s">
        <v>355</v>
      </c>
      <c r="J612" s="37" t="s">
        <v>903</v>
      </c>
      <c r="K612" s="45" t="n">
        <v>448.5</v>
      </c>
      <c r="L612" s="46" t="n">
        <v>33186.54</v>
      </c>
    </row>
    <row r="613" customFormat="false" ht="15" hidden="false" customHeight="false" outlineLevel="0" collapsed="false">
      <c r="A613" s="37" t="n">
        <v>501377</v>
      </c>
      <c r="B613" s="37" t="s">
        <v>902</v>
      </c>
      <c r="C613" s="37" t="n">
        <v>202510</v>
      </c>
      <c r="D613" s="37" t="s">
        <v>62</v>
      </c>
      <c r="E613" s="37" t="s">
        <v>97</v>
      </c>
      <c r="F613" s="37" t="s">
        <v>194</v>
      </c>
      <c r="G613" s="37" t="s">
        <v>354</v>
      </c>
      <c r="H613" s="37"/>
      <c r="I613" s="37" t="s">
        <v>355</v>
      </c>
      <c r="J613" s="37" t="s">
        <v>903</v>
      </c>
      <c r="K613" s="45" t="n">
        <v>120</v>
      </c>
      <c r="L613" s="46" t="n">
        <v>11036.6</v>
      </c>
    </row>
    <row r="614" customFormat="false" ht="15" hidden="false" customHeight="false" outlineLevel="0" collapsed="false">
      <c r="A614" s="37" t="n">
        <v>501430</v>
      </c>
      <c r="B614" s="37" t="s">
        <v>902</v>
      </c>
      <c r="C614" s="37" t="n">
        <v>202510</v>
      </c>
      <c r="D614" s="37" t="s">
        <v>62</v>
      </c>
      <c r="E614" s="37" t="s">
        <v>98</v>
      </c>
      <c r="F614" s="37" t="s">
        <v>196</v>
      </c>
      <c r="G614" s="37" t="s">
        <v>358</v>
      </c>
      <c r="H614" s="37" t="s">
        <v>359</v>
      </c>
      <c r="I614" s="37" t="s">
        <v>360</v>
      </c>
      <c r="J614" s="37" t="s">
        <v>905</v>
      </c>
      <c r="K614" s="45" t="n">
        <v>0</v>
      </c>
      <c r="L614" s="46" t="n">
        <v>4105.35</v>
      </c>
    </row>
    <row r="615" customFormat="false" ht="15" hidden="false" customHeight="false" outlineLevel="0" collapsed="false">
      <c r="A615" s="37" t="n">
        <v>501481</v>
      </c>
      <c r="B615" s="37" t="s">
        <v>902</v>
      </c>
      <c r="C615" s="37" t="n">
        <v>202510</v>
      </c>
      <c r="D615" s="37" t="s">
        <v>62</v>
      </c>
      <c r="E615" s="37" t="s">
        <v>101</v>
      </c>
      <c r="F615" s="37" t="s">
        <v>194</v>
      </c>
      <c r="G615" s="37" t="s">
        <v>354</v>
      </c>
      <c r="H615" s="37"/>
      <c r="I615" s="37" t="s">
        <v>355</v>
      </c>
      <c r="J615" s="37" t="s">
        <v>903</v>
      </c>
      <c r="K615" s="45" t="n">
        <v>51.4</v>
      </c>
      <c r="L615" s="46" t="n">
        <v>3800.45</v>
      </c>
    </row>
    <row r="616" customFormat="false" ht="15" hidden="false" customHeight="false" outlineLevel="0" collapsed="false">
      <c r="A616" s="37" t="n">
        <v>501623</v>
      </c>
      <c r="B616" s="37" t="s">
        <v>902</v>
      </c>
      <c r="C616" s="37" t="n">
        <v>202510</v>
      </c>
      <c r="D616" s="37" t="s">
        <v>63</v>
      </c>
      <c r="E616" s="37" t="s">
        <v>97</v>
      </c>
      <c r="F616" s="37" t="s">
        <v>194</v>
      </c>
      <c r="G616" s="37" t="s">
        <v>354</v>
      </c>
      <c r="H616" s="37"/>
      <c r="I616" s="37" t="s">
        <v>355</v>
      </c>
      <c r="J616" s="37" t="s">
        <v>903</v>
      </c>
      <c r="K616" s="45" t="n">
        <v>21.9</v>
      </c>
      <c r="L616" s="46" t="n">
        <v>2011.14</v>
      </c>
    </row>
    <row r="617" customFormat="false" ht="15" hidden="false" customHeight="false" outlineLevel="0" collapsed="false">
      <c r="A617" s="37" t="n">
        <v>501727</v>
      </c>
      <c r="B617" s="37" t="s">
        <v>902</v>
      </c>
      <c r="C617" s="37" t="n">
        <v>202510</v>
      </c>
      <c r="D617" s="37" t="s">
        <v>63</v>
      </c>
      <c r="E617" s="37" t="s">
        <v>101</v>
      </c>
      <c r="F617" s="37" t="s">
        <v>194</v>
      </c>
      <c r="G617" s="37" t="s">
        <v>354</v>
      </c>
      <c r="H617" s="37"/>
      <c r="I617" s="37" t="s">
        <v>355</v>
      </c>
      <c r="J617" s="37" t="s">
        <v>903</v>
      </c>
      <c r="K617" s="45" t="n">
        <v>32.7</v>
      </c>
      <c r="L617" s="46" t="n">
        <v>2420.23</v>
      </c>
    </row>
    <row r="618" customFormat="false" ht="15" hidden="false" customHeight="false" outlineLevel="0" collapsed="false">
      <c r="A618" s="37" t="n">
        <v>501857</v>
      </c>
      <c r="B618" s="37" t="s">
        <v>902</v>
      </c>
      <c r="C618" s="37" t="n">
        <v>202510</v>
      </c>
      <c r="D618" s="37" t="s">
        <v>64</v>
      </c>
      <c r="E618" s="37" t="s">
        <v>97</v>
      </c>
      <c r="F618" s="37" t="s">
        <v>194</v>
      </c>
      <c r="G618" s="37" t="s">
        <v>354</v>
      </c>
      <c r="H618" s="37"/>
      <c r="I618" s="37" t="s">
        <v>355</v>
      </c>
      <c r="J618" s="37" t="s">
        <v>903</v>
      </c>
      <c r="K618" s="45" t="n">
        <v>16.2</v>
      </c>
      <c r="L618" s="46" t="n">
        <v>1487.14</v>
      </c>
    </row>
    <row r="619" customFormat="false" ht="15" hidden="false" customHeight="false" outlineLevel="0" collapsed="false">
      <c r="A619" s="37" t="n">
        <v>500650</v>
      </c>
      <c r="B619" s="37" t="s">
        <v>906</v>
      </c>
      <c r="C619" s="37" t="n">
        <v>202510</v>
      </c>
      <c r="D619" s="37" t="s">
        <v>59</v>
      </c>
      <c r="E619" s="37" t="s">
        <v>102</v>
      </c>
      <c r="F619" s="37" t="s">
        <v>205</v>
      </c>
      <c r="G619" s="37" t="s">
        <v>358</v>
      </c>
      <c r="H619" s="37" t="s">
        <v>591</v>
      </c>
      <c r="I619" s="37" t="s">
        <v>592</v>
      </c>
      <c r="J619" s="37" t="s">
        <v>907</v>
      </c>
      <c r="K619" s="45" t="n">
        <v>0</v>
      </c>
      <c r="L619" s="46" t="n">
        <v>21373.54</v>
      </c>
    </row>
    <row r="620" customFormat="false" ht="15" hidden="false" customHeight="false" outlineLevel="0" collapsed="false">
      <c r="A620" s="37" t="n">
        <v>500871</v>
      </c>
      <c r="B620" s="37" t="s">
        <v>906</v>
      </c>
      <c r="C620" s="37" t="n">
        <v>202510</v>
      </c>
      <c r="D620" s="37" t="s">
        <v>60</v>
      </c>
      <c r="E620" s="37" t="s">
        <v>98</v>
      </c>
      <c r="F620" s="37" t="s">
        <v>196</v>
      </c>
      <c r="G620" s="37" t="s">
        <v>358</v>
      </c>
      <c r="H620" s="37" t="s">
        <v>359</v>
      </c>
      <c r="I620" s="37" t="s">
        <v>360</v>
      </c>
      <c r="J620" s="37" t="s">
        <v>908</v>
      </c>
      <c r="K620" s="45" t="n">
        <v>0</v>
      </c>
      <c r="L620" s="46" t="n">
        <v>26270.11</v>
      </c>
    </row>
    <row r="621" customFormat="false" ht="15" hidden="false" customHeight="false" outlineLevel="0" collapsed="false">
      <c r="A621" s="37" t="n">
        <v>500984</v>
      </c>
      <c r="B621" s="37" t="s">
        <v>906</v>
      </c>
      <c r="C621" s="37" t="n">
        <v>202510</v>
      </c>
      <c r="D621" s="37" t="s">
        <v>60</v>
      </c>
      <c r="E621" s="37" t="s">
        <v>103</v>
      </c>
      <c r="F621" s="37" t="s">
        <v>205</v>
      </c>
      <c r="G621" s="37" t="s">
        <v>358</v>
      </c>
      <c r="H621" s="37" t="s">
        <v>727</v>
      </c>
      <c r="I621" s="37" t="s">
        <v>728</v>
      </c>
      <c r="J621" s="37" t="s">
        <v>909</v>
      </c>
      <c r="K621" s="45" t="n">
        <v>0</v>
      </c>
      <c r="L621" s="46" t="n">
        <v>24156.9</v>
      </c>
    </row>
    <row r="622" customFormat="false" ht="15" hidden="false" customHeight="false" outlineLevel="0" collapsed="false">
      <c r="A622" s="37" t="n">
        <v>501429</v>
      </c>
      <c r="B622" s="37" t="s">
        <v>906</v>
      </c>
      <c r="C622" s="37" t="n">
        <v>202510</v>
      </c>
      <c r="D622" s="37" t="s">
        <v>62</v>
      </c>
      <c r="E622" s="37" t="s">
        <v>98</v>
      </c>
      <c r="F622" s="37" t="s">
        <v>196</v>
      </c>
      <c r="G622" s="37" t="s">
        <v>358</v>
      </c>
      <c r="H622" s="37" t="s">
        <v>359</v>
      </c>
      <c r="I622" s="37" t="s">
        <v>360</v>
      </c>
      <c r="J622" s="37" t="s">
        <v>910</v>
      </c>
      <c r="K622" s="45" t="n">
        <v>0</v>
      </c>
      <c r="L622" s="46" t="n">
        <v>2252.05</v>
      </c>
    </row>
    <row r="623" customFormat="false" ht="15" hidden="false" customHeight="false" outlineLevel="0" collapsed="false">
      <c r="A623" s="37" t="n">
        <v>501516</v>
      </c>
      <c r="B623" s="37" t="s">
        <v>906</v>
      </c>
      <c r="C623" s="37" t="n">
        <v>202510</v>
      </c>
      <c r="D623" s="37" t="s">
        <v>62</v>
      </c>
      <c r="E623" s="37" t="s">
        <v>102</v>
      </c>
      <c r="F623" s="37" t="s">
        <v>205</v>
      </c>
      <c r="G623" s="37" t="s">
        <v>358</v>
      </c>
      <c r="H623" s="37" t="s">
        <v>810</v>
      </c>
      <c r="I623" s="37" t="s">
        <v>811</v>
      </c>
      <c r="J623" s="37" t="s">
        <v>911</v>
      </c>
      <c r="K623" s="45" t="n">
        <v>0</v>
      </c>
      <c r="L623" s="46" t="n">
        <v>19236.09</v>
      </c>
    </row>
    <row r="624" customFormat="false" ht="15" hidden="false" customHeight="false" outlineLevel="0" collapsed="false">
      <c r="A624" s="37" t="n">
        <v>500378</v>
      </c>
      <c r="B624" s="37" t="s">
        <v>912</v>
      </c>
      <c r="C624" s="37" t="n">
        <v>202510</v>
      </c>
      <c r="D624" s="37" t="s">
        <v>58</v>
      </c>
      <c r="E624" s="37" t="s">
        <v>108</v>
      </c>
      <c r="F624" s="37" t="s">
        <v>205</v>
      </c>
      <c r="G624" s="37" t="s">
        <v>358</v>
      </c>
      <c r="H624" s="37" t="s">
        <v>885</v>
      </c>
      <c r="I624" s="37" t="s">
        <v>886</v>
      </c>
      <c r="J624" s="37" t="s">
        <v>913</v>
      </c>
      <c r="K624" s="45" t="n">
        <v>0</v>
      </c>
      <c r="L624" s="46" t="n">
        <v>12493.91</v>
      </c>
    </row>
    <row r="625" customFormat="false" ht="15" hidden="false" customHeight="false" outlineLevel="0" collapsed="false">
      <c r="A625" s="37" t="n">
        <v>500669</v>
      </c>
      <c r="B625" s="37" t="s">
        <v>912</v>
      </c>
      <c r="C625" s="37" t="n">
        <v>202510</v>
      </c>
      <c r="D625" s="37" t="s">
        <v>59</v>
      </c>
      <c r="E625" s="37" t="s">
        <v>103</v>
      </c>
      <c r="F625" s="37" t="s">
        <v>205</v>
      </c>
      <c r="G625" s="37" t="s">
        <v>358</v>
      </c>
      <c r="H625" s="37" t="s">
        <v>622</v>
      </c>
      <c r="I625" s="37" t="s">
        <v>623</v>
      </c>
      <c r="J625" s="37" t="s">
        <v>914</v>
      </c>
      <c r="K625" s="45" t="n">
        <v>0</v>
      </c>
      <c r="L625" s="46" t="n">
        <v>66676.4</v>
      </c>
    </row>
    <row r="626" customFormat="false" ht="15" hidden="false" customHeight="false" outlineLevel="0" collapsed="false">
      <c r="A626" s="37" t="n">
        <v>501907</v>
      </c>
      <c r="B626" s="37" t="s">
        <v>915</v>
      </c>
      <c r="C626" s="37" t="n">
        <v>202510</v>
      </c>
      <c r="D626" s="37" t="s">
        <v>64</v>
      </c>
      <c r="E626" s="37" t="s">
        <v>98</v>
      </c>
      <c r="F626" s="37" t="s">
        <v>196</v>
      </c>
      <c r="G626" s="37" t="s">
        <v>358</v>
      </c>
      <c r="H626" s="37" t="s">
        <v>359</v>
      </c>
      <c r="I626" s="37" t="s">
        <v>360</v>
      </c>
      <c r="J626" s="37" t="s">
        <v>916</v>
      </c>
      <c r="K626" s="45" t="n">
        <v>0</v>
      </c>
      <c r="L626" s="46" t="n">
        <v>1311.7</v>
      </c>
    </row>
    <row r="627" customFormat="false" ht="15" hidden="false" customHeight="false" outlineLevel="0" collapsed="false">
      <c r="A627" s="37" t="n">
        <v>500379</v>
      </c>
      <c r="B627" s="37" t="s">
        <v>917</v>
      </c>
      <c r="C627" s="37" t="n">
        <v>202510</v>
      </c>
      <c r="D627" s="37" t="s">
        <v>58</v>
      </c>
      <c r="E627" s="37" t="s">
        <v>108</v>
      </c>
      <c r="F627" s="37" t="s">
        <v>205</v>
      </c>
      <c r="G627" s="37" t="s">
        <v>358</v>
      </c>
      <c r="H627" s="37" t="s">
        <v>885</v>
      </c>
      <c r="I627" s="37" t="s">
        <v>886</v>
      </c>
      <c r="J627" s="37" t="s">
        <v>918</v>
      </c>
      <c r="K627" s="45" t="n">
        <v>0</v>
      </c>
      <c r="L627" s="46" t="n">
        <v>9975.11</v>
      </c>
    </row>
    <row r="628" customFormat="false" ht="15" hidden="false" customHeight="false" outlineLevel="0" collapsed="false">
      <c r="A628" s="37" t="n">
        <v>500985</v>
      </c>
      <c r="B628" s="37" t="s">
        <v>919</v>
      </c>
      <c r="C628" s="37" t="n">
        <v>202510</v>
      </c>
      <c r="D628" s="37" t="s">
        <v>60</v>
      </c>
      <c r="E628" s="37" t="s">
        <v>103</v>
      </c>
      <c r="F628" s="37" t="s">
        <v>205</v>
      </c>
      <c r="G628" s="37" t="s">
        <v>358</v>
      </c>
      <c r="H628" s="37" t="s">
        <v>727</v>
      </c>
      <c r="I628" s="37" t="s">
        <v>728</v>
      </c>
      <c r="J628" s="37" t="s">
        <v>920</v>
      </c>
      <c r="K628" s="45" t="n">
        <v>0</v>
      </c>
      <c r="L628" s="46" t="n">
        <v>35857.49</v>
      </c>
    </row>
    <row r="629" customFormat="false" ht="15" hidden="false" customHeight="false" outlineLevel="0" collapsed="false">
      <c r="A629" s="37" t="n">
        <v>501766</v>
      </c>
      <c r="B629" s="37" t="s">
        <v>919</v>
      </c>
      <c r="C629" s="37" t="n">
        <v>202510</v>
      </c>
      <c r="D629" s="37" t="s">
        <v>63</v>
      </c>
      <c r="E629" s="37" t="s">
        <v>103</v>
      </c>
      <c r="F629" s="37" t="s">
        <v>205</v>
      </c>
      <c r="G629" s="37" t="s">
        <v>358</v>
      </c>
      <c r="H629" s="37" t="s">
        <v>921</v>
      </c>
      <c r="I629" s="37" t="s">
        <v>728</v>
      </c>
      <c r="J629" s="37" t="s">
        <v>922</v>
      </c>
      <c r="K629" s="45" t="n">
        <v>0</v>
      </c>
      <c r="L629" s="46" t="n">
        <v>7602.09</v>
      </c>
    </row>
    <row r="630" customFormat="false" ht="15" hidden="false" customHeight="false" outlineLevel="0" collapsed="false">
      <c r="A630" s="37" t="n">
        <v>500073</v>
      </c>
      <c r="B630" s="37" t="s">
        <v>923</v>
      </c>
      <c r="C630" s="37" t="n">
        <v>202510</v>
      </c>
      <c r="D630" s="37" t="s">
        <v>58</v>
      </c>
      <c r="E630" s="37" t="s">
        <v>97</v>
      </c>
      <c r="F630" s="37" t="s">
        <v>194</v>
      </c>
      <c r="G630" s="37" t="s">
        <v>354</v>
      </c>
      <c r="H630" s="37"/>
      <c r="I630" s="37" t="s">
        <v>355</v>
      </c>
      <c r="J630" s="37" t="s">
        <v>924</v>
      </c>
      <c r="K630" s="45" t="n">
        <v>163.4</v>
      </c>
      <c r="L630" s="46" t="n">
        <v>15029.21</v>
      </c>
    </row>
    <row r="631" customFormat="false" ht="15" hidden="false" customHeight="false" outlineLevel="0" collapsed="false">
      <c r="A631" s="37" t="n">
        <v>500347</v>
      </c>
      <c r="B631" s="37" t="s">
        <v>923</v>
      </c>
      <c r="C631" s="37" t="n">
        <v>202510</v>
      </c>
      <c r="D631" s="37" t="s">
        <v>58</v>
      </c>
      <c r="E631" s="37" t="s">
        <v>106</v>
      </c>
      <c r="F631" s="37" t="s">
        <v>194</v>
      </c>
      <c r="G631" s="37" t="s">
        <v>354</v>
      </c>
      <c r="H631" s="37"/>
      <c r="I631" s="37" t="s">
        <v>355</v>
      </c>
      <c r="J631" s="37" t="s">
        <v>924</v>
      </c>
      <c r="K631" s="45" t="n">
        <v>91.3</v>
      </c>
      <c r="L631" s="46" t="n">
        <v>6481.04</v>
      </c>
    </row>
    <row r="632" customFormat="false" ht="15" hidden="false" customHeight="false" outlineLevel="0" collapsed="false">
      <c r="A632" s="37" t="n">
        <v>500481</v>
      </c>
      <c r="B632" s="37" t="s">
        <v>923</v>
      </c>
      <c r="C632" s="37" t="n">
        <v>202510</v>
      </c>
      <c r="D632" s="37" t="s">
        <v>59</v>
      </c>
      <c r="E632" s="37" t="s">
        <v>97</v>
      </c>
      <c r="F632" s="37" t="s">
        <v>194</v>
      </c>
      <c r="G632" s="37" t="s">
        <v>354</v>
      </c>
      <c r="H632" s="37"/>
      <c r="I632" s="37" t="s">
        <v>355</v>
      </c>
      <c r="J632" s="37" t="s">
        <v>924</v>
      </c>
      <c r="K632" s="45" t="n">
        <v>282.4</v>
      </c>
      <c r="L632" s="46" t="n">
        <v>25985.32</v>
      </c>
    </row>
    <row r="633" customFormat="false" ht="15" hidden="false" customHeight="false" outlineLevel="0" collapsed="false">
      <c r="A633" s="37" t="n">
        <v>500625</v>
      </c>
      <c r="B633" s="37" t="s">
        <v>923</v>
      </c>
      <c r="C633" s="37" t="n">
        <v>202510</v>
      </c>
      <c r="D633" s="37" t="s">
        <v>59</v>
      </c>
      <c r="E633" s="37" t="s">
        <v>101</v>
      </c>
      <c r="F633" s="37" t="s">
        <v>194</v>
      </c>
      <c r="G633" s="37" t="s">
        <v>354</v>
      </c>
      <c r="H633" s="37"/>
      <c r="I633" s="37" t="s">
        <v>355</v>
      </c>
      <c r="J633" s="37" t="s">
        <v>924</v>
      </c>
      <c r="K633" s="45" t="n">
        <v>568</v>
      </c>
      <c r="L633" s="46" t="n">
        <v>42032.98</v>
      </c>
    </row>
    <row r="634" customFormat="false" ht="15" hidden="false" customHeight="false" outlineLevel="0" collapsed="false">
      <c r="A634" s="37" t="n">
        <v>500810</v>
      </c>
      <c r="B634" s="37" t="s">
        <v>923</v>
      </c>
      <c r="C634" s="37" t="n">
        <v>202510</v>
      </c>
      <c r="D634" s="37" t="s">
        <v>60</v>
      </c>
      <c r="E634" s="37" t="s">
        <v>97</v>
      </c>
      <c r="F634" s="37" t="s">
        <v>194</v>
      </c>
      <c r="G634" s="37" t="s">
        <v>354</v>
      </c>
      <c r="H634" s="37"/>
      <c r="I634" s="37" t="s">
        <v>355</v>
      </c>
      <c r="J634" s="37" t="s">
        <v>924</v>
      </c>
      <c r="K634" s="45" t="n">
        <v>51.7</v>
      </c>
      <c r="L634" s="46" t="n">
        <v>4760.8</v>
      </c>
    </row>
    <row r="635" customFormat="false" ht="15" hidden="false" customHeight="false" outlineLevel="0" collapsed="false">
      <c r="A635" s="37" t="n">
        <v>500938</v>
      </c>
      <c r="B635" s="37" t="s">
        <v>923</v>
      </c>
      <c r="C635" s="37" t="n">
        <v>202510</v>
      </c>
      <c r="D635" s="37" t="s">
        <v>60</v>
      </c>
      <c r="E635" s="37" t="s">
        <v>101</v>
      </c>
      <c r="F635" s="37" t="s">
        <v>194</v>
      </c>
      <c r="G635" s="37" t="s">
        <v>354</v>
      </c>
      <c r="H635" s="37"/>
      <c r="I635" s="37" t="s">
        <v>355</v>
      </c>
      <c r="J635" s="37" t="s">
        <v>924</v>
      </c>
      <c r="K635" s="45" t="n">
        <v>750.4</v>
      </c>
      <c r="L635" s="46" t="n">
        <v>55529.25</v>
      </c>
    </row>
    <row r="636" customFormat="false" ht="15" hidden="false" customHeight="false" outlineLevel="0" collapsed="false">
      <c r="A636" s="37" t="n">
        <v>501117</v>
      </c>
      <c r="B636" s="37" t="s">
        <v>923</v>
      </c>
      <c r="C636" s="37" t="n">
        <v>202510</v>
      </c>
      <c r="D636" s="37" t="s">
        <v>61</v>
      </c>
      <c r="E636" s="37" t="s">
        <v>97</v>
      </c>
      <c r="F636" s="37" t="s">
        <v>194</v>
      </c>
      <c r="G636" s="37" t="s">
        <v>354</v>
      </c>
      <c r="H636" s="37"/>
      <c r="I636" s="37" t="s">
        <v>355</v>
      </c>
      <c r="J636" s="37" t="s">
        <v>924</v>
      </c>
      <c r="K636" s="45" t="n">
        <v>167.3</v>
      </c>
      <c r="L636" s="46" t="n">
        <v>15387.49</v>
      </c>
    </row>
    <row r="637" customFormat="false" ht="15" hidden="false" customHeight="false" outlineLevel="0" collapsed="false">
      <c r="A637" s="37" t="n">
        <v>501231</v>
      </c>
      <c r="B637" s="37" t="s">
        <v>923</v>
      </c>
      <c r="C637" s="37" t="n">
        <v>202510</v>
      </c>
      <c r="D637" s="37" t="s">
        <v>61</v>
      </c>
      <c r="E637" s="37" t="s">
        <v>101</v>
      </c>
      <c r="F637" s="37" t="s">
        <v>194</v>
      </c>
      <c r="G637" s="37" t="s">
        <v>354</v>
      </c>
      <c r="H637" s="37"/>
      <c r="I637" s="37" t="s">
        <v>355</v>
      </c>
      <c r="J637" s="37" t="s">
        <v>924</v>
      </c>
      <c r="K637" s="45" t="n">
        <v>429.9</v>
      </c>
      <c r="L637" s="46" t="n">
        <v>31813.57</v>
      </c>
    </row>
    <row r="638" customFormat="false" ht="15" hidden="false" customHeight="false" outlineLevel="0" collapsed="false">
      <c r="A638" s="37" t="n">
        <v>501378</v>
      </c>
      <c r="B638" s="37" t="s">
        <v>923</v>
      </c>
      <c r="C638" s="37" t="n">
        <v>202510</v>
      </c>
      <c r="D638" s="37" t="s">
        <v>62</v>
      </c>
      <c r="E638" s="37" t="s">
        <v>97</v>
      </c>
      <c r="F638" s="37" t="s">
        <v>194</v>
      </c>
      <c r="G638" s="37" t="s">
        <v>354</v>
      </c>
      <c r="H638" s="37"/>
      <c r="I638" s="37" t="s">
        <v>355</v>
      </c>
      <c r="J638" s="37" t="s">
        <v>924</v>
      </c>
      <c r="K638" s="45" t="n">
        <v>40.2</v>
      </c>
      <c r="L638" s="46" t="n">
        <v>3701.04</v>
      </c>
    </row>
    <row r="639" customFormat="false" ht="15" hidden="false" customHeight="false" outlineLevel="0" collapsed="false">
      <c r="A639" s="37" t="n">
        <v>501482</v>
      </c>
      <c r="B639" s="37" t="s">
        <v>923</v>
      </c>
      <c r="C639" s="37" t="n">
        <v>202510</v>
      </c>
      <c r="D639" s="37" t="s">
        <v>62</v>
      </c>
      <c r="E639" s="37" t="s">
        <v>101</v>
      </c>
      <c r="F639" s="37" t="s">
        <v>194</v>
      </c>
      <c r="G639" s="37" t="s">
        <v>354</v>
      </c>
      <c r="H639" s="37"/>
      <c r="I639" s="37" t="s">
        <v>355</v>
      </c>
      <c r="J639" s="37" t="s">
        <v>924</v>
      </c>
      <c r="K639" s="45" t="n">
        <v>198.7</v>
      </c>
      <c r="L639" s="46" t="n">
        <v>14701.6</v>
      </c>
    </row>
    <row r="640" customFormat="false" ht="15" hidden="false" customHeight="false" outlineLevel="0" collapsed="false">
      <c r="A640" s="37" t="n">
        <v>501518</v>
      </c>
      <c r="B640" s="37" t="s">
        <v>923</v>
      </c>
      <c r="C640" s="37" t="n">
        <v>202510</v>
      </c>
      <c r="D640" s="37" t="s">
        <v>62</v>
      </c>
      <c r="E640" s="37" t="s">
        <v>102</v>
      </c>
      <c r="F640" s="37" t="s">
        <v>205</v>
      </c>
      <c r="G640" s="37" t="s">
        <v>358</v>
      </c>
      <c r="H640" s="37" t="s">
        <v>810</v>
      </c>
      <c r="I640" s="37" t="s">
        <v>811</v>
      </c>
      <c r="J640" s="37" t="s">
        <v>925</v>
      </c>
      <c r="K640" s="45" t="n">
        <v>0</v>
      </c>
      <c r="L640" s="46" t="n">
        <v>17067.65</v>
      </c>
    </row>
    <row r="641" customFormat="false" ht="15" hidden="false" customHeight="false" outlineLevel="0" collapsed="false">
      <c r="A641" s="37" t="n">
        <v>501624</v>
      </c>
      <c r="B641" s="37" t="s">
        <v>923</v>
      </c>
      <c r="C641" s="37" t="n">
        <v>202510</v>
      </c>
      <c r="D641" s="37" t="s">
        <v>63</v>
      </c>
      <c r="E641" s="37" t="s">
        <v>97</v>
      </c>
      <c r="F641" s="37" t="s">
        <v>194</v>
      </c>
      <c r="G641" s="37" t="s">
        <v>354</v>
      </c>
      <c r="H641" s="37"/>
      <c r="I641" s="37" t="s">
        <v>355</v>
      </c>
      <c r="J641" s="37" t="s">
        <v>924</v>
      </c>
      <c r="K641" s="45" t="n">
        <v>52.9</v>
      </c>
      <c r="L641" s="46" t="n">
        <v>4863.83</v>
      </c>
    </row>
    <row r="642" customFormat="false" ht="15" hidden="false" customHeight="false" outlineLevel="0" collapsed="false">
      <c r="A642" s="37" t="n">
        <v>501728</v>
      </c>
      <c r="B642" s="37" t="s">
        <v>923</v>
      </c>
      <c r="C642" s="37" t="n">
        <v>202510</v>
      </c>
      <c r="D642" s="37" t="s">
        <v>63</v>
      </c>
      <c r="E642" s="37" t="s">
        <v>101</v>
      </c>
      <c r="F642" s="37" t="s">
        <v>194</v>
      </c>
      <c r="G642" s="37" t="s">
        <v>354</v>
      </c>
      <c r="H642" s="37"/>
      <c r="I642" s="37" t="s">
        <v>355</v>
      </c>
      <c r="J642" s="37" t="s">
        <v>924</v>
      </c>
      <c r="K642" s="45" t="n">
        <v>58.1</v>
      </c>
      <c r="L642" s="46" t="n">
        <v>4300.81</v>
      </c>
    </row>
    <row r="643" customFormat="false" ht="15" hidden="false" customHeight="false" outlineLevel="0" collapsed="false">
      <c r="A643" s="37" t="n">
        <v>501858</v>
      </c>
      <c r="B643" s="37" t="s">
        <v>923</v>
      </c>
      <c r="C643" s="37" t="n">
        <v>202510</v>
      </c>
      <c r="D643" s="37" t="s">
        <v>64</v>
      </c>
      <c r="E643" s="37" t="s">
        <v>97</v>
      </c>
      <c r="F643" s="37" t="s">
        <v>194</v>
      </c>
      <c r="G643" s="37" t="s">
        <v>354</v>
      </c>
      <c r="H643" s="37"/>
      <c r="I643" s="37" t="s">
        <v>355</v>
      </c>
      <c r="J643" s="37" t="s">
        <v>924</v>
      </c>
      <c r="K643" s="45" t="n">
        <v>23.9</v>
      </c>
      <c r="L643" s="46" t="n">
        <v>2195.81</v>
      </c>
    </row>
    <row r="644" customFormat="false" ht="15" hidden="false" customHeight="false" outlineLevel="0" collapsed="false">
      <c r="A644" s="37" t="n">
        <v>500306</v>
      </c>
      <c r="B644" s="37" t="s">
        <v>926</v>
      </c>
      <c r="C644" s="37" t="n">
        <v>202510</v>
      </c>
      <c r="D644" s="37" t="s">
        <v>58</v>
      </c>
      <c r="E644" s="37" t="s">
        <v>104</v>
      </c>
      <c r="F644" s="37" t="s">
        <v>201</v>
      </c>
      <c r="G644" s="37" t="s">
        <v>358</v>
      </c>
      <c r="H644" s="37" t="s">
        <v>578</v>
      </c>
      <c r="I644" s="37" t="s">
        <v>579</v>
      </c>
      <c r="J644" s="37" t="s">
        <v>927</v>
      </c>
      <c r="K644" s="45" t="n">
        <v>0</v>
      </c>
      <c r="L644" s="46" t="n">
        <v>48816.9</v>
      </c>
    </row>
    <row r="645" customFormat="false" ht="15" hidden="false" customHeight="false" outlineLevel="0" collapsed="false">
      <c r="A645" s="37" t="n">
        <v>500374</v>
      </c>
      <c r="B645" s="37" t="s">
        <v>926</v>
      </c>
      <c r="C645" s="37" t="n">
        <v>202510</v>
      </c>
      <c r="D645" s="37" t="s">
        <v>58</v>
      </c>
      <c r="E645" s="37" t="s">
        <v>107</v>
      </c>
      <c r="F645" s="37" t="s">
        <v>201</v>
      </c>
      <c r="G645" s="37" t="s">
        <v>358</v>
      </c>
      <c r="H645" s="37" t="s">
        <v>684</v>
      </c>
      <c r="I645" s="37" t="s">
        <v>685</v>
      </c>
      <c r="J645" s="37" t="s">
        <v>927</v>
      </c>
      <c r="K645" s="45" t="n">
        <v>0</v>
      </c>
      <c r="L645" s="46" t="n">
        <v>192686.8</v>
      </c>
    </row>
    <row r="646" customFormat="false" ht="15" hidden="false" customHeight="false" outlineLevel="0" collapsed="false">
      <c r="A646" s="37" t="n">
        <v>500400</v>
      </c>
      <c r="B646" s="37" t="s">
        <v>926</v>
      </c>
      <c r="C646" s="37" t="n">
        <v>202510</v>
      </c>
      <c r="D646" s="37" t="s">
        <v>58</v>
      </c>
      <c r="E646" s="37" t="s">
        <v>109</v>
      </c>
      <c r="F646" s="37" t="s">
        <v>201</v>
      </c>
      <c r="G646" s="37" t="s">
        <v>358</v>
      </c>
      <c r="H646" s="37" t="s">
        <v>928</v>
      </c>
      <c r="I646" s="37" t="s">
        <v>929</v>
      </c>
      <c r="J646" s="37" t="s">
        <v>927</v>
      </c>
      <c r="K646" s="45" t="n">
        <v>0</v>
      </c>
      <c r="L646" s="46" t="n">
        <v>30955.46</v>
      </c>
    </row>
    <row r="647" customFormat="false" ht="15" hidden="false" customHeight="false" outlineLevel="0" collapsed="false">
      <c r="A647" s="37" t="n">
        <v>500418</v>
      </c>
      <c r="B647" s="37" t="s">
        <v>926</v>
      </c>
      <c r="C647" s="37" t="n">
        <v>202510</v>
      </c>
      <c r="D647" s="37" t="s">
        <v>58</v>
      </c>
      <c r="E647" s="37" t="s">
        <v>110</v>
      </c>
      <c r="F647" s="37" t="s">
        <v>201</v>
      </c>
      <c r="G647" s="37" t="s">
        <v>358</v>
      </c>
      <c r="H647" s="37" t="s">
        <v>547</v>
      </c>
      <c r="I647" s="37" t="s">
        <v>548</v>
      </c>
      <c r="J647" s="37" t="s">
        <v>927</v>
      </c>
      <c r="K647" s="45" t="n">
        <v>0</v>
      </c>
      <c r="L647" s="46" t="n">
        <v>263740.63</v>
      </c>
    </row>
    <row r="648" customFormat="false" ht="15" hidden="false" customHeight="false" outlineLevel="0" collapsed="false">
      <c r="A648" s="37" t="n">
        <v>500437</v>
      </c>
      <c r="B648" s="37" t="s">
        <v>926</v>
      </c>
      <c r="C648" s="37" t="n">
        <v>202510</v>
      </c>
      <c r="D648" s="37" t="s">
        <v>58</v>
      </c>
      <c r="E648" s="37" t="s">
        <v>111</v>
      </c>
      <c r="F648" s="37" t="s">
        <v>201</v>
      </c>
      <c r="G648" s="37" t="s">
        <v>358</v>
      </c>
      <c r="H648" s="37" t="s">
        <v>549</v>
      </c>
      <c r="I648" s="37" t="s">
        <v>550</v>
      </c>
      <c r="J648" s="37" t="s">
        <v>927</v>
      </c>
      <c r="K648" s="45" t="n">
        <v>0</v>
      </c>
      <c r="L648" s="46" t="n">
        <v>154874.73</v>
      </c>
    </row>
    <row r="649" customFormat="false" ht="15" hidden="false" customHeight="false" outlineLevel="0" collapsed="false">
      <c r="A649" s="37" t="n">
        <v>500651</v>
      </c>
      <c r="B649" s="37" t="s">
        <v>926</v>
      </c>
      <c r="C649" s="37" t="n">
        <v>202510</v>
      </c>
      <c r="D649" s="37" t="s">
        <v>59</v>
      </c>
      <c r="E649" s="37" t="s">
        <v>102</v>
      </c>
      <c r="F649" s="37" t="s">
        <v>205</v>
      </c>
      <c r="G649" s="37" t="s">
        <v>358</v>
      </c>
      <c r="H649" s="37" t="s">
        <v>591</v>
      </c>
      <c r="I649" s="37" t="s">
        <v>592</v>
      </c>
      <c r="J649" s="37" t="s">
        <v>930</v>
      </c>
      <c r="K649" s="45" t="n">
        <v>0</v>
      </c>
      <c r="L649" s="46" t="n">
        <v>124955.32</v>
      </c>
    </row>
    <row r="650" customFormat="false" ht="15" hidden="false" customHeight="false" outlineLevel="0" collapsed="false">
      <c r="A650" s="37" t="n">
        <v>500680</v>
      </c>
      <c r="B650" s="37" t="s">
        <v>926</v>
      </c>
      <c r="C650" s="37" t="n">
        <v>202510</v>
      </c>
      <c r="D650" s="37" t="s">
        <v>59</v>
      </c>
      <c r="E650" s="37" t="s">
        <v>105</v>
      </c>
      <c r="F650" s="37" t="s">
        <v>201</v>
      </c>
      <c r="G650" s="37" t="s">
        <v>358</v>
      </c>
      <c r="H650" s="37" t="s">
        <v>795</v>
      </c>
      <c r="I650" s="37" t="s">
        <v>796</v>
      </c>
      <c r="J650" s="37" t="s">
        <v>927</v>
      </c>
      <c r="K650" s="45" t="n">
        <v>0</v>
      </c>
      <c r="L650" s="46" t="n">
        <v>650736.98</v>
      </c>
    </row>
    <row r="651" customFormat="false" ht="15" hidden="false" customHeight="false" outlineLevel="0" collapsed="false">
      <c r="A651" s="37" t="n">
        <v>500760</v>
      </c>
      <c r="B651" s="37" t="s">
        <v>926</v>
      </c>
      <c r="C651" s="37" t="n">
        <v>202510</v>
      </c>
      <c r="D651" s="37" t="s">
        <v>59</v>
      </c>
      <c r="E651" s="37" t="s">
        <v>110</v>
      </c>
      <c r="F651" s="37" t="s">
        <v>201</v>
      </c>
      <c r="G651" s="37" t="s">
        <v>358</v>
      </c>
      <c r="H651" s="37" t="s">
        <v>849</v>
      </c>
      <c r="I651" s="37" t="s">
        <v>850</v>
      </c>
      <c r="J651" s="37" t="s">
        <v>927</v>
      </c>
      <c r="K651" s="45" t="n">
        <v>0</v>
      </c>
      <c r="L651" s="46" t="n">
        <v>65028.05</v>
      </c>
    </row>
    <row r="652" customFormat="false" ht="15" hidden="false" customHeight="false" outlineLevel="0" collapsed="false">
      <c r="A652" s="37" t="n">
        <v>500773</v>
      </c>
      <c r="B652" s="37" t="s">
        <v>926</v>
      </c>
      <c r="C652" s="37" t="n">
        <v>202510</v>
      </c>
      <c r="D652" s="37" t="s">
        <v>59</v>
      </c>
      <c r="E652" s="37" t="s">
        <v>111</v>
      </c>
      <c r="F652" s="37" t="s">
        <v>201</v>
      </c>
      <c r="G652" s="37" t="s">
        <v>358</v>
      </c>
      <c r="H652" s="37" t="s">
        <v>851</v>
      </c>
      <c r="I652" s="37" t="s">
        <v>852</v>
      </c>
      <c r="J652" s="37" t="s">
        <v>927</v>
      </c>
      <c r="K652" s="45" t="n">
        <v>0</v>
      </c>
      <c r="L652" s="46" t="n">
        <v>84663.15</v>
      </c>
    </row>
    <row r="653" customFormat="false" ht="15" hidden="false" customHeight="false" outlineLevel="0" collapsed="false">
      <c r="A653" s="37" t="n">
        <v>500916</v>
      </c>
      <c r="B653" s="37" t="s">
        <v>926</v>
      </c>
      <c r="C653" s="37" t="n">
        <v>202510</v>
      </c>
      <c r="D653" s="37" t="s">
        <v>60</v>
      </c>
      <c r="E653" s="37" t="s">
        <v>100</v>
      </c>
      <c r="F653" s="37" t="s">
        <v>201</v>
      </c>
      <c r="G653" s="37" t="s">
        <v>358</v>
      </c>
      <c r="H653" s="37" t="s">
        <v>645</v>
      </c>
      <c r="I653" s="37" t="s">
        <v>646</v>
      </c>
      <c r="J653" s="37" t="s">
        <v>927</v>
      </c>
      <c r="K653" s="45" t="n">
        <v>0</v>
      </c>
      <c r="L653" s="46" t="n">
        <v>10203.49</v>
      </c>
    </row>
    <row r="654" customFormat="false" ht="15" hidden="false" customHeight="false" outlineLevel="0" collapsed="false">
      <c r="A654" s="37" t="n">
        <v>501006</v>
      </c>
      <c r="B654" s="37" t="s">
        <v>926</v>
      </c>
      <c r="C654" s="37" t="n">
        <v>202510</v>
      </c>
      <c r="D654" s="37" t="s">
        <v>60</v>
      </c>
      <c r="E654" s="37" t="s">
        <v>105</v>
      </c>
      <c r="F654" s="37" t="s">
        <v>201</v>
      </c>
      <c r="G654" s="37" t="s">
        <v>358</v>
      </c>
      <c r="H654" s="37" t="s">
        <v>931</v>
      </c>
      <c r="I654" s="37" t="s">
        <v>932</v>
      </c>
      <c r="J654" s="37" t="s">
        <v>927</v>
      </c>
      <c r="K654" s="45" t="n">
        <v>0</v>
      </c>
      <c r="L654" s="46" t="n">
        <v>42859.23</v>
      </c>
    </row>
    <row r="655" customFormat="false" ht="15" hidden="false" customHeight="false" outlineLevel="0" collapsed="false">
      <c r="A655" s="37" t="n">
        <v>501214</v>
      </c>
      <c r="B655" s="37" t="s">
        <v>926</v>
      </c>
      <c r="C655" s="37" t="n">
        <v>202510</v>
      </c>
      <c r="D655" s="37" t="s">
        <v>61</v>
      </c>
      <c r="E655" s="37" t="s">
        <v>100</v>
      </c>
      <c r="F655" s="37" t="s">
        <v>201</v>
      </c>
      <c r="G655" s="37" t="s">
        <v>358</v>
      </c>
      <c r="H655" s="37" t="s">
        <v>687</v>
      </c>
      <c r="I655" s="37" t="s">
        <v>688</v>
      </c>
      <c r="J655" s="37" t="s">
        <v>927</v>
      </c>
      <c r="K655" s="45" t="n">
        <v>0</v>
      </c>
      <c r="L655" s="46" t="n">
        <v>11127.24</v>
      </c>
    </row>
    <row r="656" customFormat="false" ht="15" hidden="false" customHeight="false" outlineLevel="0" collapsed="false">
      <c r="A656" s="37" t="n">
        <v>501277</v>
      </c>
      <c r="B656" s="37" t="s">
        <v>926</v>
      </c>
      <c r="C656" s="37" t="n">
        <v>202510</v>
      </c>
      <c r="D656" s="37" t="s">
        <v>61</v>
      </c>
      <c r="E656" s="37" t="s">
        <v>105</v>
      </c>
      <c r="F656" s="37" t="s">
        <v>201</v>
      </c>
      <c r="G656" s="37" t="s">
        <v>358</v>
      </c>
      <c r="H656" s="37" t="s">
        <v>933</v>
      </c>
      <c r="I656" s="37" t="s">
        <v>934</v>
      </c>
      <c r="J656" s="37" t="s">
        <v>927</v>
      </c>
      <c r="K656" s="45" t="n">
        <v>0</v>
      </c>
      <c r="L656" s="46" t="n">
        <v>61625.33</v>
      </c>
    </row>
    <row r="657" customFormat="false" ht="15" hidden="false" customHeight="false" outlineLevel="0" collapsed="false">
      <c r="A657" s="37" t="n">
        <v>501471</v>
      </c>
      <c r="B657" s="37" t="s">
        <v>926</v>
      </c>
      <c r="C657" s="37" t="n">
        <v>202510</v>
      </c>
      <c r="D657" s="37" t="s">
        <v>62</v>
      </c>
      <c r="E657" s="37" t="s">
        <v>100</v>
      </c>
      <c r="F657" s="37" t="s">
        <v>201</v>
      </c>
      <c r="G657" s="37" t="s">
        <v>358</v>
      </c>
      <c r="H657" s="37" t="s">
        <v>797</v>
      </c>
      <c r="I657" s="37" t="s">
        <v>646</v>
      </c>
      <c r="J657" s="37" t="s">
        <v>927</v>
      </c>
      <c r="K657" s="45" t="n">
        <v>0</v>
      </c>
      <c r="L657" s="46" t="n">
        <v>327842.99</v>
      </c>
    </row>
    <row r="658" customFormat="false" ht="15" hidden="false" customHeight="false" outlineLevel="0" collapsed="false">
      <c r="A658" s="37" t="n">
        <v>501721</v>
      </c>
      <c r="B658" s="37" t="s">
        <v>926</v>
      </c>
      <c r="C658" s="37" t="n">
        <v>202510</v>
      </c>
      <c r="D658" s="37" t="s">
        <v>63</v>
      </c>
      <c r="E658" s="37" t="s">
        <v>100</v>
      </c>
      <c r="F658" s="37" t="s">
        <v>201</v>
      </c>
      <c r="G658" s="37" t="s">
        <v>358</v>
      </c>
      <c r="H658" s="37" t="s">
        <v>853</v>
      </c>
      <c r="I658" s="37" t="s">
        <v>854</v>
      </c>
      <c r="J658" s="37" t="s">
        <v>927</v>
      </c>
      <c r="K658" s="45" t="n">
        <v>0</v>
      </c>
      <c r="L658" s="46" t="n">
        <v>112224.85</v>
      </c>
    </row>
    <row r="659" customFormat="false" ht="15" hidden="false" customHeight="false" outlineLevel="0" collapsed="false">
      <c r="A659" s="37" t="n">
        <v>501945</v>
      </c>
      <c r="B659" s="37" t="s">
        <v>926</v>
      </c>
      <c r="C659" s="37" t="n">
        <v>202510</v>
      </c>
      <c r="D659" s="37" t="s">
        <v>64</v>
      </c>
      <c r="E659" s="37" t="s">
        <v>100</v>
      </c>
      <c r="F659" s="37" t="s">
        <v>201</v>
      </c>
      <c r="G659" s="37" t="s">
        <v>358</v>
      </c>
      <c r="H659" s="37" t="s">
        <v>935</v>
      </c>
      <c r="I659" s="37" t="s">
        <v>936</v>
      </c>
      <c r="J659" s="37" t="s">
        <v>927</v>
      </c>
      <c r="K659" s="45" t="n">
        <v>0</v>
      </c>
      <c r="L659" s="46" t="n">
        <v>31884.29</v>
      </c>
    </row>
    <row r="660" customFormat="false" ht="15" hidden="false" customHeight="false" outlineLevel="0" collapsed="false">
      <c r="A660" s="37" t="n">
        <v>500966</v>
      </c>
      <c r="B660" s="37" t="s">
        <v>937</v>
      </c>
      <c r="C660" s="37" t="n">
        <v>202510</v>
      </c>
      <c r="D660" s="37" t="s">
        <v>60</v>
      </c>
      <c r="E660" s="37" t="s">
        <v>102</v>
      </c>
      <c r="F660" s="37" t="s">
        <v>205</v>
      </c>
      <c r="G660" s="37" t="s">
        <v>358</v>
      </c>
      <c r="H660" s="37" t="s">
        <v>670</v>
      </c>
      <c r="I660" s="37" t="s">
        <v>671</v>
      </c>
      <c r="J660" s="37" t="s">
        <v>938</v>
      </c>
      <c r="K660" s="45" t="n">
        <v>0</v>
      </c>
      <c r="L660" s="46" t="n">
        <v>36974.5</v>
      </c>
    </row>
    <row r="661" customFormat="false" ht="15" hidden="false" customHeight="false" outlineLevel="0" collapsed="false">
      <c r="A661" s="37" t="n">
        <v>501267</v>
      </c>
      <c r="B661" s="37" t="s">
        <v>939</v>
      </c>
      <c r="C661" s="37" t="n">
        <v>202510</v>
      </c>
      <c r="D661" s="37" t="s">
        <v>61</v>
      </c>
      <c r="E661" s="37" t="s">
        <v>103</v>
      </c>
      <c r="F661" s="37" t="s">
        <v>205</v>
      </c>
      <c r="G661" s="37" t="s">
        <v>358</v>
      </c>
      <c r="H661" s="37" t="s">
        <v>711</v>
      </c>
      <c r="I661" s="37" t="s">
        <v>401</v>
      </c>
      <c r="J661" s="37" t="s">
        <v>940</v>
      </c>
      <c r="K661" s="45" t="n">
        <v>0</v>
      </c>
      <c r="L661" s="46" t="n">
        <v>39448.4</v>
      </c>
    </row>
    <row r="662" customFormat="false" ht="15" hidden="false" customHeight="false" outlineLevel="0" collapsed="false">
      <c r="A662" s="37" t="n">
        <v>500074</v>
      </c>
      <c r="B662" s="37" t="s">
        <v>941</v>
      </c>
      <c r="C662" s="37" t="n">
        <v>202510</v>
      </c>
      <c r="D662" s="37" t="s">
        <v>58</v>
      </c>
      <c r="E662" s="37" t="s">
        <v>97</v>
      </c>
      <c r="F662" s="37" t="s">
        <v>194</v>
      </c>
      <c r="G662" s="37" t="s">
        <v>354</v>
      </c>
      <c r="H662" s="37"/>
      <c r="I662" s="37" t="s">
        <v>355</v>
      </c>
      <c r="J662" s="37" t="s">
        <v>942</v>
      </c>
      <c r="K662" s="45" t="n">
        <v>101.4</v>
      </c>
      <c r="L662" s="46" t="n">
        <v>9325.37</v>
      </c>
    </row>
    <row r="663" customFormat="false" ht="15" hidden="false" customHeight="false" outlineLevel="0" collapsed="false">
      <c r="A663" s="37" t="n">
        <v>500190</v>
      </c>
      <c r="B663" s="37" t="s">
        <v>941</v>
      </c>
      <c r="C663" s="37" t="n">
        <v>202510</v>
      </c>
      <c r="D663" s="37" t="s">
        <v>58</v>
      </c>
      <c r="E663" s="37" t="s">
        <v>99</v>
      </c>
      <c r="F663" s="37" t="s">
        <v>198</v>
      </c>
      <c r="G663" s="37" t="s">
        <v>375</v>
      </c>
      <c r="H663" s="37"/>
      <c r="I663" s="37" t="s">
        <v>376</v>
      </c>
      <c r="J663" s="37" t="s">
        <v>377</v>
      </c>
      <c r="K663" s="45" t="n">
        <v>0</v>
      </c>
      <c r="L663" s="46" t="n">
        <v>20715.19</v>
      </c>
    </row>
    <row r="664" customFormat="false" ht="15" hidden="false" customHeight="false" outlineLevel="0" collapsed="false">
      <c r="A664" s="37" t="n">
        <v>500348</v>
      </c>
      <c r="B664" s="37" t="s">
        <v>941</v>
      </c>
      <c r="C664" s="37" t="n">
        <v>202510</v>
      </c>
      <c r="D664" s="37" t="s">
        <v>58</v>
      </c>
      <c r="E664" s="37" t="s">
        <v>106</v>
      </c>
      <c r="F664" s="37" t="s">
        <v>194</v>
      </c>
      <c r="G664" s="37" t="s">
        <v>354</v>
      </c>
      <c r="H664" s="37"/>
      <c r="I664" s="37" t="s">
        <v>355</v>
      </c>
      <c r="J664" s="37" t="s">
        <v>942</v>
      </c>
      <c r="K664" s="45" t="n">
        <v>329.2</v>
      </c>
      <c r="L664" s="46" t="n">
        <v>23373.26</v>
      </c>
    </row>
    <row r="665" customFormat="false" ht="15" hidden="false" customHeight="false" outlineLevel="0" collapsed="false">
      <c r="A665" s="37" t="n">
        <v>500482</v>
      </c>
      <c r="B665" s="37" t="s">
        <v>941</v>
      </c>
      <c r="C665" s="37" t="n">
        <v>202510</v>
      </c>
      <c r="D665" s="37" t="s">
        <v>59</v>
      </c>
      <c r="E665" s="37" t="s">
        <v>97</v>
      </c>
      <c r="F665" s="37" t="s">
        <v>194</v>
      </c>
      <c r="G665" s="37" t="s">
        <v>354</v>
      </c>
      <c r="H665" s="37"/>
      <c r="I665" s="37" t="s">
        <v>355</v>
      </c>
      <c r="J665" s="37" t="s">
        <v>942</v>
      </c>
      <c r="K665" s="45" t="n">
        <v>292.1</v>
      </c>
      <c r="L665" s="46" t="n">
        <v>26871.49</v>
      </c>
    </row>
    <row r="666" customFormat="false" ht="15" hidden="false" customHeight="false" outlineLevel="0" collapsed="false">
      <c r="A666" s="37" t="n">
        <v>500577</v>
      </c>
      <c r="B666" s="37" t="s">
        <v>941</v>
      </c>
      <c r="C666" s="37" t="n">
        <v>202510</v>
      </c>
      <c r="D666" s="37" t="s">
        <v>59</v>
      </c>
      <c r="E666" s="37" t="s">
        <v>99</v>
      </c>
      <c r="F666" s="37" t="s">
        <v>198</v>
      </c>
      <c r="G666" s="37" t="s">
        <v>375</v>
      </c>
      <c r="H666" s="37"/>
      <c r="I666" s="37" t="s">
        <v>376</v>
      </c>
      <c r="J666" s="37" t="s">
        <v>377</v>
      </c>
      <c r="K666" s="45" t="n">
        <v>0</v>
      </c>
      <c r="L666" s="46" t="n">
        <v>70503.69</v>
      </c>
    </row>
    <row r="667" customFormat="false" ht="15" hidden="false" customHeight="false" outlineLevel="0" collapsed="false">
      <c r="A667" s="37" t="n">
        <v>500626</v>
      </c>
      <c r="B667" s="37" t="s">
        <v>941</v>
      </c>
      <c r="C667" s="37" t="n">
        <v>202510</v>
      </c>
      <c r="D667" s="37" t="s">
        <v>59</v>
      </c>
      <c r="E667" s="37" t="s">
        <v>101</v>
      </c>
      <c r="F667" s="37" t="s">
        <v>194</v>
      </c>
      <c r="G667" s="37" t="s">
        <v>354</v>
      </c>
      <c r="H667" s="37"/>
      <c r="I667" s="37" t="s">
        <v>355</v>
      </c>
      <c r="J667" s="37" t="s">
        <v>942</v>
      </c>
      <c r="K667" s="45" t="n">
        <v>253.2</v>
      </c>
      <c r="L667" s="46" t="n">
        <v>18738.08</v>
      </c>
    </row>
    <row r="668" customFormat="false" ht="15" hidden="false" customHeight="false" outlineLevel="0" collapsed="false">
      <c r="A668" s="37" t="n">
        <v>500811</v>
      </c>
      <c r="B668" s="37" t="s">
        <v>941</v>
      </c>
      <c r="C668" s="37" t="n">
        <v>202510</v>
      </c>
      <c r="D668" s="37" t="s">
        <v>60</v>
      </c>
      <c r="E668" s="37" t="s">
        <v>97</v>
      </c>
      <c r="F668" s="37" t="s">
        <v>194</v>
      </c>
      <c r="G668" s="37" t="s">
        <v>354</v>
      </c>
      <c r="H668" s="37"/>
      <c r="I668" s="37" t="s">
        <v>355</v>
      </c>
      <c r="J668" s="37" t="s">
        <v>942</v>
      </c>
      <c r="K668" s="45" t="n">
        <v>172.2</v>
      </c>
      <c r="L668" s="46" t="n">
        <v>15840.43</v>
      </c>
    </row>
    <row r="669" customFormat="false" ht="15" hidden="false" customHeight="false" outlineLevel="0" collapsed="false">
      <c r="A669" s="37" t="n">
        <v>500899</v>
      </c>
      <c r="B669" s="37" t="s">
        <v>941</v>
      </c>
      <c r="C669" s="37" t="n">
        <v>202510</v>
      </c>
      <c r="D669" s="37" t="s">
        <v>60</v>
      </c>
      <c r="E669" s="37" t="s">
        <v>99</v>
      </c>
      <c r="F669" s="37" t="s">
        <v>198</v>
      </c>
      <c r="G669" s="37" t="s">
        <v>375</v>
      </c>
      <c r="H669" s="37"/>
      <c r="I669" s="37" t="s">
        <v>376</v>
      </c>
      <c r="J669" s="37" t="s">
        <v>377</v>
      </c>
      <c r="K669" s="45" t="n">
        <v>0</v>
      </c>
      <c r="L669" s="46" t="n">
        <v>26001.88</v>
      </c>
    </row>
    <row r="670" customFormat="false" ht="15" hidden="false" customHeight="false" outlineLevel="0" collapsed="false">
      <c r="A670" s="37" t="n">
        <v>500939</v>
      </c>
      <c r="B670" s="37" t="s">
        <v>941</v>
      </c>
      <c r="C670" s="37" t="n">
        <v>202510</v>
      </c>
      <c r="D670" s="37" t="s">
        <v>60</v>
      </c>
      <c r="E670" s="37" t="s">
        <v>101</v>
      </c>
      <c r="F670" s="37" t="s">
        <v>194</v>
      </c>
      <c r="G670" s="37" t="s">
        <v>354</v>
      </c>
      <c r="H670" s="37"/>
      <c r="I670" s="37" t="s">
        <v>355</v>
      </c>
      <c r="J670" s="37" t="s">
        <v>942</v>
      </c>
      <c r="K670" s="45" t="n">
        <v>392.9</v>
      </c>
      <c r="L670" s="46" t="n">
        <v>29075.5</v>
      </c>
    </row>
    <row r="671" customFormat="false" ht="15" hidden="false" customHeight="false" outlineLevel="0" collapsed="false">
      <c r="A671" s="37" t="n">
        <v>501118</v>
      </c>
      <c r="B671" s="37" t="s">
        <v>941</v>
      </c>
      <c r="C671" s="37" t="n">
        <v>202510</v>
      </c>
      <c r="D671" s="37" t="s">
        <v>61</v>
      </c>
      <c r="E671" s="37" t="s">
        <v>97</v>
      </c>
      <c r="F671" s="37" t="s">
        <v>194</v>
      </c>
      <c r="G671" s="37" t="s">
        <v>354</v>
      </c>
      <c r="H671" s="37"/>
      <c r="I671" s="37" t="s">
        <v>355</v>
      </c>
      <c r="J671" s="37" t="s">
        <v>942</v>
      </c>
      <c r="K671" s="45" t="n">
        <v>131.9</v>
      </c>
      <c r="L671" s="46" t="n">
        <v>12134.81</v>
      </c>
    </row>
    <row r="672" customFormat="false" ht="15" hidden="false" customHeight="false" outlineLevel="0" collapsed="false">
      <c r="A672" s="37" t="n">
        <v>501199</v>
      </c>
      <c r="B672" s="37" t="s">
        <v>941</v>
      </c>
      <c r="C672" s="37" t="n">
        <v>202510</v>
      </c>
      <c r="D672" s="37" t="s">
        <v>61</v>
      </c>
      <c r="E672" s="37" t="s">
        <v>99</v>
      </c>
      <c r="F672" s="37" t="s">
        <v>198</v>
      </c>
      <c r="G672" s="37" t="s">
        <v>375</v>
      </c>
      <c r="H672" s="37"/>
      <c r="I672" s="37" t="s">
        <v>376</v>
      </c>
      <c r="J672" s="37" t="s">
        <v>377</v>
      </c>
      <c r="K672" s="45" t="n">
        <v>0</v>
      </c>
      <c r="L672" s="46" t="n">
        <v>28996.65</v>
      </c>
    </row>
    <row r="673" customFormat="false" ht="15" hidden="false" customHeight="false" outlineLevel="0" collapsed="false">
      <c r="A673" s="37" t="n">
        <v>501232</v>
      </c>
      <c r="B673" s="37" t="s">
        <v>941</v>
      </c>
      <c r="C673" s="37" t="n">
        <v>202510</v>
      </c>
      <c r="D673" s="37" t="s">
        <v>61</v>
      </c>
      <c r="E673" s="37" t="s">
        <v>101</v>
      </c>
      <c r="F673" s="37" t="s">
        <v>194</v>
      </c>
      <c r="G673" s="37" t="s">
        <v>354</v>
      </c>
      <c r="H673" s="37"/>
      <c r="I673" s="37" t="s">
        <v>355</v>
      </c>
      <c r="J673" s="37" t="s">
        <v>942</v>
      </c>
      <c r="K673" s="45" t="n">
        <v>490.5</v>
      </c>
      <c r="L673" s="46" t="n">
        <v>36295.04</v>
      </c>
    </row>
    <row r="674" customFormat="false" ht="15" hidden="false" customHeight="false" outlineLevel="0" collapsed="false">
      <c r="A674" s="37" t="n">
        <v>501379</v>
      </c>
      <c r="B674" s="37" t="s">
        <v>941</v>
      </c>
      <c r="C674" s="37" t="n">
        <v>202510</v>
      </c>
      <c r="D674" s="37" t="s">
        <v>62</v>
      </c>
      <c r="E674" s="37" t="s">
        <v>97</v>
      </c>
      <c r="F674" s="37" t="s">
        <v>194</v>
      </c>
      <c r="G674" s="37" t="s">
        <v>354</v>
      </c>
      <c r="H674" s="37"/>
      <c r="I674" s="37" t="s">
        <v>355</v>
      </c>
      <c r="J674" s="37" t="s">
        <v>942</v>
      </c>
      <c r="K674" s="45" t="n">
        <v>94.6</v>
      </c>
      <c r="L674" s="46" t="n">
        <v>8706.44</v>
      </c>
    </row>
    <row r="675" customFormat="false" ht="15" hidden="false" customHeight="false" outlineLevel="0" collapsed="false">
      <c r="A675" s="37" t="n">
        <v>501457</v>
      </c>
      <c r="B675" s="37" t="s">
        <v>941</v>
      </c>
      <c r="C675" s="37" t="n">
        <v>202510</v>
      </c>
      <c r="D675" s="37" t="s">
        <v>62</v>
      </c>
      <c r="E675" s="37" t="s">
        <v>99</v>
      </c>
      <c r="F675" s="37" t="s">
        <v>198</v>
      </c>
      <c r="G675" s="37" t="s">
        <v>375</v>
      </c>
      <c r="H675" s="37"/>
      <c r="I675" s="37" t="s">
        <v>376</v>
      </c>
      <c r="J675" s="37" t="s">
        <v>377</v>
      </c>
      <c r="K675" s="45" t="n">
        <v>0</v>
      </c>
      <c r="L675" s="46" t="n">
        <v>14603.86</v>
      </c>
    </row>
    <row r="676" customFormat="false" ht="15" hidden="false" customHeight="false" outlineLevel="0" collapsed="false">
      <c r="A676" s="37" t="n">
        <v>501483</v>
      </c>
      <c r="B676" s="37" t="s">
        <v>941</v>
      </c>
      <c r="C676" s="37" t="n">
        <v>202510</v>
      </c>
      <c r="D676" s="37" t="s">
        <v>62</v>
      </c>
      <c r="E676" s="37" t="s">
        <v>101</v>
      </c>
      <c r="F676" s="37" t="s">
        <v>194</v>
      </c>
      <c r="G676" s="37" t="s">
        <v>354</v>
      </c>
      <c r="H676" s="37"/>
      <c r="I676" s="37" t="s">
        <v>355</v>
      </c>
      <c r="J676" s="37" t="s">
        <v>942</v>
      </c>
      <c r="K676" s="45" t="n">
        <v>196.3</v>
      </c>
      <c r="L676" s="46" t="n">
        <v>14522.57</v>
      </c>
    </row>
    <row r="677" customFormat="false" ht="15" hidden="false" customHeight="false" outlineLevel="0" collapsed="false">
      <c r="A677" s="37" t="n">
        <v>501625</v>
      </c>
      <c r="B677" s="37" t="s">
        <v>941</v>
      </c>
      <c r="C677" s="37" t="n">
        <v>202510</v>
      </c>
      <c r="D677" s="37" t="s">
        <v>63</v>
      </c>
      <c r="E677" s="37" t="s">
        <v>97</v>
      </c>
      <c r="F677" s="37" t="s">
        <v>194</v>
      </c>
      <c r="G677" s="37" t="s">
        <v>354</v>
      </c>
      <c r="H677" s="37"/>
      <c r="I677" s="37" t="s">
        <v>355</v>
      </c>
      <c r="J677" s="37" t="s">
        <v>942</v>
      </c>
      <c r="K677" s="45" t="n">
        <v>31.8</v>
      </c>
      <c r="L677" s="46" t="n">
        <v>2921.41</v>
      </c>
    </row>
    <row r="678" customFormat="false" ht="15" hidden="false" customHeight="false" outlineLevel="0" collapsed="false">
      <c r="A678" s="37" t="n">
        <v>501708</v>
      </c>
      <c r="B678" s="37" t="s">
        <v>941</v>
      </c>
      <c r="C678" s="37" t="n">
        <v>202510</v>
      </c>
      <c r="D678" s="37" t="s">
        <v>63</v>
      </c>
      <c r="E678" s="37" t="s">
        <v>99</v>
      </c>
      <c r="F678" s="37" t="s">
        <v>198</v>
      </c>
      <c r="G678" s="37" t="s">
        <v>375</v>
      </c>
      <c r="H678" s="37"/>
      <c r="I678" s="37" t="s">
        <v>376</v>
      </c>
      <c r="J678" s="37" t="s">
        <v>377</v>
      </c>
      <c r="K678" s="45" t="n">
        <v>0</v>
      </c>
      <c r="L678" s="46" t="n">
        <v>9075.1</v>
      </c>
    </row>
    <row r="679" customFormat="false" ht="15" hidden="false" customHeight="false" outlineLevel="0" collapsed="false">
      <c r="A679" s="37" t="n">
        <v>501729</v>
      </c>
      <c r="B679" s="37" t="s">
        <v>941</v>
      </c>
      <c r="C679" s="37" t="n">
        <v>202510</v>
      </c>
      <c r="D679" s="37" t="s">
        <v>63</v>
      </c>
      <c r="E679" s="37" t="s">
        <v>101</v>
      </c>
      <c r="F679" s="37" t="s">
        <v>194</v>
      </c>
      <c r="G679" s="37" t="s">
        <v>354</v>
      </c>
      <c r="H679" s="37"/>
      <c r="I679" s="37" t="s">
        <v>355</v>
      </c>
      <c r="J679" s="37" t="s">
        <v>942</v>
      </c>
      <c r="K679" s="45" t="n">
        <v>26.3</v>
      </c>
      <c r="L679" s="46" t="n">
        <v>1949.32</v>
      </c>
    </row>
    <row r="680" customFormat="false" ht="15" hidden="false" customHeight="false" outlineLevel="0" collapsed="false">
      <c r="A680" s="37" t="n">
        <v>501859</v>
      </c>
      <c r="B680" s="37" t="s">
        <v>941</v>
      </c>
      <c r="C680" s="37" t="n">
        <v>202510</v>
      </c>
      <c r="D680" s="37" t="s">
        <v>64</v>
      </c>
      <c r="E680" s="37" t="s">
        <v>97</v>
      </c>
      <c r="F680" s="37" t="s">
        <v>194</v>
      </c>
      <c r="G680" s="37" t="s">
        <v>354</v>
      </c>
      <c r="H680" s="37"/>
      <c r="I680" s="37" t="s">
        <v>355</v>
      </c>
      <c r="J680" s="37" t="s">
        <v>942</v>
      </c>
      <c r="K680" s="45" t="n">
        <v>38.4</v>
      </c>
      <c r="L680" s="46" t="n">
        <v>3530.8</v>
      </c>
    </row>
    <row r="681" customFormat="false" ht="15" hidden="false" customHeight="false" outlineLevel="0" collapsed="false">
      <c r="A681" s="37" t="n">
        <v>501933</v>
      </c>
      <c r="B681" s="37" t="s">
        <v>941</v>
      </c>
      <c r="C681" s="37" t="n">
        <v>202510</v>
      </c>
      <c r="D681" s="37" t="s">
        <v>64</v>
      </c>
      <c r="E681" s="37" t="s">
        <v>99</v>
      </c>
      <c r="F681" s="37" t="s">
        <v>198</v>
      </c>
      <c r="G681" s="37" t="s">
        <v>375</v>
      </c>
      <c r="H681" s="37"/>
      <c r="I681" s="37" t="s">
        <v>376</v>
      </c>
      <c r="J681" s="37" t="s">
        <v>377</v>
      </c>
      <c r="K681" s="45" t="n">
        <v>0</v>
      </c>
      <c r="L681" s="46" t="n">
        <v>2993.64</v>
      </c>
    </row>
    <row r="682" customFormat="false" ht="15" hidden="false" customHeight="false" outlineLevel="0" collapsed="false">
      <c r="A682" s="37" t="n">
        <v>501767</v>
      </c>
      <c r="B682" s="37" t="s">
        <v>171</v>
      </c>
      <c r="C682" s="37" t="n">
        <v>202511</v>
      </c>
      <c r="D682" s="37" t="s">
        <v>63</v>
      </c>
      <c r="E682" s="37" t="s">
        <v>103</v>
      </c>
      <c r="F682" s="37" t="s">
        <v>205</v>
      </c>
      <c r="G682" s="37" t="s">
        <v>358</v>
      </c>
      <c r="H682" s="37" t="s">
        <v>921</v>
      </c>
      <c r="I682" s="37" t="s">
        <v>728</v>
      </c>
      <c r="J682" s="37" t="s">
        <v>943</v>
      </c>
      <c r="K682" s="45" t="n">
        <v>0</v>
      </c>
      <c r="L682" s="46" t="n">
        <v>5384.38</v>
      </c>
    </row>
    <row r="683" customFormat="false" ht="15" hidden="false" customHeight="false" outlineLevel="0" collapsed="false">
      <c r="A683" s="37" t="n">
        <v>501909</v>
      </c>
      <c r="B683" s="37" t="s">
        <v>944</v>
      </c>
      <c r="C683" s="37" t="n">
        <v>202511</v>
      </c>
      <c r="D683" s="37" t="s">
        <v>64</v>
      </c>
      <c r="E683" s="37" t="s">
        <v>98</v>
      </c>
      <c r="F683" s="37" t="s">
        <v>196</v>
      </c>
      <c r="G683" s="37" t="s">
        <v>358</v>
      </c>
      <c r="H683" s="37" t="s">
        <v>359</v>
      </c>
      <c r="I683" s="37" t="s">
        <v>360</v>
      </c>
      <c r="J683" s="37" t="s">
        <v>945</v>
      </c>
      <c r="K683" s="45" t="n">
        <v>0</v>
      </c>
      <c r="L683" s="46" t="n">
        <v>2806.74</v>
      </c>
    </row>
    <row r="684" customFormat="false" ht="15" hidden="false" customHeight="false" outlineLevel="0" collapsed="false">
      <c r="A684" s="37" t="n">
        <v>501984</v>
      </c>
      <c r="B684" s="37" t="s">
        <v>946</v>
      </c>
      <c r="C684" s="37" t="n">
        <v>202511</v>
      </c>
      <c r="D684" s="37" t="s">
        <v>64</v>
      </c>
      <c r="E684" s="37" t="s">
        <v>102</v>
      </c>
      <c r="F684" s="37" t="s">
        <v>205</v>
      </c>
      <c r="G684" s="37" t="s">
        <v>358</v>
      </c>
      <c r="H684" s="37" t="s">
        <v>947</v>
      </c>
      <c r="I684" s="37" t="s">
        <v>811</v>
      </c>
      <c r="J684" s="37" t="s">
        <v>948</v>
      </c>
      <c r="K684" s="45" t="n">
        <v>0</v>
      </c>
      <c r="L684" s="46" t="n">
        <v>9525.06</v>
      </c>
    </row>
    <row r="685" customFormat="false" ht="15" hidden="false" customHeight="false" outlineLevel="0" collapsed="false">
      <c r="A685" s="37" t="n">
        <v>500873</v>
      </c>
      <c r="B685" s="37" t="s">
        <v>949</v>
      </c>
      <c r="C685" s="37" t="n">
        <v>202511</v>
      </c>
      <c r="D685" s="37" t="s">
        <v>60</v>
      </c>
      <c r="E685" s="37" t="s">
        <v>98</v>
      </c>
      <c r="F685" s="37" t="s">
        <v>196</v>
      </c>
      <c r="G685" s="37" t="s">
        <v>358</v>
      </c>
      <c r="H685" s="37" t="s">
        <v>359</v>
      </c>
      <c r="I685" s="37" t="s">
        <v>360</v>
      </c>
      <c r="J685" s="37" t="s">
        <v>950</v>
      </c>
      <c r="K685" s="45" t="n">
        <v>0</v>
      </c>
      <c r="L685" s="46" t="n">
        <v>12175.15</v>
      </c>
    </row>
    <row r="686" customFormat="false" ht="15" hidden="false" customHeight="false" outlineLevel="0" collapsed="false">
      <c r="A686" s="37" t="n">
        <v>501268</v>
      </c>
      <c r="B686" s="37" t="s">
        <v>949</v>
      </c>
      <c r="C686" s="37" t="n">
        <v>202511</v>
      </c>
      <c r="D686" s="37" t="s">
        <v>61</v>
      </c>
      <c r="E686" s="37" t="s">
        <v>103</v>
      </c>
      <c r="F686" s="37" t="s">
        <v>205</v>
      </c>
      <c r="G686" s="37" t="s">
        <v>358</v>
      </c>
      <c r="H686" s="37" t="s">
        <v>711</v>
      </c>
      <c r="I686" s="37" t="s">
        <v>401</v>
      </c>
      <c r="J686" s="37" t="s">
        <v>951</v>
      </c>
      <c r="K686" s="45" t="n">
        <v>0</v>
      </c>
      <c r="L686" s="46" t="n">
        <v>140110.42</v>
      </c>
    </row>
    <row r="687" customFormat="false" ht="15" hidden="false" customHeight="false" outlineLevel="0" collapsed="false">
      <c r="A687" s="37" t="n">
        <v>501434</v>
      </c>
      <c r="B687" s="37" t="s">
        <v>949</v>
      </c>
      <c r="C687" s="37" t="n">
        <v>202511</v>
      </c>
      <c r="D687" s="37" t="s">
        <v>62</v>
      </c>
      <c r="E687" s="37" t="s">
        <v>98</v>
      </c>
      <c r="F687" s="37" t="s">
        <v>196</v>
      </c>
      <c r="G687" s="37" t="s">
        <v>358</v>
      </c>
      <c r="H687" s="37" t="s">
        <v>359</v>
      </c>
      <c r="I687" s="37" t="s">
        <v>360</v>
      </c>
      <c r="J687" s="37" t="s">
        <v>952</v>
      </c>
      <c r="K687" s="45" t="n">
        <v>0</v>
      </c>
      <c r="L687" s="46" t="n">
        <v>11864.61</v>
      </c>
    </row>
    <row r="688" customFormat="false" ht="15" hidden="false" customHeight="false" outlineLevel="0" collapsed="false">
      <c r="A688" s="37" t="n">
        <v>500075</v>
      </c>
      <c r="B688" s="37" t="s">
        <v>953</v>
      </c>
      <c r="C688" s="37" t="n">
        <v>202511</v>
      </c>
      <c r="D688" s="37" t="s">
        <v>58</v>
      </c>
      <c r="E688" s="37" t="s">
        <v>97</v>
      </c>
      <c r="F688" s="37" t="s">
        <v>194</v>
      </c>
      <c r="G688" s="37" t="s">
        <v>354</v>
      </c>
      <c r="H688" s="37"/>
      <c r="I688" s="37" t="s">
        <v>355</v>
      </c>
      <c r="J688" s="37" t="s">
        <v>954</v>
      </c>
      <c r="K688" s="45" t="n">
        <v>185.1</v>
      </c>
      <c r="L688" s="46" t="n">
        <v>17032.93</v>
      </c>
    </row>
    <row r="689" customFormat="false" ht="15" hidden="false" customHeight="false" outlineLevel="0" collapsed="false">
      <c r="A689" s="37" t="n">
        <v>500349</v>
      </c>
      <c r="B689" s="37" t="s">
        <v>953</v>
      </c>
      <c r="C689" s="37" t="n">
        <v>202511</v>
      </c>
      <c r="D689" s="37" t="s">
        <v>58</v>
      </c>
      <c r="E689" s="37" t="s">
        <v>106</v>
      </c>
      <c r="F689" s="37" t="s">
        <v>194</v>
      </c>
      <c r="G689" s="37" t="s">
        <v>354</v>
      </c>
      <c r="H689" s="37"/>
      <c r="I689" s="37" t="s">
        <v>355</v>
      </c>
      <c r="J689" s="37" t="s">
        <v>954</v>
      </c>
      <c r="K689" s="45" t="n">
        <v>410.5</v>
      </c>
      <c r="L689" s="46" t="n">
        <v>29143.34</v>
      </c>
    </row>
    <row r="690" customFormat="false" ht="15" hidden="false" customHeight="false" outlineLevel="0" collapsed="false">
      <c r="A690" s="37" t="n">
        <v>500483</v>
      </c>
      <c r="B690" s="37" t="s">
        <v>953</v>
      </c>
      <c r="C690" s="37" t="n">
        <v>202511</v>
      </c>
      <c r="D690" s="37" t="s">
        <v>59</v>
      </c>
      <c r="E690" s="37" t="s">
        <v>97</v>
      </c>
      <c r="F690" s="37" t="s">
        <v>194</v>
      </c>
      <c r="G690" s="37" t="s">
        <v>354</v>
      </c>
      <c r="H690" s="37"/>
      <c r="I690" s="37" t="s">
        <v>355</v>
      </c>
      <c r="J690" s="37" t="s">
        <v>954</v>
      </c>
      <c r="K690" s="45" t="n">
        <v>136</v>
      </c>
      <c r="L690" s="46" t="n">
        <v>12513.77</v>
      </c>
    </row>
    <row r="691" customFormat="false" ht="15" hidden="false" customHeight="false" outlineLevel="0" collapsed="false">
      <c r="A691" s="37" t="n">
        <v>500627</v>
      </c>
      <c r="B691" s="37" t="s">
        <v>953</v>
      </c>
      <c r="C691" s="37" t="n">
        <v>202511</v>
      </c>
      <c r="D691" s="37" t="s">
        <v>59</v>
      </c>
      <c r="E691" s="37" t="s">
        <v>101</v>
      </c>
      <c r="F691" s="37" t="s">
        <v>194</v>
      </c>
      <c r="G691" s="37" t="s">
        <v>354</v>
      </c>
      <c r="H691" s="37"/>
      <c r="I691" s="37" t="s">
        <v>355</v>
      </c>
      <c r="J691" s="37" t="s">
        <v>954</v>
      </c>
      <c r="K691" s="45" t="n">
        <v>125.3</v>
      </c>
      <c r="L691" s="46" t="n">
        <v>9269.89</v>
      </c>
    </row>
    <row r="692" customFormat="false" ht="15" hidden="false" customHeight="false" outlineLevel="0" collapsed="false">
      <c r="A692" s="37" t="n">
        <v>500685</v>
      </c>
      <c r="B692" s="37" t="s">
        <v>953</v>
      </c>
      <c r="C692" s="37" t="n">
        <v>202511</v>
      </c>
      <c r="D692" s="37" t="s">
        <v>59</v>
      </c>
      <c r="E692" s="37" t="s">
        <v>106</v>
      </c>
      <c r="F692" s="37" t="s">
        <v>194</v>
      </c>
      <c r="G692" s="37" t="s">
        <v>354</v>
      </c>
      <c r="H692" s="37"/>
      <c r="I692" s="37" t="s">
        <v>355</v>
      </c>
      <c r="J692" s="37" t="s">
        <v>954</v>
      </c>
      <c r="K692" s="45" t="n">
        <v>8.2</v>
      </c>
      <c r="L692" s="46" t="n">
        <v>584.71</v>
      </c>
    </row>
    <row r="693" customFormat="false" ht="15" hidden="false" customHeight="false" outlineLevel="0" collapsed="false">
      <c r="A693" s="37" t="n">
        <v>500812</v>
      </c>
      <c r="B693" s="37" t="s">
        <v>953</v>
      </c>
      <c r="C693" s="37" t="n">
        <v>202511</v>
      </c>
      <c r="D693" s="37" t="s">
        <v>60</v>
      </c>
      <c r="E693" s="37" t="s">
        <v>97</v>
      </c>
      <c r="F693" s="37" t="s">
        <v>194</v>
      </c>
      <c r="G693" s="37" t="s">
        <v>354</v>
      </c>
      <c r="H693" s="37"/>
      <c r="I693" s="37" t="s">
        <v>355</v>
      </c>
      <c r="J693" s="37" t="s">
        <v>954</v>
      </c>
      <c r="K693" s="45" t="n">
        <v>176.2</v>
      </c>
      <c r="L693" s="46" t="n">
        <v>16207.14</v>
      </c>
    </row>
    <row r="694" customFormat="false" ht="15" hidden="false" customHeight="false" outlineLevel="0" collapsed="false">
      <c r="A694" s="37" t="n">
        <v>500872</v>
      </c>
      <c r="B694" s="37" t="s">
        <v>953</v>
      </c>
      <c r="C694" s="37" t="n">
        <v>202511</v>
      </c>
      <c r="D694" s="37" t="s">
        <v>60</v>
      </c>
      <c r="E694" s="37" t="s">
        <v>98</v>
      </c>
      <c r="F694" s="37" t="s">
        <v>196</v>
      </c>
      <c r="G694" s="37" t="s">
        <v>358</v>
      </c>
      <c r="H694" s="37" t="s">
        <v>359</v>
      </c>
      <c r="I694" s="37" t="s">
        <v>360</v>
      </c>
      <c r="J694" s="37" t="s">
        <v>955</v>
      </c>
      <c r="K694" s="45" t="n">
        <v>0</v>
      </c>
      <c r="L694" s="46" t="n">
        <v>17869.73</v>
      </c>
    </row>
    <row r="695" customFormat="false" ht="15" hidden="false" customHeight="false" outlineLevel="0" collapsed="false">
      <c r="A695" s="37" t="n">
        <v>500940</v>
      </c>
      <c r="B695" s="37" t="s">
        <v>953</v>
      </c>
      <c r="C695" s="37" t="n">
        <v>202511</v>
      </c>
      <c r="D695" s="37" t="s">
        <v>60</v>
      </c>
      <c r="E695" s="37" t="s">
        <v>101</v>
      </c>
      <c r="F695" s="37" t="s">
        <v>194</v>
      </c>
      <c r="G695" s="37" t="s">
        <v>354</v>
      </c>
      <c r="H695" s="37"/>
      <c r="I695" s="37" t="s">
        <v>355</v>
      </c>
      <c r="J695" s="37" t="s">
        <v>954</v>
      </c>
      <c r="K695" s="45" t="n">
        <v>865.8</v>
      </c>
      <c r="L695" s="46" t="n">
        <v>64068.27</v>
      </c>
    </row>
    <row r="696" customFormat="false" ht="15" hidden="false" customHeight="false" outlineLevel="0" collapsed="false">
      <c r="A696" s="37" t="n">
        <v>500967</v>
      </c>
      <c r="B696" s="37" t="s">
        <v>953</v>
      </c>
      <c r="C696" s="37" t="n">
        <v>202511</v>
      </c>
      <c r="D696" s="37" t="s">
        <v>60</v>
      </c>
      <c r="E696" s="37" t="s">
        <v>102</v>
      </c>
      <c r="F696" s="37" t="s">
        <v>205</v>
      </c>
      <c r="G696" s="37" t="s">
        <v>358</v>
      </c>
      <c r="H696" s="37" t="s">
        <v>670</v>
      </c>
      <c r="I696" s="37" t="s">
        <v>671</v>
      </c>
      <c r="J696" s="37" t="s">
        <v>956</v>
      </c>
      <c r="K696" s="45" t="n">
        <v>0</v>
      </c>
      <c r="L696" s="46" t="n">
        <v>81696.82</v>
      </c>
    </row>
    <row r="697" customFormat="false" ht="15" hidden="false" customHeight="false" outlineLevel="0" collapsed="false">
      <c r="A697" s="37" t="n">
        <v>501119</v>
      </c>
      <c r="B697" s="37" t="s">
        <v>953</v>
      </c>
      <c r="C697" s="37" t="n">
        <v>202511</v>
      </c>
      <c r="D697" s="37" t="s">
        <v>61</v>
      </c>
      <c r="E697" s="37" t="s">
        <v>97</v>
      </c>
      <c r="F697" s="37" t="s">
        <v>194</v>
      </c>
      <c r="G697" s="37" t="s">
        <v>354</v>
      </c>
      <c r="H697" s="37"/>
      <c r="I697" s="37" t="s">
        <v>355</v>
      </c>
      <c r="J697" s="37" t="s">
        <v>954</v>
      </c>
      <c r="K697" s="45" t="n">
        <v>211.8</v>
      </c>
      <c r="L697" s="46" t="n">
        <v>19486.71</v>
      </c>
    </row>
    <row r="698" customFormat="false" ht="15" hidden="false" customHeight="false" outlineLevel="0" collapsed="false">
      <c r="A698" s="37" t="n">
        <v>501171</v>
      </c>
      <c r="B698" s="37" t="s">
        <v>953</v>
      </c>
      <c r="C698" s="37" t="n">
        <v>202511</v>
      </c>
      <c r="D698" s="37" t="s">
        <v>61</v>
      </c>
      <c r="E698" s="37" t="s">
        <v>98</v>
      </c>
      <c r="F698" s="37" t="s">
        <v>196</v>
      </c>
      <c r="G698" s="37" t="s">
        <v>358</v>
      </c>
      <c r="H698" s="37" t="s">
        <v>359</v>
      </c>
      <c r="I698" s="37" t="s">
        <v>360</v>
      </c>
      <c r="J698" s="37" t="s">
        <v>957</v>
      </c>
      <c r="K698" s="45" t="n">
        <v>0</v>
      </c>
      <c r="L698" s="46" t="n">
        <v>9926.44</v>
      </c>
    </row>
    <row r="699" customFormat="false" ht="15" hidden="false" customHeight="false" outlineLevel="0" collapsed="false">
      <c r="A699" s="37" t="n">
        <v>501233</v>
      </c>
      <c r="B699" s="37" t="s">
        <v>953</v>
      </c>
      <c r="C699" s="37" t="n">
        <v>202511</v>
      </c>
      <c r="D699" s="37" t="s">
        <v>61</v>
      </c>
      <c r="E699" s="37" t="s">
        <v>101</v>
      </c>
      <c r="F699" s="37" t="s">
        <v>194</v>
      </c>
      <c r="G699" s="37" t="s">
        <v>354</v>
      </c>
      <c r="H699" s="37"/>
      <c r="I699" s="37" t="s">
        <v>355</v>
      </c>
      <c r="J699" s="37" t="s">
        <v>954</v>
      </c>
      <c r="K699" s="45" t="n">
        <v>138.9</v>
      </c>
      <c r="L699" s="46" t="n">
        <v>10277.92</v>
      </c>
    </row>
    <row r="700" customFormat="false" ht="15" hidden="false" customHeight="false" outlineLevel="0" collapsed="false">
      <c r="A700" s="37" t="n">
        <v>501380</v>
      </c>
      <c r="B700" s="37" t="s">
        <v>953</v>
      </c>
      <c r="C700" s="37" t="n">
        <v>202511</v>
      </c>
      <c r="D700" s="37" t="s">
        <v>62</v>
      </c>
      <c r="E700" s="37" t="s">
        <v>97</v>
      </c>
      <c r="F700" s="37" t="s">
        <v>194</v>
      </c>
      <c r="G700" s="37" t="s">
        <v>354</v>
      </c>
      <c r="H700" s="37"/>
      <c r="I700" s="37" t="s">
        <v>355</v>
      </c>
      <c r="J700" s="37" t="s">
        <v>954</v>
      </c>
      <c r="K700" s="45" t="n">
        <v>102</v>
      </c>
      <c r="L700" s="46" t="n">
        <v>9379.78</v>
      </c>
    </row>
    <row r="701" customFormat="false" ht="15" hidden="false" customHeight="false" outlineLevel="0" collapsed="false">
      <c r="A701" s="37" t="n">
        <v>501484</v>
      </c>
      <c r="B701" s="37" t="s">
        <v>953</v>
      </c>
      <c r="C701" s="37" t="n">
        <v>202511</v>
      </c>
      <c r="D701" s="37" t="s">
        <v>62</v>
      </c>
      <c r="E701" s="37" t="s">
        <v>101</v>
      </c>
      <c r="F701" s="37" t="s">
        <v>194</v>
      </c>
      <c r="G701" s="37" t="s">
        <v>354</v>
      </c>
      <c r="H701" s="37"/>
      <c r="I701" s="37" t="s">
        <v>355</v>
      </c>
      <c r="J701" s="37" t="s">
        <v>954</v>
      </c>
      <c r="K701" s="45" t="n">
        <v>640.5</v>
      </c>
      <c r="L701" s="46" t="n">
        <v>47393.86</v>
      </c>
    </row>
    <row r="702" customFormat="false" ht="15" hidden="false" customHeight="false" outlineLevel="0" collapsed="false">
      <c r="A702" s="37" t="n">
        <v>501626</v>
      </c>
      <c r="B702" s="37" t="s">
        <v>953</v>
      </c>
      <c r="C702" s="37" t="n">
        <v>202511</v>
      </c>
      <c r="D702" s="37" t="s">
        <v>63</v>
      </c>
      <c r="E702" s="37" t="s">
        <v>97</v>
      </c>
      <c r="F702" s="37" t="s">
        <v>194</v>
      </c>
      <c r="G702" s="37" t="s">
        <v>354</v>
      </c>
      <c r="H702" s="37"/>
      <c r="I702" s="37" t="s">
        <v>355</v>
      </c>
      <c r="J702" s="37" t="s">
        <v>954</v>
      </c>
      <c r="K702" s="45" t="n">
        <v>72.8</v>
      </c>
      <c r="L702" s="46" t="n">
        <v>6700.19</v>
      </c>
    </row>
    <row r="703" customFormat="false" ht="15" hidden="false" customHeight="false" outlineLevel="0" collapsed="false">
      <c r="A703" s="37" t="n">
        <v>501730</v>
      </c>
      <c r="B703" s="37" t="s">
        <v>953</v>
      </c>
      <c r="C703" s="37" t="n">
        <v>202511</v>
      </c>
      <c r="D703" s="37" t="s">
        <v>63</v>
      </c>
      <c r="E703" s="37" t="s">
        <v>101</v>
      </c>
      <c r="F703" s="37" t="s">
        <v>194</v>
      </c>
      <c r="G703" s="37" t="s">
        <v>354</v>
      </c>
      <c r="H703" s="37"/>
      <c r="I703" s="37" t="s">
        <v>355</v>
      </c>
      <c r="J703" s="37" t="s">
        <v>954</v>
      </c>
      <c r="K703" s="45" t="n">
        <v>206.1</v>
      </c>
      <c r="L703" s="46" t="n">
        <v>15251.43</v>
      </c>
    </row>
    <row r="704" customFormat="false" ht="15" hidden="false" customHeight="false" outlineLevel="0" collapsed="false">
      <c r="A704" s="37" t="n">
        <v>501860</v>
      </c>
      <c r="B704" s="37" t="s">
        <v>953</v>
      </c>
      <c r="C704" s="37" t="n">
        <v>202511</v>
      </c>
      <c r="D704" s="37" t="s">
        <v>64</v>
      </c>
      <c r="E704" s="37" t="s">
        <v>97</v>
      </c>
      <c r="F704" s="37" t="s">
        <v>194</v>
      </c>
      <c r="G704" s="37" t="s">
        <v>354</v>
      </c>
      <c r="H704" s="37"/>
      <c r="I704" s="37" t="s">
        <v>355</v>
      </c>
      <c r="J704" s="37" t="s">
        <v>954</v>
      </c>
      <c r="K704" s="45" t="n">
        <v>63.7</v>
      </c>
      <c r="L704" s="46" t="n">
        <v>5856.94</v>
      </c>
    </row>
    <row r="705" customFormat="false" ht="15" hidden="false" customHeight="false" outlineLevel="0" collapsed="false">
      <c r="A705" s="37" t="n">
        <v>501950</v>
      </c>
      <c r="B705" s="37" t="s">
        <v>953</v>
      </c>
      <c r="C705" s="37" t="n">
        <v>202511</v>
      </c>
      <c r="D705" s="37" t="s">
        <v>64</v>
      </c>
      <c r="E705" s="37" t="s">
        <v>101</v>
      </c>
      <c r="F705" s="37" t="s">
        <v>194</v>
      </c>
      <c r="G705" s="37" t="s">
        <v>354</v>
      </c>
      <c r="H705" s="37"/>
      <c r="I705" s="37" t="s">
        <v>355</v>
      </c>
      <c r="J705" s="37" t="s">
        <v>954</v>
      </c>
      <c r="K705" s="45" t="n">
        <v>78.5</v>
      </c>
      <c r="L705" s="46" t="n">
        <v>5810.36</v>
      </c>
    </row>
    <row r="706" customFormat="false" ht="15" hidden="false" customHeight="false" outlineLevel="0" collapsed="false">
      <c r="A706" s="37" t="n">
        <v>502076</v>
      </c>
      <c r="B706" s="37" t="s">
        <v>953</v>
      </c>
      <c r="C706" s="37" t="n">
        <v>202511</v>
      </c>
      <c r="D706" s="37" t="s">
        <v>65</v>
      </c>
      <c r="E706" s="37" t="s">
        <v>97</v>
      </c>
      <c r="F706" s="37" t="s">
        <v>194</v>
      </c>
      <c r="G706" s="37" t="s">
        <v>354</v>
      </c>
      <c r="H706" s="37"/>
      <c r="I706" s="37" t="s">
        <v>355</v>
      </c>
      <c r="J706" s="37" t="s">
        <v>954</v>
      </c>
      <c r="K706" s="45" t="n">
        <v>75.4</v>
      </c>
      <c r="L706" s="46" t="n">
        <v>6936.59</v>
      </c>
    </row>
    <row r="707" customFormat="false" ht="15" hidden="false" customHeight="false" outlineLevel="0" collapsed="false">
      <c r="A707" s="37" t="n">
        <v>500549</v>
      </c>
      <c r="B707" s="37" t="s">
        <v>958</v>
      </c>
      <c r="C707" s="37" t="n">
        <v>202511</v>
      </c>
      <c r="D707" s="37" t="s">
        <v>59</v>
      </c>
      <c r="E707" s="37" t="s">
        <v>98</v>
      </c>
      <c r="F707" s="37" t="s">
        <v>196</v>
      </c>
      <c r="G707" s="37" t="s">
        <v>358</v>
      </c>
      <c r="H707" s="37" t="s">
        <v>359</v>
      </c>
      <c r="I707" s="37" t="s">
        <v>360</v>
      </c>
      <c r="J707" s="37" t="s">
        <v>959</v>
      </c>
      <c r="K707" s="45" t="n">
        <v>0</v>
      </c>
      <c r="L707" s="46" t="n">
        <v>38637.06</v>
      </c>
    </row>
    <row r="708" customFormat="false" ht="15" hidden="false" customHeight="false" outlineLevel="0" collapsed="false">
      <c r="A708" s="37" t="n">
        <v>500672</v>
      </c>
      <c r="B708" s="37" t="s">
        <v>958</v>
      </c>
      <c r="C708" s="37" t="n">
        <v>202511</v>
      </c>
      <c r="D708" s="37" t="s">
        <v>59</v>
      </c>
      <c r="E708" s="37" t="s">
        <v>103</v>
      </c>
      <c r="F708" s="37" t="s">
        <v>205</v>
      </c>
      <c r="G708" s="37" t="s">
        <v>358</v>
      </c>
      <c r="H708" s="37" t="s">
        <v>622</v>
      </c>
      <c r="I708" s="37" t="s">
        <v>623</v>
      </c>
      <c r="J708" s="37" t="s">
        <v>960</v>
      </c>
      <c r="K708" s="45" t="n">
        <v>0</v>
      </c>
      <c r="L708" s="46" t="n">
        <v>58789.18</v>
      </c>
    </row>
    <row r="709" customFormat="false" ht="15" hidden="false" customHeight="false" outlineLevel="0" collapsed="false">
      <c r="A709" s="37" t="n">
        <v>500154</v>
      </c>
      <c r="B709" s="37" t="s">
        <v>961</v>
      </c>
      <c r="C709" s="37" t="n">
        <v>202511</v>
      </c>
      <c r="D709" s="37" t="s">
        <v>58</v>
      </c>
      <c r="E709" s="37" t="s">
        <v>98</v>
      </c>
      <c r="F709" s="37" t="s">
        <v>196</v>
      </c>
      <c r="G709" s="37" t="s">
        <v>358</v>
      </c>
      <c r="H709" s="37" t="s">
        <v>359</v>
      </c>
      <c r="I709" s="37" t="s">
        <v>360</v>
      </c>
      <c r="J709" s="37" t="s">
        <v>962</v>
      </c>
      <c r="K709" s="45" t="n">
        <v>0</v>
      </c>
      <c r="L709" s="46" t="n">
        <v>8169.81</v>
      </c>
    </row>
    <row r="710" customFormat="false" ht="15" hidden="false" customHeight="false" outlineLevel="0" collapsed="false">
      <c r="A710" s="37" t="n">
        <v>500670</v>
      </c>
      <c r="B710" s="37" t="s">
        <v>961</v>
      </c>
      <c r="C710" s="37" t="n">
        <v>202511</v>
      </c>
      <c r="D710" s="37" t="s">
        <v>59</v>
      </c>
      <c r="E710" s="37" t="s">
        <v>103</v>
      </c>
      <c r="F710" s="37" t="s">
        <v>205</v>
      </c>
      <c r="G710" s="37" t="s">
        <v>358</v>
      </c>
      <c r="H710" s="37" t="s">
        <v>622</v>
      </c>
      <c r="I710" s="37" t="s">
        <v>623</v>
      </c>
      <c r="J710" s="37" t="s">
        <v>963</v>
      </c>
      <c r="K710" s="45" t="n">
        <v>0</v>
      </c>
      <c r="L710" s="46" t="n">
        <v>59026.31</v>
      </c>
    </row>
    <row r="711" customFormat="false" ht="15" hidden="false" customHeight="false" outlineLevel="0" collapsed="false">
      <c r="A711" s="37" t="n">
        <v>501678</v>
      </c>
      <c r="B711" s="37" t="s">
        <v>964</v>
      </c>
      <c r="C711" s="37" t="n">
        <v>202511</v>
      </c>
      <c r="D711" s="37" t="s">
        <v>63</v>
      </c>
      <c r="E711" s="37" t="s">
        <v>98</v>
      </c>
      <c r="F711" s="37" t="s">
        <v>196</v>
      </c>
      <c r="G711" s="37" t="s">
        <v>358</v>
      </c>
      <c r="H711" s="37" t="s">
        <v>359</v>
      </c>
      <c r="I711" s="37" t="s">
        <v>360</v>
      </c>
      <c r="J711" s="37" t="s">
        <v>965</v>
      </c>
      <c r="K711" s="45" t="n">
        <v>0</v>
      </c>
      <c r="L711" s="46" t="n">
        <v>1850.13</v>
      </c>
    </row>
    <row r="712" customFormat="false" ht="15" hidden="false" customHeight="false" outlineLevel="0" collapsed="false">
      <c r="A712" s="37" t="n">
        <v>500381</v>
      </c>
      <c r="B712" s="37" t="s">
        <v>966</v>
      </c>
      <c r="C712" s="37" t="n">
        <v>202511</v>
      </c>
      <c r="D712" s="37" t="s">
        <v>58</v>
      </c>
      <c r="E712" s="37" t="s">
        <v>108</v>
      </c>
      <c r="F712" s="37" t="s">
        <v>205</v>
      </c>
      <c r="G712" s="37" t="s">
        <v>358</v>
      </c>
      <c r="H712" s="37" t="s">
        <v>885</v>
      </c>
      <c r="I712" s="37" t="s">
        <v>886</v>
      </c>
      <c r="J712" s="37" t="s">
        <v>967</v>
      </c>
      <c r="K712" s="45" t="n">
        <v>0</v>
      </c>
      <c r="L712" s="46" t="n">
        <v>11966.19</v>
      </c>
    </row>
    <row r="713" customFormat="false" ht="15" hidden="false" customHeight="false" outlineLevel="0" collapsed="false">
      <c r="A713" s="37" t="n">
        <v>500382</v>
      </c>
      <c r="B713" s="37" t="s">
        <v>966</v>
      </c>
      <c r="C713" s="37" t="n">
        <v>202511</v>
      </c>
      <c r="D713" s="37" t="s">
        <v>58</v>
      </c>
      <c r="E713" s="37" t="s">
        <v>108</v>
      </c>
      <c r="F713" s="37" t="s">
        <v>205</v>
      </c>
      <c r="G713" s="37" t="s">
        <v>358</v>
      </c>
      <c r="H713" s="37" t="s">
        <v>885</v>
      </c>
      <c r="I713" s="37" t="s">
        <v>886</v>
      </c>
      <c r="J713" s="37" t="s">
        <v>968</v>
      </c>
      <c r="K713" s="45" t="n">
        <v>0</v>
      </c>
      <c r="L713" s="46" t="n">
        <v>45188.92</v>
      </c>
    </row>
    <row r="714" customFormat="false" ht="15" hidden="false" customHeight="false" outlineLevel="0" collapsed="false">
      <c r="A714" s="37" t="n">
        <v>501999</v>
      </c>
      <c r="B714" s="37" t="s">
        <v>966</v>
      </c>
      <c r="C714" s="37" t="n">
        <v>202511</v>
      </c>
      <c r="D714" s="37" t="s">
        <v>64</v>
      </c>
      <c r="E714" s="37" t="s">
        <v>103</v>
      </c>
      <c r="F714" s="37" t="s">
        <v>205</v>
      </c>
      <c r="G714" s="37" t="s">
        <v>358</v>
      </c>
      <c r="H714" s="37" t="s">
        <v>969</v>
      </c>
      <c r="I714" s="37" t="s">
        <v>898</v>
      </c>
      <c r="J714" s="37" t="s">
        <v>970</v>
      </c>
      <c r="K714" s="45" t="n">
        <v>0</v>
      </c>
      <c r="L714" s="46" t="n">
        <v>1169.97</v>
      </c>
    </row>
    <row r="715" customFormat="false" ht="15" hidden="false" customHeight="false" outlineLevel="0" collapsed="false">
      <c r="A715" s="37" t="n">
        <v>501679</v>
      </c>
      <c r="B715" s="37" t="s">
        <v>971</v>
      </c>
      <c r="C715" s="37" t="n">
        <v>202511</v>
      </c>
      <c r="D715" s="37" t="s">
        <v>63</v>
      </c>
      <c r="E715" s="37" t="s">
        <v>98</v>
      </c>
      <c r="F715" s="37" t="s">
        <v>196</v>
      </c>
      <c r="G715" s="37" t="s">
        <v>358</v>
      </c>
      <c r="H715" s="37" t="s">
        <v>359</v>
      </c>
      <c r="I715" s="37" t="s">
        <v>360</v>
      </c>
      <c r="J715" s="37" t="s">
        <v>972</v>
      </c>
      <c r="K715" s="45" t="n">
        <v>0</v>
      </c>
      <c r="L715" s="46" t="n">
        <v>2780.51</v>
      </c>
    </row>
    <row r="716" customFormat="false" ht="15" hidden="false" customHeight="false" outlineLevel="0" collapsed="false">
      <c r="A716" s="37" t="n">
        <v>501911</v>
      </c>
      <c r="B716" s="37" t="s">
        <v>971</v>
      </c>
      <c r="C716" s="37" t="n">
        <v>202511</v>
      </c>
      <c r="D716" s="37" t="s">
        <v>64</v>
      </c>
      <c r="E716" s="37" t="s">
        <v>98</v>
      </c>
      <c r="F716" s="37" t="s">
        <v>196</v>
      </c>
      <c r="G716" s="37" t="s">
        <v>358</v>
      </c>
      <c r="H716" s="37" t="s">
        <v>359</v>
      </c>
      <c r="I716" s="37" t="s">
        <v>360</v>
      </c>
      <c r="J716" s="37" t="s">
        <v>973</v>
      </c>
      <c r="K716" s="45" t="n">
        <v>0</v>
      </c>
      <c r="L716" s="46" t="n">
        <v>1663</v>
      </c>
    </row>
    <row r="717" customFormat="false" ht="15" hidden="false" customHeight="false" outlineLevel="0" collapsed="false">
      <c r="A717" s="37" t="n">
        <v>500076</v>
      </c>
      <c r="B717" s="37" t="s">
        <v>974</v>
      </c>
      <c r="C717" s="37" t="n">
        <v>202511</v>
      </c>
      <c r="D717" s="37" t="s">
        <v>58</v>
      </c>
      <c r="E717" s="37" t="s">
        <v>97</v>
      </c>
      <c r="F717" s="37" t="s">
        <v>194</v>
      </c>
      <c r="G717" s="37" t="s">
        <v>354</v>
      </c>
      <c r="H717" s="37"/>
      <c r="I717" s="37" t="s">
        <v>355</v>
      </c>
      <c r="J717" s="37" t="s">
        <v>975</v>
      </c>
      <c r="K717" s="45" t="n">
        <v>66</v>
      </c>
      <c r="L717" s="46" t="n">
        <v>6069.24</v>
      </c>
    </row>
    <row r="718" customFormat="false" ht="15" hidden="false" customHeight="false" outlineLevel="0" collapsed="false">
      <c r="A718" s="37" t="n">
        <v>500350</v>
      </c>
      <c r="B718" s="37" t="s">
        <v>974</v>
      </c>
      <c r="C718" s="37" t="n">
        <v>202511</v>
      </c>
      <c r="D718" s="37" t="s">
        <v>58</v>
      </c>
      <c r="E718" s="37" t="s">
        <v>106</v>
      </c>
      <c r="F718" s="37" t="s">
        <v>194</v>
      </c>
      <c r="G718" s="37" t="s">
        <v>354</v>
      </c>
      <c r="H718" s="37"/>
      <c r="I718" s="37" t="s">
        <v>355</v>
      </c>
      <c r="J718" s="37" t="s">
        <v>975</v>
      </c>
      <c r="K718" s="45" t="n">
        <v>168.5</v>
      </c>
      <c r="L718" s="46" t="n">
        <v>11962.34</v>
      </c>
    </row>
    <row r="719" customFormat="false" ht="15" hidden="false" customHeight="false" outlineLevel="0" collapsed="false">
      <c r="A719" s="37" t="n">
        <v>500484</v>
      </c>
      <c r="B719" s="37" t="s">
        <v>974</v>
      </c>
      <c r="C719" s="37" t="n">
        <v>202511</v>
      </c>
      <c r="D719" s="37" t="s">
        <v>59</v>
      </c>
      <c r="E719" s="37" t="s">
        <v>97</v>
      </c>
      <c r="F719" s="37" t="s">
        <v>194</v>
      </c>
      <c r="G719" s="37" t="s">
        <v>354</v>
      </c>
      <c r="H719" s="37"/>
      <c r="I719" s="37" t="s">
        <v>355</v>
      </c>
      <c r="J719" s="37" t="s">
        <v>975</v>
      </c>
      <c r="K719" s="45" t="n">
        <v>404.4</v>
      </c>
      <c r="L719" s="46" t="n">
        <v>37203.39</v>
      </c>
    </row>
    <row r="720" customFormat="false" ht="15" hidden="false" customHeight="false" outlineLevel="0" collapsed="false">
      <c r="A720" s="37" t="n">
        <v>500628</v>
      </c>
      <c r="B720" s="37" t="s">
        <v>974</v>
      </c>
      <c r="C720" s="37" t="n">
        <v>202511</v>
      </c>
      <c r="D720" s="37" t="s">
        <v>59</v>
      </c>
      <c r="E720" s="37" t="s">
        <v>101</v>
      </c>
      <c r="F720" s="37" t="s">
        <v>194</v>
      </c>
      <c r="G720" s="37" t="s">
        <v>354</v>
      </c>
      <c r="H720" s="37"/>
      <c r="I720" s="37" t="s">
        <v>355</v>
      </c>
      <c r="J720" s="37" t="s">
        <v>975</v>
      </c>
      <c r="K720" s="45" t="n">
        <v>407.5</v>
      </c>
      <c r="L720" s="46" t="n">
        <v>30152.72</v>
      </c>
    </row>
    <row r="721" customFormat="false" ht="15" hidden="false" customHeight="false" outlineLevel="0" collapsed="false">
      <c r="A721" s="37" t="n">
        <v>500686</v>
      </c>
      <c r="B721" s="37" t="s">
        <v>974</v>
      </c>
      <c r="C721" s="37" t="n">
        <v>202511</v>
      </c>
      <c r="D721" s="37" t="s">
        <v>59</v>
      </c>
      <c r="E721" s="37" t="s">
        <v>106</v>
      </c>
      <c r="F721" s="37" t="s">
        <v>194</v>
      </c>
      <c r="G721" s="37" t="s">
        <v>354</v>
      </c>
      <c r="H721" s="37"/>
      <c r="I721" s="37" t="s">
        <v>355</v>
      </c>
      <c r="J721" s="37" t="s">
        <v>975</v>
      </c>
      <c r="K721" s="45" t="n">
        <v>11.7</v>
      </c>
      <c r="L721" s="46" t="n">
        <v>833.26</v>
      </c>
    </row>
    <row r="722" customFormat="false" ht="15" hidden="false" customHeight="false" outlineLevel="0" collapsed="false">
      <c r="A722" s="37" t="n">
        <v>500813</v>
      </c>
      <c r="B722" s="37" t="s">
        <v>974</v>
      </c>
      <c r="C722" s="37" t="n">
        <v>202511</v>
      </c>
      <c r="D722" s="37" t="s">
        <v>60</v>
      </c>
      <c r="E722" s="37" t="s">
        <v>97</v>
      </c>
      <c r="F722" s="37" t="s">
        <v>194</v>
      </c>
      <c r="G722" s="37" t="s">
        <v>354</v>
      </c>
      <c r="H722" s="37"/>
      <c r="I722" s="37" t="s">
        <v>355</v>
      </c>
      <c r="J722" s="37" t="s">
        <v>975</v>
      </c>
      <c r="K722" s="45" t="n">
        <v>167.1</v>
      </c>
      <c r="L722" s="46" t="n">
        <v>15370.78</v>
      </c>
    </row>
    <row r="723" customFormat="false" ht="15" hidden="false" customHeight="false" outlineLevel="0" collapsed="false">
      <c r="A723" s="37" t="n">
        <v>500941</v>
      </c>
      <c r="B723" s="37" t="s">
        <v>974</v>
      </c>
      <c r="C723" s="37" t="n">
        <v>202511</v>
      </c>
      <c r="D723" s="37" t="s">
        <v>60</v>
      </c>
      <c r="E723" s="37" t="s">
        <v>101</v>
      </c>
      <c r="F723" s="37" t="s">
        <v>194</v>
      </c>
      <c r="G723" s="37" t="s">
        <v>354</v>
      </c>
      <c r="H723" s="37"/>
      <c r="I723" s="37" t="s">
        <v>355</v>
      </c>
      <c r="J723" s="37" t="s">
        <v>975</v>
      </c>
      <c r="K723" s="45" t="n">
        <v>1080.8</v>
      </c>
      <c r="L723" s="46" t="n">
        <v>79980.61</v>
      </c>
    </row>
    <row r="724" customFormat="false" ht="15" hidden="false" customHeight="false" outlineLevel="0" collapsed="false">
      <c r="A724" s="37" t="n">
        <v>501120</v>
      </c>
      <c r="B724" s="37" t="s">
        <v>974</v>
      </c>
      <c r="C724" s="37" t="n">
        <v>202511</v>
      </c>
      <c r="D724" s="37" t="s">
        <v>61</v>
      </c>
      <c r="E724" s="37" t="s">
        <v>97</v>
      </c>
      <c r="F724" s="37" t="s">
        <v>194</v>
      </c>
      <c r="G724" s="37" t="s">
        <v>354</v>
      </c>
      <c r="H724" s="37"/>
      <c r="I724" s="37" t="s">
        <v>355</v>
      </c>
      <c r="J724" s="37" t="s">
        <v>975</v>
      </c>
      <c r="K724" s="45" t="n">
        <v>312.7</v>
      </c>
      <c r="L724" s="46" t="n">
        <v>28765.8</v>
      </c>
    </row>
    <row r="725" customFormat="false" ht="15" hidden="false" customHeight="false" outlineLevel="0" collapsed="false">
      <c r="A725" s="37" t="n">
        <v>501234</v>
      </c>
      <c r="B725" s="37" t="s">
        <v>974</v>
      </c>
      <c r="C725" s="37" t="n">
        <v>202511</v>
      </c>
      <c r="D725" s="37" t="s">
        <v>61</v>
      </c>
      <c r="E725" s="37" t="s">
        <v>101</v>
      </c>
      <c r="F725" s="37" t="s">
        <v>194</v>
      </c>
      <c r="G725" s="37" t="s">
        <v>354</v>
      </c>
      <c r="H725" s="37"/>
      <c r="I725" s="37" t="s">
        <v>355</v>
      </c>
      <c r="J725" s="37" t="s">
        <v>975</v>
      </c>
      <c r="K725" s="45" t="n">
        <v>613.4</v>
      </c>
      <c r="L725" s="46" t="n">
        <v>45391.85</v>
      </c>
    </row>
    <row r="726" customFormat="false" ht="15" hidden="false" customHeight="false" outlineLevel="0" collapsed="false">
      <c r="A726" s="37" t="n">
        <v>501381</v>
      </c>
      <c r="B726" s="37" t="s">
        <v>974</v>
      </c>
      <c r="C726" s="37" t="n">
        <v>202511</v>
      </c>
      <c r="D726" s="37" t="s">
        <v>62</v>
      </c>
      <c r="E726" s="37" t="s">
        <v>97</v>
      </c>
      <c r="F726" s="37" t="s">
        <v>194</v>
      </c>
      <c r="G726" s="37" t="s">
        <v>354</v>
      </c>
      <c r="H726" s="37"/>
      <c r="I726" s="37" t="s">
        <v>355</v>
      </c>
      <c r="J726" s="37" t="s">
        <v>975</v>
      </c>
      <c r="K726" s="45" t="n">
        <v>218.9</v>
      </c>
      <c r="L726" s="46" t="n">
        <v>20138.49</v>
      </c>
    </row>
    <row r="727" customFormat="false" ht="15" hidden="false" customHeight="false" outlineLevel="0" collapsed="false">
      <c r="A727" s="37" t="n">
        <v>501485</v>
      </c>
      <c r="B727" s="37" t="s">
        <v>974</v>
      </c>
      <c r="C727" s="37" t="n">
        <v>202511</v>
      </c>
      <c r="D727" s="37" t="s">
        <v>62</v>
      </c>
      <c r="E727" s="37" t="s">
        <v>101</v>
      </c>
      <c r="F727" s="37" t="s">
        <v>194</v>
      </c>
      <c r="G727" s="37" t="s">
        <v>354</v>
      </c>
      <c r="H727" s="37"/>
      <c r="I727" s="37" t="s">
        <v>355</v>
      </c>
      <c r="J727" s="37" t="s">
        <v>975</v>
      </c>
      <c r="K727" s="45" t="n">
        <v>159.6</v>
      </c>
      <c r="L727" s="46" t="n">
        <v>11810.41</v>
      </c>
    </row>
    <row r="728" customFormat="false" ht="15" hidden="false" customHeight="false" outlineLevel="0" collapsed="false">
      <c r="A728" s="37" t="n">
        <v>501627</v>
      </c>
      <c r="B728" s="37" t="s">
        <v>974</v>
      </c>
      <c r="C728" s="37" t="n">
        <v>202511</v>
      </c>
      <c r="D728" s="37" t="s">
        <v>63</v>
      </c>
      <c r="E728" s="37" t="s">
        <v>97</v>
      </c>
      <c r="F728" s="37" t="s">
        <v>194</v>
      </c>
      <c r="G728" s="37" t="s">
        <v>354</v>
      </c>
      <c r="H728" s="37"/>
      <c r="I728" s="37" t="s">
        <v>355</v>
      </c>
      <c r="J728" s="37" t="s">
        <v>975</v>
      </c>
      <c r="K728" s="45" t="n">
        <v>93.4</v>
      </c>
      <c r="L728" s="46" t="n">
        <v>8595.15</v>
      </c>
    </row>
    <row r="729" customFormat="false" ht="15" hidden="false" customHeight="false" outlineLevel="0" collapsed="false">
      <c r="A729" s="37" t="n">
        <v>501731</v>
      </c>
      <c r="B729" s="37" t="s">
        <v>974</v>
      </c>
      <c r="C729" s="37" t="n">
        <v>202511</v>
      </c>
      <c r="D729" s="37" t="s">
        <v>63</v>
      </c>
      <c r="E729" s="37" t="s">
        <v>101</v>
      </c>
      <c r="F729" s="37" t="s">
        <v>194</v>
      </c>
      <c r="G729" s="37" t="s">
        <v>354</v>
      </c>
      <c r="H729" s="37"/>
      <c r="I729" s="37" t="s">
        <v>355</v>
      </c>
      <c r="J729" s="37" t="s">
        <v>975</v>
      </c>
      <c r="K729" s="45" t="n">
        <v>252</v>
      </c>
      <c r="L729" s="46" t="n">
        <v>18651.57</v>
      </c>
    </row>
    <row r="730" customFormat="false" ht="15" hidden="false" customHeight="false" outlineLevel="0" collapsed="false">
      <c r="A730" s="37" t="n">
        <v>501861</v>
      </c>
      <c r="B730" s="37" t="s">
        <v>974</v>
      </c>
      <c r="C730" s="37" t="n">
        <v>202511</v>
      </c>
      <c r="D730" s="37" t="s">
        <v>64</v>
      </c>
      <c r="E730" s="37" t="s">
        <v>97</v>
      </c>
      <c r="F730" s="37" t="s">
        <v>194</v>
      </c>
      <c r="G730" s="37" t="s">
        <v>354</v>
      </c>
      <c r="H730" s="37"/>
      <c r="I730" s="37" t="s">
        <v>355</v>
      </c>
      <c r="J730" s="37" t="s">
        <v>975</v>
      </c>
      <c r="K730" s="45" t="n">
        <v>46.2</v>
      </c>
      <c r="L730" s="46" t="n">
        <v>4247.58</v>
      </c>
    </row>
    <row r="731" customFormat="false" ht="15" hidden="false" customHeight="false" outlineLevel="0" collapsed="false">
      <c r="A731" s="37" t="n">
        <v>501951</v>
      </c>
      <c r="B731" s="37" t="s">
        <v>974</v>
      </c>
      <c r="C731" s="37" t="n">
        <v>202511</v>
      </c>
      <c r="D731" s="37" t="s">
        <v>64</v>
      </c>
      <c r="E731" s="37" t="s">
        <v>101</v>
      </c>
      <c r="F731" s="37" t="s">
        <v>194</v>
      </c>
      <c r="G731" s="37" t="s">
        <v>354</v>
      </c>
      <c r="H731" s="37"/>
      <c r="I731" s="37" t="s">
        <v>355</v>
      </c>
      <c r="J731" s="37" t="s">
        <v>975</v>
      </c>
      <c r="K731" s="45" t="n">
        <v>105.6</v>
      </c>
      <c r="L731" s="46" t="n">
        <v>7817.65</v>
      </c>
    </row>
    <row r="732" customFormat="false" ht="15" hidden="false" customHeight="false" outlineLevel="0" collapsed="false">
      <c r="A732" s="37" t="n">
        <v>502077</v>
      </c>
      <c r="B732" s="37" t="s">
        <v>974</v>
      </c>
      <c r="C732" s="37" t="n">
        <v>202511</v>
      </c>
      <c r="D732" s="37" t="s">
        <v>65</v>
      </c>
      <c r="E732" s="37" t="s">
        <v>97</v>
      </c>
      <c r="F732" s="37" t="s">
        <v>194</v>
      </c>
      <c r="G732" s="37" t="s">
        <v>354</v>
      </c>
      <c r="H732" s="37"/>
      <c r="I732" s="37" t="s">
        <v>355</v>
      </c>
      <c r="J732" s="37" t="s">
        <v>975</v>
      </c>
      <c r="K732" s="45" t="n">
        <v>69.4</v>
      </c>
      <c r="L732" s="46" t="n">
        <v>6389.27</v>
      </c>
    </row>
    <row r="733" customFormat="false" ht="15" hidden="false" customHeight="false" outlineLevel="0" collapsed="false">
      <c r="A733" s="37" t="n">
        <v>500153</v>
      </c>
      <c r="B733" s="37" t="s">
        <v>976</v>
      </c>
      <c r="C733" s="37" t="n">
        <v>202511</v>
      </c>
      <c r="D733" s="37" t="s">
        <v>58</v>
      </c>
      <c r="E733" s="37" t="s">
        <v>98</v>
      </c>
      <c r="F733" s="37" t="s">
        <v>196</v>
      </c>
      <c r="G733" s="37" t="s">
        <v>358</v>
      </c>
      <c r="H733" s="37" t="s">
        <v>359</v>
      </c>
      <c r="I733" s="37" t="s">
        <v>360</v>
      </c>
      <c r="J733" s="37" t="s">
        <v>977</v>
      </c>
      <c r="K733" s="45" t="n">
        <v>0</v>
      </c>
      <c r="L733" s="46" t="n">
        <v>5741.04</v>
      </c>
    </row>
    <row r="734" customFormat="false" ht="15" hidden="false" customHeight="false" outlineLevel="0" collapsed="false">
      <c r="A734" s="37" t="n">
        <v>501433</v>
      </c>
      <c r="B734" s="37" t="s">
        <v>976</v>
      </c>
      <c r="C734" s="37" t="n">
        <v>202511</v>
      </c>
      <c r="D734" s="37" t="s">
        <v>62</v>
      </c>
      <c r="E734" s="37" t="s">
        <v>98</v>
      </c>
      <c r="F734" s="37" t="s">
        <v>196</v>
      </c>
      <c r="G734" s="37" t="s">
        <v>358</v>
      </c>
      <c r="H734" s="37" t="s">
        <v>359</v>
      </c>
      <c r="I734" s="37" t="s">
        <v>360</v>
      </c>
      <c r="J734" s="37" t="s">
        <v>978</v>
      </c>
      <c r="K734" s="45" t="n">
        <v>0</v>
      </c>
      <c r="L734" s="46" t="n">
        <v>11778.01</v>
      </c>
    </row>
    <row r="735" customFormat="false" ht="15" hidden="false" customHeight="false" outlineLevel="0" collapsed="false">
      <c r="A735" s="37" t="n">
        <v>501432</v>
      </c>
      <c r="B735" s="37" t="s">
        <v>979</v>
      </c>
      <c r="C735" s="37" t="n">
        <v>202511</v>
      </c>
      <c r="D735" s="37" t="s">
        <v>62</v>
      </c>
      <c r="E735" s="37" t="s">
        <v>98</v>
      </c>
      <c r="F735" s="37" t="s">
        <v>196</v>
      </c>
      <c r="G735" s="37" t="s">
        <v>358</v>
      </c>
      <c r="H735" s="37" t="s">
        <v>359</v>
      </c>
      <c r="I735" s="37" t="s">
        <v>360</v>
      </c>
      <c r="J735" s="37" t="s">
        <v>980</v>
      </c>
      <c r="K735" s="45" t="n">
        <v>0</v>
      </c>
      <c r="L735" s="46" t="n">
        <v>2379.29</v>
      </c>
    </row>
    <row r="736" customFormat="false" ht="15" hidden="false" customHeight="false" outlineLevel="0" collapsed="false">
      <c r="A736" s="37" t="n">
        <v>501753</v>
      </c>
      <c r="B736" s="37" t="s">
        <v>979</v>
      </c>
      <c r="C736" s="37" t="n">
        <v>202511</v>
      </c>
      <c r="D736" s="37" t="s">
        <v>63</v>
      </c>
      <c r="E736" s="37" t="s">
        <v>102</v>
      </c>
      <c r="F736" s="37" t="s">
        <v>205</v>
      </c>
      <c r="G736" s="37" t="s">
        <v>358</v>
      </c>
      <c r="H736" s="37" t="s">
        <v>891</v>
      </c>
      <c r="I736" s="37" t="s">
        <v>892</v>
      </c>
      <c r="J736" s="37" t="s">
        <v>981</v>
      </c>
      <c r="K736" s="45" t="n">
        <v>0</v>
      </c>
      <c r="L736" s="46" t="n">
        <v>11048.52</v>
      </c>
    </row>
    <row r="737" customFormat="false" ht="15" hidden="false" customHeight="false" outlineLevel="0" collapsed="false">
      <c r="A737" s="37" t="n">
        <v>500652</v>
      </c>
      <c r="B737" s="37" t="s">
        <v>982</v>
      </c>
      <c r="C737" s="37" t="n">
        <v>202511</v>
      </c>
      <c r="D737" s="37" t="s">
        <v>59</v>
      </c>
      <c r="E737" s="37" t="s">
        <v>102</v>
      </c>
      <c r="F737" s="37" t="s">
        <v>205</v>
      </c>
      <c r="G737" s="37" t="s">
        <v>358</v>
      </c>
      <c r="H737" s="37" t="s">
        <v>591</v>
      </c>
      <c r="I737" s="37" t="s">
        <v>592</v>
      </c>
      <c r="J737" s="37" t="s">
        <v>983</v>
      </c>
      <c r="K737" s="45" t="n">
        <v>0</v>
      </c>
      <c r="L737" s="46" t="n">
        <v>69401.97</v>
      </c>
    </row>
    <row r="738" customFormat="false" ht="15" hidden="false" customHeight="false" outlineLevel="0" collapsed="false">
      <c r="A738" s="37" t="n">
        <v>500986</v>
      </c>
      <c r="B738" s="37" t="s">
        <v>982</v>
      </c>
      <c r="C738" s="37" t="n">
        <v>202511</v>
      </c>
      <c r="D738" s="37" t="s">
        <v>60</v>
      </c>
      <c r="E738" s="37" t="s">
        <v>103</v>
      </c>
      <c r="F738" s="37" t="s">
        <v>205</v>
      </c>
      <c r="G738" s="37" t="s">
        <v>358</v>
      </c>
      <c r="H738" s="37" t="s">
        <v>727</v>
      </c>
      <c r="I738" s="37" t="s">
        <v>728</v>
      </c>
      <c r="J738" s="37" t="s">
        <v>984</v>
      </c>
      <c r="K738" s="45" t="n">
        <v>0</v>
      </c>
      <c r="L738" s="46" t="n">
        <v>91803.31</v>
      </c>
    </row>
    <row r="739" customFormat="false" ht="15" hidden="false" customHeight="false" outlineLevel="0" collapsed="false">
      <c r="A739" s="37" t="n">
        <v>501998</v>
      </c>
      <c r="B739" s="37" t="s">
        <v>982</v>
      </c>
      <c r="C739" s="37" t="n">
        <v>202511</v>
      </c>
      <c r="D739" s="37" t="s">
        <v>64</v>
      </c>
      <c r="E739" s="37" t="s">
        <v>103</v>
      </c>
      <c r="F739" s="37" t="s">
        <v>205</v>
      </c>
      <c r="G739" s="37" t="s">
        <v>358</v>
      </c>
      <c r="H739" s="37" t="s">
        <v>969</v>
      </c>
      <c r="I739" s="37" t="s">
        <v>898</v>
      </c>
      <c r="J739" s="37" t="s">
        <v>985</v>
      </c>
      <c r="K739" s="45" t="n">
        <v>0</v>
      </c>
      <c r="L739" s="46" t="n">
        <v>355.22</v>
      </c>
    </row>
    <row r="740" customFormat="false" ht="15" hidden="false" customHeight="false" outlineLevel="0" collapsed="false">
      <c r="A740" s="37" t="n">
        <v>501535</v>
      </c>
      <c r="B740" s="37" t="s">
        <v>986</v>
      </c>
      <c r="C740" s="37" t="n">
        <v>202511</v>
      </c>
      <c r="D740" s="37" t="s">
        <v>62</v>
      </c>
      <c r="E740" s="37" t="s">
        <v>103</v>
      </c>
      <c r="F740" s="37" t="s">
        <v>205</v>
      </c>
      <c r="G740" s="37" t="s">
        <v>358</v>
      </c>
      <c r="H740" s="37" t="s">
        <v>897</v>
      </c>
      <c r="I740" s="37" t="s">
        <v>898</v>
      </c>
      <c r="J740" s="37" t="s">
        <v>987</v>
      </c>
      <c r="K740" s="45" t="n">
        <v>0</v>
      </c>
      <c r="L740" s="46" t="n">
        <v>50501.94</v>
      </c>
    </row>
    <row r="741" customFormat="false" ht="15" hidden="false" customHeight="false" outlineLevel="0" collapsed="false">
      <c r="A741" s="37" t="n">
        <v>501768</v>
      </c>
      <c r="B741" s="37" t="s">
        <v>986</v>
      </c>
      <c r="C741" s="37" t="n">
        <v>202511</v>
      </c>
      <c r="D741" s="37" t="s">
        <v>63</v>
      </c>
      <c r="E741" s="37" t="s">
        <v>103</v>
      </c>
      <c r="F741" s="37" t="s">
        <v>205</v>
      </c>
      <c r="G741" s="37" t="s">
        <v>358</v>
      </c>
      <c r="H741" s="37" t="s">
        <v>921</v>
      </c>
      <c r="I741" s="37" t="s">
        <v>728</v>
      </c>
      <c r="J741" s="37" t="s">
        <v>988</v>
      </c>
      <c r="K741" s="45" t="n">
        <v>0</v>
      </c>
      <c r="L741" s="46" t="n">
        <v>43462.12</v>
      </c>
    </row>
    <row r="742" customFormat="false" ht="15" hidden="false" customHeight="false" outlineLevel="0" collapsed="false">
      <c r="A742" s="37" t="n">
        <v>501519</v>
      </c>
      <c r="B742" s="37" t="s">
        <v>989</v>
      </c>
      <c r="C742" s="37" t="n">
        <v>202511</v>
      </c>
      <c r="D742" s="37" t="s">
        <v>62</v>
      </c>
      <c r="E742" s="37" t="s">
        <v>102</v>
      </c>
      <c r="F742" s="37" t="s">
        <v>205</v>
      </c>
      <c r="G742" s="37" t="s">
        <v>358</v>
      </c>
      <c r="H742" s="37" t="s">
        <v>810</v>
      </c>
      <c r="I742" s="37" t="s">
        <v>811</v>
      </c>
      <c r="J742" s="37" t="s">
        <v>990</v>
      </c>
      <c r="K742" s="45" t="n">
        <v>0</v>
      </c>
      <c r="L742" s="46" t="n">
        <v>72289.57</v>
      </c>
    </row>
    <row r="743" customFormat="false" ht="15" hidden="false" customHeight="false" outlineLevel="0" collapsed="false">
      <c r="A743" s="37" t="n">
        <v>502123</v>
      </c>
      <c r="B743" s="37" t="s">
        <v>991</v>
      </c>
      <c r="C743" s="37" t="n">
        <v>202511</v>
      </c>
      <c r="D743" s="37" t="s">
        <v>65</v>
      </c>
      <c r="E743" s="37" t="s">
        <v>98</v>
      </c>
      <c r="F743" s="37" t="s">
        <v>196</v>
      </c>
      <c r="G743" s="37" t="s">
        <v>358</v>
      </c>
      <c r="H743" s="37" t="s">
        <v>359</v>
      </c>
      <c r="I743" s="37" t="s">
        <v>360</v>
      </c>
      <c r="J743" s="37" t="s">
        <v>992</v>
      </c>
      <c r="K743" s="45" t="n">
        <v>0</v>
      </c>
      <c r="L743" s="46" t="n">
        <v>8363.11</v>
      </c>
    </row>
    <row r="744" customFormat="false" ht="15" hidden="false" customHeight="false" outlineLevel="0" collapsed="false">
      <c r="A744" s="37" t="n">
        <v>500077</v>
      </c>
      <c r="B744" s="37" t="s">
        <v>993</v>
      </c>
      <c r="C744" s="37" t="n">
        <v>202511</v>
      </c>
      <c r="D744" s="37" t="s">
        <v>58</v>
      </c>
      <c r="E744" s="37" t="s">
        <v>97</v>
      </c>
      <c r="F744" s="37" t="s">
        <v>194</v>
      </c>
      <c r="G744" s="37" t="s">
        <v>354</v>
      </c>
      <c r="H744" s="37"/>
      <c r="I744" s="37" t="s">
        <v>355</v>
      </c>
      <c r="J744" s="37" t="s">
        <v>994</v>
      </c>
      <c r="K744" s="45" t="n">
        <v>195</v>
      </c>
      <c r="L744" s="46" t="n">
        <v>17939.85</v>
      </c>
    </row>
    <row r="745" customFormat="false" ht="15" hidden="false" customHeight="false" outlineLevel="0" collapsed="false">
      <c r="A745" s="37" t="n">
        <v>500351</v>
      </c>
      <c r="B745" s="37" t="s">
        <v>993</v>
      </c>
      <c r="C745" s="37" t="n">
        <v>202511</v>
      </c>
      <c r="D745" s="37" t="s">
        <v>58</v>
      </c>
      <c r="E745" s="37" t="s">
        <v>106</v>
      </c>
      <c r="F745" s="37" t="s">
        <v>194</v>
      </c>
      <c r="G745" s="37" t="s">
        <v>354</v>
      </c>
      <c r="H745" s="37"/>
      <c r="I745" s="37" t="s">
        <v>355</v>
      </c>
      <c r="J745" s="37" t="s">
        <v>994</v>
      </c>
      <c r="K745" s="45" t="n">
        <v>422.3</v>
      </c>
      <c r="L745" s="46" t="n">
        <v>29982.89</v>
      </c>
    </row>
    <row r="746" customFormat="false" ht="15" hidden="false" customHeight="false" outlineLevel="0" collapsed="false">
      <c r="A746" s="37" t="n">
        <v>500485</v>
      </c>
      <c r="B746" s="37" t="s">
        <v>993</v>
      </c>
      <c r="C746" s="37" t="n">
        <v>202511</v>
      </c>
      <c r="D746" s="37" t="s">
        <v>59</v>
      </c>
      <c r="E746" s="37" t="s">
        <v>97</v>
      </c>
      <c r="F746" s="37" t="s">
        <v>194</v>
      </c>
      <c r="G746" s="37" t="s">
        <v>354</v>
      </c>
      <c r="H746" s="37"/>
      <c r="I746" s="37" t="s">
        <v>355</v>
      </c>
      <c r="J746" s="37" t="s">
        <v>994</v>
      </c>
      <c r="K746" s="45" t="n">
        <v>397.1</v>
      </c>
      <c r="L746" s="46" t="n">
        <v>36536.18</v>
      </c>
    </row>
    <row r="747" customFormat="false" ht="15" hidden="false" customHeight="false" outlineLevel="0" collapsed="false">
      <c r="A747" s="37" t="n">
        <v>500629</v>
      </c>
      <c r="B747" s="37" t="s">
        <v>993</v>
      </c>
      <c r="C747" s="37" t="n">
        <v>202511</v>
      </c>
      <c r="D747" s="37" t="s">
        <v>59</v>
      </c>
      <c r="E747" s="37" t="s">
        <v>101</v>
      </c>
      <c r="F747" s="37" t="s">
        <v>194</v>
      </c>
      <c r="G747" s="37" t="s">
        <v>354</v>
      </c>
      <c r="H747" s="37"/>
      <c r="I747" s="37" t="s">
        <v>355</v>
      </c>
      <c r="J747" s="37" t="s">
        <v>994</v>
      </c>
      <c r="K747" s="45" t="n">
        <v>93.6</v>
      </c>
      <c r="L747" s="46" t="n">
        <v>6923.1</v>
      </c>
    </row>
    <row r="748" customFormat="false" ht="15" hidden="false" customHeight="false" outlineLevel="0" collapsed="false">
      <c r="A748" s="37" t="n">
        <v>500687</v>
      </c>
      <c r="B748" s="37" t="s">
        <v>993</v>
      </c>
      <c r="C748" s="37" t="n">
        <v>202511</v>
      </c>
      <c r="D748" s="37" t="s">
        <v>59</v>
      </c>
      <c r="E748" s="37" t="s">
        <v>106</v>
      </c>
      <c r="F748" s="37" t="s">
        <v>194</v>
      </c>
      <c r="G748" s="37" t="s">
        <v>354</v>
      </c>
      <c r="H748" s="37"/>
      <c r="I748" s="37" t="s">
        <v>355</v>
      </c>
      <c r="J748" s="37" t="s">
        <v>994</v>
      </c>
      <c r="K748" s="45" t="n">
        <v>5.8</v>
      </c>
      <c r="L748" s="46" t="n">
        <v>409.93</v>
      </c>
    </row>
    <row r="749" customFormat="false" ht="15" hidden="false" customHeight="false" outlineLevel="0" collapsed="false">
      <c r="A749" s="37" t="n">
        <v>500814</v>
      </c>
      <c r="B749" s="37" t="s">
        <v>993</v>
      </c>
      <c r="C749" s="37" t="n">
        <v>202511</v>
      </c>
      <c r="D749" s="37" t="s">
        <v>60</v>
      </c>
      <c r="E749" s="37" t="s">
        <v>97</v>
      </c>
      <c r="F749" s="37" t="s">
        <v>194</v>
      </c>
      <c r="G749" s="37" t="s">
        <v>354</v>
      </c>
      <c r="H749" s="37"/>
      <c r="I749" s="37" t="s">
        <v>355</v>
      </c>
      <c r="J749" s="37" t="s">
        <v>994</v>
      </c>
      <c r="K749" s="45" t="n">
        <v>324</v>
      </c>
      <c r="L749" s="46" t="n">
        <v>29811.25</v>
      </c>
    </row>
    <row r="750" customFormat="false" ht="15" hidden="false" customHeight="false" outlineLevel="0" collapsed="false">
      <c r="A750" s="37" t="n">
        <v>500942</v>
      </c>
      <c r="B750" s="37" t="s">
        <v>993</v>
      </c>
      <c r="C750" s="37" t="n">
        <v>202511</v>
      </c>
      <c r="D750" s="37" t="s">
        <v>60</v>
      </c>
      <c r="E750" s="37" t="s">
        <v>101</v>
      </c>
      <c r="F750" s="37" t="s">
        <v>194</v>
      </c>
      <c r="G750" s="37" t="s">
        <v>354</v>
      </c>
      <c r="H750" s="37"/>
      <c r="I750" s="37" t="s">
        <v>355</v>
      </c>
      <c r="J750" s="37" t="s">
        <v>994</v>
      </c>
      <c r="K750" s="45" t="n">
        <v>324.6</v>
      </c>
      <c r="L750" s="46" t="n">
        <v>24018.03</v>
      </c>
    </row>
    <row r="751" customFormat="false" ht="15" hidden="false" customHeight="false" outlineLevel="0" collapsed="false">
      <c r="A751" s="37" t="n">
        <v>500987</v>
      </c>
      <c r="B751" s="37" t="s">
        <v>993</v>
      </c>
      <c r="C751" s="37" t="n">
        <v>202511</v>
      </c>
      <c r="D751" s="37" t="s">
        <v>60</v>
      </c>
      <c r="E751" s="37" t="s">
        <v>103</v>
      </c>
      <c r="F751" s="37" t="s">
        <v>205</v>
      </c>
      <c r="G751" s="37" t="s">
        <v>358</v>
      </c>
      <c r="H751" s="37" t="s">
        <v>727</v>
      </c>
      <c r="I751" s="37" t="s">
        <v>728</v>
      </c>
      <c r="J751" s="37" t="s">
        <v>995</v>
      </c>
      <c r="K751" s="45" t="n">
        <v>0</v>
      </c>
      <c r="L751" s="46" t="n">
        <v>100878.21</v>
      </c>
    </row>
    <row r="752" customFormat="false" ht="15" hidden="false" customHeight="false" outlineLevel="0" collapsed="false">
      <c r="A752" s="37" t="n">
        <v>501121</v>
      </c>
      <c r="B752" s="37" t="s">
        <v>993</v>
      </c>
      <c r="C752" s="37" t="n">
        <v>202511</v>
      </c>
      <c r="D752" s="37" t="s">
        <v>61</v>
      </c>
      <c r="E752" s="37" t="s">
        <v>97</v>
      </c>
      <c r="F752" s="37" t="s">
        <v>194</v>
      </c>
      <c r="G752" s="37" t="s">
        <v>354</v>
      </c>
      <c r="H752" s="37"/>
      <c r="I752" s="37" t="s">
        <v>355</v>
      </c>
      <c r="J752" s="37" t="s">
        <v>994</v>
      </c>
      <c r="K752" s="45" t="n">
        <v>251.1</v>
      </c>
      <c r="L752" s="46" t="n">
        <v>23102.07</v>
      </c>
    </row>
    <row r="753" customFormat="false" ht="15" hidden="false" customHeight="false" outlineLevel="0" collapsed="false">
      <c r="A753" s="37" t="n">
        <v>501235</v>
      </c>
      <c r="B753" s="37" t="s">
        <v>993</v>
      </c>
      <c r="C753" s="37" t="n">
        <v>202511</v>
      </c>
      <c r="D753" s="37" t="s">
        <v>61</v>
      </c>
      <c r="E753" s="37" t="s">
        <v>101</v>
      </c>
      <c r="F753" s="37" t="s">
        <v>194</v>
      </c>
      <c r="G753" s="37" t="s">
        <v>354</v>
      </c>
      <c r="H753" s="37"/>
      <c r="I753" s="37" t="s">
        <v>355</v>
      </c>
      <c r="J753" s="37" t="s">
        <v>994</v>
      </c>
      <c r="K753" s="45" t="n">
        <v>467.6</v>
      </c>
      <c r="L753" s="46" t="n">
        <v>34600.32</v>
      </c>
    </row>
    <row r="754" customFormat="false" ht="15" hidden="false" customHeight="false" outlineLevel="0" collapsed="false">
      <c r="A754" s="37" t="n">
        <v>501256</v>
      </c>
      <c r="B754" s="37" t="s">
        <v>993</v>
      </c>
      <c r="C754" s="37" t="n">
        <v>202511</v>
      </c>
      <c r="D754" s="37" t="s">
        <v>61</v>
      </c>
      <c r="E754" s="37" t="s">
        <v>102</v>
      </c>
      <c r="F754" s="37" t="s">
        <v>205</v>
      </c>
      <c r="G754" s="37" t="s">
        <v>358</v>
      </c>
      <c r="H754" s="37" t="s">
        <v>714</v>
      </c>
      <c r="I754" s="37" t="s">
        <v>715</v>
      </c>
      <c r="J754" s="37" t="s">
        <v>996</v>
      </c>
      <c r="K754" s="45" t="n">
        <v>0</v>
      </c>
      <c r="L754" s="46" t="n">
        <v>108374.58</v>
      </c>
    </row>
    <row r="755" customFormat="false" ht="15" hidden="false" customHeight="false" outlineLevel="0" collapsed="false">
      <c r="A755" s="37" t="n">
        <v>501382</v>
      </c>
      <c r="B755" s="37" t="s">
        <v>993</v>
      </c>
      <c r="C755" s="37" t="n">
        <v>202511</v>
      </c>
      <c r="D755" s="37" t="s">
        <v>62</v>
      </c>
      <c r="E755" s="37" t="s">
        <v>97</v>
      </c>
      <c r="F755" s="37" t="s">
        <v>194</v>
      </c>
      <c r="G755" s="37" t="s">
        <v>354</v>
      </c>
      <c r="H755" s="37"/>
      <c r="I755" s="37" t="s">
        <v>355</v>
      </c>
      <c r="J755" s="37" t="s">
        <v>994</v>
      </c>
      <c r="K755" s="45" t="n">
        <v>136.3</v>
      </c>
      <c r="L755" s="46" t="n">
        <v>12537.02</v>
      </c>
    </row>
    <row r="756" customFormat="false" ht="15" hidden="false" customHeight="false" outlineLevel="0" collapsed="false">
      <c r="A756" s="37" t="n">
        <v>501486</v>
      </c>
      <c r="B756" s="37" t="s">
        <v>993</v>
      </c>
      <c r="C756" s="37" t="n">
        <v>202511</v>
      </c>
      <c r="D756" s="37" t="s">
        <v>62</v>
      </c>
      <c r="E756" s="37" t="s">
        <v>101</v>
      </c>
      <c r="F756" s="37" t="s">
        <v>194</v>
      </c>
      <c r="G756" s="37" t="s">
        <v>354</v>
      </c>
      <c r="H756" s="37"/>
      <c r="I756" s="37" t="s">
        <v>355</v>
      </c>
      <c r="J756" s="37" t="s">
        <v>994</v>
      </c>
      <c r="K756" s="45" t="n">
        <v>471.3</v>
      </c>
      <c r="L756" s="46" t="n">
        <v>34878.78</v>
      </c>
    </row>
    <row r="757" customFormat="false" ht="15" hidden="false" customHeight="false" outlineLevel="0" collapsed="false">
      <c r="A757" s="37" t="n">
        <v>501536</v>
      </c>
      <c r="B757" s="37" t="s">
        <v>993</v>
      </c>
      <c r="C757" s="37" t="n">
        <v>202511</v>
      </c>
      <c r="D757" s="37" t="s">
        <v>62</v>
      </c>
      <c r="E757" s="37" t="s">
        <v>103</v>
      </c>
      <c r="F757" s="37" t="s">
        <v>205</v>
      </c>
      <c r="G757" s="37" t="s">
        <v>358</v>
      </c>
      <c r="H757" s="37" t="s">
        <v>897</v>
      </c>
      <c r="I757" s="37" t="s">
        <v>898</v>
      </c>
      <c r="J757" s="37" t="s">
        <v>997</v>
      </c>
      <c r="K757" s="45" t="n">
        <v>0</v>
      </c>
      <c r="L757" s="46" t="n">
        <v>36374.09</v>
      </c>
    </row>
    <row r="758" customFormat="false" ht="15" hidden="false" customHeight="false" outlineLevel="0" collapsed="false">
      <c r="A758" s="37" t="n">
        <v>501628</v>
      </c>
      <c r="B758" s="37" t="s">
        <v>993</v>
      </c>
      <c r="C758" s="37" t="n">
        <v>202511</v>
      </c>
      <c r="D758" s="37" t="s">
        <v>63</v>
      </c>
      <c r="E758" s="37" t="s">
        <v>97</v>
      </c>
      <c r="F758" s="37" t="s">
        <v>194</v>
      </c>
      <c r="G758" s="37" t="s">
        <v>354</v>
      </c>
      <c r="H758" s="37"/>
      <c r="I758" s="37" t="s">
        <v>355</v>
      </c>
      <c r="J758" s="37" t="s">
        <v>994</v>
      </c>
      <c r="K758" s="45" t="n">
        <v>59.1</v>
      </c>
      <c r="L758" s="46" t="n">
        <v>5436.59</v>
      </c>
    </row>
    <row r="759" customFormat="false" ht="15" hidden="false" customHeight="false" outlineLevel="0" collapsed="false">
      <c r="A759" s="37" t="n">
        <v>501732</v>
      </c>
      <c r="B759" s="37" t="s">
        <v>993</v>
      </c>
      <c r="C759" s="37" t="n">
        <v>202511</v>
      </c>
      <c r="D759" s="37" t="s">
        <v>63</v>
      </c>
      <c r="E759" s="37" t="s">
        <v>101</v>
      </c>
      <c r="F759" s="37" t="s">
        <v>194</v>
      </c>
      <c r="G759" s="37" t="s">
        <v>354</v>
      </c>
      <c r="H759" s="37"/>
      <c r="I759" s="37" t="s">
        <v>355</v>
      </c>
      <c r="J759" s="37" t="s">
        <v>994</v>
      </c>
      <c r="K759" s="45" t="n">
        <v>177.9</v>
      </c>
      <c r="L759" s="46" t="n">
        <v>13161.87</v>
      </c>
    </row>
    <row r="760" customFormat="false" ht="15" hidden="false" customHeight="false" outlineLevel="0" collapsed="false">
      <c r="A760" s="37" t="n">
        <v>501862</v>
      </c>
      <c r="B760" s="37" t="s">
        <v>993</v>
      </c>
      <c r="C760" s="37" t="n">
        <v>202511</v>
      </c>
      <c r="D760" s="37" t="s">
        <v>64</v>
      </c>
      <c r="E760" s="37" t="s">
        <v>97</v>
      </c>
      <c r="F760" s="37" t="s">
        <v>194</v>
      </c>
      <c r="G760" s="37" t="s">
        <v>354</v>
      </c>
      <c r="H760" s="37"/>
      <c r="I760" s="37" t="s">
        <v>355</v>
      </c>
      <c r="J760" s="37" t="s">
        <v>994</v>
      </c>
      <c r="K760" s="45" t="n">
        <v>85</v>
      </c>
      <c r="L760" s="46" t="n">
        <v>7823.24</v>
      </c>
    </row>
    <row r="761" customFormat="false" ht="15" hidden="false" customHeight="false" outlineLevel="0" collapsed="false">
      <c r="A761" s="37" t="n">
        <v>501952</v>
      </c>
      <c r="B761" s="37" t="s">
        <v>993</v>
      </c>
      <c r="C761" s="37" t="n">
        <v>202511</v>
      </c>
      <c r="D761" s="37" t="s">
        <v>64</v>
      </c>
      <c r="E761" s="37" t="s">
        <v>101</v>
      </c>
      <c r="F761" s="37" t="s">
        <v>194</v>
      </c>
      <c r="G761" s="37" t="s">
        <v>354</v>
      </c>
      <c r="H761" s="37"/>
      <c r="I761" s="37" t="s">
        <v>355</v>
      </c>
      <c r="J761" s="37" t="s">
        <v>994</v>
      </c>
      <c r="K761" s="45" t="n">
        <v>24.7</v>
      </c>
      <c r="L761" s="46" t="n">
        <v>1825.12</v>
      </c>
    </row>
    <row r="762" customFormat="false" ht="15" hidden="false" customHeight="false" outlineLevel="0" collapsed="false">
      <c r="A762" s="37" t="n">
        <v>502078</v>
      </c>
      <c r="B762" s="37" t="s">
        <v>993</v>
      </c>
      <c r="C762" s="37" t="n">
        <v>202511</v>
      </c>
      <c r="D762" s="37" t="s">
        <v>65</v>
      </c>
      <c r="E762" s="37" t="s">
        <v>97</v>
      </c>
      <c r="F762" s="37" t="s">
        <v>194</v>
      </c>
      <c r="G762" s="37" t="s">
        <v>354</v>
      </c>
      <c r="H762" s="37"/>
      <c r="I762" s="37" t="s">
        <v>355</v>
      </c>
      <c r="J762" s="37" t="s">
        <v>994</v>
      </c>
      <c r="K762" s="45" t="n">
        <v>49.3</v>
      </c>
      <c r="L762" s="46" t="n">
        <v>4538.46</v>
      </c>
    </row>
    <row r="763" customFormat="false" ht="15" hidden="false" customHeight="false" outlineLevel="0" collapsed="false">
      <c r="A763" s="37" t="n">
        <v>500152</v>
      </c>
      <c r="B763" s="37" t="s">
        <v>998</v>
      </c>
      <c r="C763" s="37" t="n">
        <v>202511</v>
      </c>
      <c r="D763" s="37" t="s">
        <v>58</v>
      </c>
      <c r="E763" s="37" t="s">
        <v>98</v>
      </c>
      <c r="F763" s="37" t="s">
        <v>196</v>
      </c>
      <c r="G763" s="37" t="s">
        <v>358</v>
      </c>
      <c r="H763" s="37" t="s">
        <v>359</v>
      </c>
      <c r="I763" s="37" t="s">
        <v>360</v>
      </c>
      <c r="J763" s="37" t="s">
        <v>999</v>
      </c>
      <c r="K763" s="45" t="n">
        <v>0</v>
      </c>
      <c r="L763" s="46" t="n">
        <v>5531.1</v>
      </c>
    </row>
    <row r="764" customFormat="false" ht="15" hidden="false" customHeight="false" outlineLevel="0" collapsed="false">
      <c r="A764" s="37" t="n">
        <v>500550</v>
      </c>
      <c r="B764" s="37" t="s">
        <v>998</v>
      </c>
      <c r="C764" s="37" t="n">
        <v>202511</v>
      </c>
      <c r="D764" s="37" t="s">
        <v>59</v>
      </c>
      <c r="E764" s="37" t="s">
        <v>98</v>
      </c>
      <c r="F764" s="37" t="s">
        <v>196</v>
      </c>
      <c r="G764" s="37" t="s">
        <v>358</v>
      </c>
      <c r="H764" s="37" t="s">
        <v>359</v>
      </c>
      <c r="I764" s="37" t="s">
        <v>360</v>
      </c>
      <c r="J764" s="37" t="s">
        <v>1000</v>
      </c>
      <c r="K764" s="45" t="n">
        <v>0</v>
      </c>
      <c r="L764" s="46" t="n">
        <v>18850.31</v>
      </c>
    </row>
    <row r="765" customFormat="false" ht="15" hidden="false" customHeight="false" outlineLevel="0" collapsed="false">
      <c r="A765" s="37" t="n">
        <v>501910</v>
      </c>
      <c r="B765" s="37" t="s">
        <v>998</v>
      </c>
      <c r="C765" s="37" t="n">
        <v>202511</v>
      </c>
      <c r="D765" s="37" t="s">
        <v>64</v>
      </c>
      <c r="E765" s="37" t="s">
        <v>98</v>
      </c>
      <c r="F765" s="37" t="s">
        <v>196</v>
      </c>
      <c r="G765" s="37" t="s">
        <v>358</v>
      </c>
      <c r="H765" s="37" t="s">
        <v>359</v>
      </c>
      <c r="I765" s="37" t="s">
        <v>360</v>
      </c>
      <c r="J765" s="37" t="s">
        <v>1001</v>
      </c>
      <c r="K765" s="45" t="n">
        <v>0</v>
      </c>
      <c r="L765" s="46" t="n">
        <v>3633.07</v>
      </c>
    </row>
    <row r="766" customFormat="false" ht="15" hidden="false" customHeight="false" outlineLevel="0" collapsed="false">
      <c r="A766" s="37" t="n">
        <v>501752</v>
      </c>
      <c r="B766" s="37" t="s">
        <v>1002</v>
      </c>
      <c r="C766" s="37" t="n">
        <v>202511</v>
      </c>
      <c r="D766" s="37" t="s">
        <v>63</v>
      </c>
      <c r="E766" s="37" t="s">
        <v>102</v>
      </c>
      <c r="F766" s="37" t="s">
        <v>205</v>
      </c>
      <c r="G766" s="37" t="s">
        <v>358</v>
      </c>
      <c r="H766" s="37" t="s">
        <v>891</v>
      </c>
      <c r="I766" s="37" t="s">
        <v>892</v>
      </c>
      <c r="J766" s="37" t="s">
        <v>1003</v>
      </c>
      <c r="K766" s="45" t="n">
        <v>0</v>
      </c>
      <c r="L766" s="46" t="n">
        <v>5117.23</v>
      </c>
    </row>
    <row r="767" customFormat="false" ht="15" hidden="false" customHeight="false" outlineLevel="0" collapsed="false">
      <c r="A767" s="37" t="n">
        <v>501520</v>
      </c>
      <c r="B767" s="37" t="s">
        <v>1004</v>
      </c>
      <c r="C767" s="37" t="n">
        <v>202511</v>
      </c>
      <c r="D767" s="37" t="s">
        <v>62</v>
      </c>
      <c r="E767" s="37" t="s">
        <v>102</v>
      </c>
      <c r="F767" s="37" t="s">
        <v>205</v>
      </c>
      <c r="G767" s="37" t="s">
        <v>358</v>
      </c>
      <c r="H767" s="37" t="s">
        <v>810</v>
      </c>
      <c r="I767" s="37" t="s">
        <v>811</v>
      </c>
      <c r="J767" s="37" t="s">
        <v>1005</v>
      </c>
      <c r="K767" s="45" t="n">
        <v>0</v>
      </c>
      <c r="L767" s="46" t="n">
        <v>25309.86</v>
      </c>
    </row>
    <row r="768" customFormat="false" ht="15" hidden="false" customHeight="false" outlineLevel="0" collapsed="false">
      <c r="A768" s="37" t="n">
        <v>501537</v>
      </c>
      <c r="B768" s="37" t="s">
        <v>1004</v>
      </c>
      <c r="C768" s="37" t="n">
        <v>202511</v>
      </c>
      <c r="D768" s="37" t="s">
        <v>62</v>
      </c>
      <c r="E768" s="37" t="s">
        <v>103</v>
      </c>
      <c r="F768" s="37" t="s">
        <v>205</v>
      </c>
      <c r="G768" s="37" t="s">
        <v>358</v>
      </c>
      <c r="H768" s="37" t="s">
        <v>897</v>
      </c>
      <c r="I768" s="37" t="s">
        <v>898</v>
      </c>
      <c r="J768" s="37" t="s">
        <v>1006</v>
      </c>
      <c r="K768" s="45" t="n">
        <v>0</v>
      </c>
      <c r="L768" s="46" t="n">
        <v>44608.47</v>
      </c>
    </row>
    <row r="769" customFormat="false" ht="15" hidden="false" customHeight="false" outlineLevel="0" collapsed="false">
      <c r="A769" s="37" t="n">
        <v>500307</v>
      </c>
      <c r="B769" s="37" t="s">
        <v>1007</v>
      </c>
      <c r="C769" s="37" t="n">
        <v>202511</v>
      </c>
      <c r="D769" s="37" t="s">
        <v>58</v>
      </c>
      <c r="E769" s="37" t="s">
        <v>104</v>
      </c>
      <c r="F769" s="37" t="s">
        <v>201</v>
      </c>
      <c r="G769" s="37" t="s">
        <v>358</v>
      </c>
      <c r="H769" s="37" t="s">
        <v>578</v>
      </c>
      <c r="I769" s="37" t="s">
        <v>579</v>
      </c>
      <c r="J769" s="37" t="s">
        <v>1008</v>
      </c>
      <c r="K769" s="45" t="n">
        <v>0</v>
      </c>
      <c r="L769" s="46" t="n">
        <v>16336.3</v>
      </c>
    </row>
    <row r="770" customFormat="false" ht="15" hidden="false" customHeight="false" outlineLevel="0" collapsed="false">
      <c r="A770" s="37" t="n">
        <v>500375</v>
      </c>
      <c r="B770" s="37" t="s">
        <v>1007</v>
      </c>
      <c r="C770" s="37" t="n">
        <v>202511</v>
      </c>
      <c r="D770" s="37" t="s">
        <v>58</v>
      </c>
      <c r="E770" s="37" t="s">
        <v>107</v>
      </c>
      <c r="F770" s="37" t="s">
        <v>201</v>
      </c>
      <c r="G770" s="37" t="s">
        <v>358</v>
      </c>
      <c r="H770" s="37" t="s">
        <v>684</v>
      </c>
      <c r="I770" s="37" t="s">
        <v>685</v>
      </c>
      <c r="J770" s="37" t="s">
        <v>1008</v>
      </c>
      <c r="K770" s="45" t="n">
        <v>0</v>
      </c>
      <c r="L770" s="46" t="n">
        <v>107490.51</v>
      </c>
    </row>
    <row r="771" customFormat="false" ht="15" hidden="false" customHeight="false" outlineLevel="0" collapsed="false">
      <c r="A771" s="37" t="n">
        <v>500401</v>
      </c>
      <c r="B771" s="37" t="s">
        <v>1007</v>
      </c>
      <c r="C771" s="37" t="n">
        <v>202511</v>
      </c>
      <c r="D771" s="37" t="s">
        <v>58</v>
      </c>
      <c r="E771" s="37" t="s">
        <v>109</v>
      </c>
      <c r="F771" s="37" t="s">
        <v>201</v>
      </c>
      <c r="G771" s="37" t="s">
        <v>358</v>
      </c>
      <c r="H771" s="37" t="s">
        <v>928</v>
      </c>
      <c r="I771" s="37" t="s">
        <v>929</v>
      </c>
      <c r="J771" s="37" t="s">
        <v>1008</v>
      </c>
      <c r="K771" s="45" t="n">
        <v>0</v>
      </c>
      <c r="L771" s="46" t="n">
        <v>68306.08</v>
      </c>
    </row>
    <row r="772" customFormat="false" ht="15" hidden="false" customHeight="false" outlineLevel="0" collapsed="false">
      <c r="A772" s="37" t="n">
        <v>500419</v>
      </c>
      <c r="B772" s="37" t="s">
        <v>1007</v>
      </c>
      <c r="C772" s="37" t="n">
        <v>202511</v>
      </c>
      <c r="D772" s="37" t="s">
        <v>58</v>
      </c>
      <c r="E772" s="37" t="s">
        <v>110</v>
      </c>
      <c r="F772" s="37" t="s">
        <v>201</v>
      </c>
      <c r="G772" s="37" t="s">
        <v>358</v>
      </c>
      <c r="H772" s="37" t="s">
        <v>547</v>
      </c>
      <c r="I772" s="37" t="s">
        <v>548</v>
      </c>
      <c r="J772" s="37" t="s">
        <v>1008</v>
      </c>
      <c r="K772" s="45" t="n">
        <v>0</v>
      </c>
      <c r="L772" s="46" t="n">
        <v>249464.14</v>
      </c>
    </row>
    <row r="773" customFormat="false" ht="15" hidden="false" customHeight="false" outlineLevel="0" collapsed="false">
      <c r="A773" s="37" t="n">
        <v>500438</v>
      </c>
      <c r="B773" s="37" t="s">
        <v>1007</v>
      </c>
      <c r="C773" s="37" t="n">
        <v>202511</v>
      </c>
      <c r="D773" s="37" t="s">
        <v>58</v>
      </c>
      <c r="E773" s="37" t="s">
        <v>111</v>
      </c>
      <c r="F773" s="37" t="s">
        <v>201</v>
      </c>
      <c r="G773" s="37" t="s">
        <v>358</v>
      </c>
      <c r="H773" s="37" t="s">
        <v>549</v>
      </c>
      <c r="I773" s="37" t="s">
        <v>550</v>
      </c>
      <c r="J773" s="37" t="s">
        <v>1008</v>
      </c>
      <c r="K773" s="45" t="n">
        <v>0</v>
      </c>
      <c r="L773" s="46" t="n">
        <v>137230.78</v>
      </c>
    </row>
    <row r="774" customFormat="false" ht="15" hidden="false" customHeight="false" outlineLevel="0" collapsed="false">
      <c r="A774" s="37" t="n">
        <v>500671</v>
      </c>
      <c r="B774" s="37" t="s">
        <v>1007</v>
      </c>
      <c r="C774" s="37" t="n">
        <v>202511</v>
      </c>
      <c r="D774" s="37" t="s">
        <v>59</v>
      </c>
      <c r="E774" s="37" t="s">
        <v>103</v>
      </c>
      <c r="F774" s="37" t="s">
        <v>205</v>
      </c>
      <c r="G774" s="37" t="s">
        <v>358</v>
      </c>
      <c r="H774" s="37" t="s">
        <v>622</v>
      </c>
      <c r="I774" s="37" t="s">
        <v>623</v>
      </c>
      <c r="J774" s="37" t="s">
        <v>1009</v>
      </c>
      <c r="K774" s="45" t="n">
        <v>0</v>
      </c>
      <c r="L774" s="46" t="n">
        <v>38503.9</v>
      </c>
    </row>
    <row r="775" customFormat="false" ht="15" hidden="false" customHeight="false" outlineLevel="0" collapsed="false">
      <c r="A775" s="37" t="n">
        <v>500681</v>
      </c>
      <c r="B775" s="37" t="s">
        <v>1007</v>
      </c>
      <c r="C775" s="37" t="n">
        <v>202511</v>
      </c>
      <c r="D775" s="37" t="s">
        <v>59</v>
      </c>
      <c r="E775" s="37" t="s">
        <v>105</v>
      </c>
      <c r="F775" s="37" t="s">
        <v>201</v>
      </c>
      <c r="G775" s="37" t="s">
        <v>358</v>
      </c>
      <c r="H775" s="37" t="s">
        <v>795</v>
      </c>
      <c r="I775" s="37" t="s">
        <v>796</v>
      </c>
      <c r="J775" s="37" t="s">
        <v>1008</v>
      </c>
      <c r="K775" s="45" t="n">
        <v>0</v>
      </c>
      <c r="L775" s="46" t="n">
        <v>684283.53</v>
      </c>
    </row>
    <row r="776" customFormat="false" ht="15" hidden="false" customHeight="false" outlineLevel="0" collapsed="false">
      <c r="A776" s="37" t="n">
        <v>500761</v>
      </c>
      <c r="B776" s="37" t="s">
        <v>1007</v>
      </c>
      <c r="C776" s="37" t="n">
        <v>202511</v>
      </c>
      <c r="D776" s="37" t="s">
        <v>59</v>
      </c>
      <c r="E776" s="37" t="s">
        <v>110</v>
      </c>
      <c r="F776" s="37" t="s">
        <v>201</v>
      </c>
      <c r="G776" s="37" t="s">
        <v>358</v>
      </c>
      <c r="H776" s="37" t="s">
        <v>849</v>
      </c>
      <c r="I776" s="37" t="s">
        <v>850</v>
      </c>
      <c r="J776" s="37" t="s">
        <v>1008</v>
      </c>
      <c r="K776" s="45" t="n">
        <v>0</v>
      </c>
      <c r="L776" s="46" t="n">
        <v>102408.14</v>
      </c>
    </row>
    <row r="777" customFormat="false" ht="15" hidden="false" customHeight="false" outlineLevel="0" collapsed="false">
      <c r="A777" s="37" t="n">
        <v>500774</v>
      </c>
      <c r="B777" s="37" t="s">
        <v>1007</v>
      </c>
      <c r="C777" s="37" t="n">
        <v>202511</v>
      </c>
      <c r="D777" s="37" t="s">
        <v>59</v>
      </c>
      <c r="E777" s="37" t="s">
        <v>111</v>
      </c>
      <c r="F777" s="37" t="s">
        <v>201</v>
      </c>
      <c r="G777" s="37" t="s">
        <v>358</v>
      </c>
      <c r="H777" s="37" t="s">
        <v>851</v>
      </c>
      <c r="I777" s="37" t="s">
        <v>852</v>
      </c>
      <c r="J777" s="37" t="s">
        <v>1008</v>
      </c>
      <c r="K777" s="45" t="n">
        <v>0</v>
      </c>
      <c r="L777" s="46" t="n">
        <v>122435.24</v>
      </c>
    </row>
    <row r="778" customFormat="false" ht="15" hidden="false" customHeight="false" outlineLevel="0" collapsed="false">
      <c r="A778" s="37" t="n">
        <v>501007</v>
      </c>
      <c r="B778" s="37" t="s">
        <v>1007</v>
      </c>
      <c r="C778" s="37" t="n">
        <v>202511</v>
      </c>
      <c r="D778" s="37" t="s">
        <v>60</v>
      </c>
      <c r="E778" s="37" t="s">
        <v>105</v>
      </c>
      <c r="F778" s="37" t="s">
        <v>201</v>
      </c>
      <c r="G778" s="37" t="s">
        <v>358</v>
      </c>
      <c r="H778" s="37" t="s">
        <v>931</v>
      </c>
      <c r="I778" s="37" t="s">
        <v>932</v>
      </c>
      <c r="J778" s="37" t="s">
        <v>1008</v>
      </c>
      <c r="K778" s="45" t="n">
        <v>0</v>
      </c>
      <c r="L778" s="46" t="n">
        <v>144628.11</v>
      </c>
    </row>
    <row r="779" customFormat="false" ht="15" hidden="false" customHeight="false" outlineLevel="0" collapsed="false">
      <c r="A779" s="37" t="n">
        <v>501075</v>
      </c>
      <c r="B779" s="37" t="s">
        <v>1007</v>
      </c>
      <c r="C779" s="37" t="n">
        <v>202511</v>
      </c>
      <c r="D779" s="37" t="s">
        <v>60</v>
      </c>
      <c r="E779" s="37" t="s">
        <v>110</v>
      </c>
      <c r="F779" s="37" t="s">
        <v>201</v>
      </c>
      <c r="G779" s="37" t="s">
        <v>358</v>
      </c>
      <c r="H779" s="37" t="s">
        <v>1010</v>
      </c>
      <c r="I779" s="37" t="s">
        <v>548</v>
      </c>
      <c r="J779" s="37" t="s">
        <v>1008</v>
      </c>
      <c r="K779" s="45" t="n">
        <v>0</v>
      </c>
      <c r="L779" s="46" t="n">
        <v>25689.81</v>
      </c>
    </row>
    <row r="780" customFormat="false" ht="15" hidden="false" customHeight="false" outlineLevel="0" collapsed="false">
      <c r="A780" s="37" t="n">
        <v>501086</v>
      </c>
      <c r="B780" s="37" t="s">
        <v>1007</v>
      </c>
      <c r="C780" s="37" t="n">
        <v>202511</v>
      </c>
      <c r="D780" s="37" t="s">
        <v>60</v>
      </c>
      <c r="E780" s="37" t="s">
        <v>111</v>
      </c>
      <c r="F780" s="37" t="s">
        <v>201</v>
      </c>
      <c r="G780" s="37" t="s">
        <v>358</v>
      </c>
      <c r="H780" s="37" t="s">
        <v>1011</v>
      </c>
      <c r="I780" s="37" t="s">
        <v>1012</v>
      </c>
      <c r="J780" s="37" t="s">
        <v>1008</v>
      </c>
      <c r="K780" s="45" t="n">
        <v>0</v>
      </c>
      <c r="L780" s="46" t="n">
        <v>21891.26</v>
      </c>
    </row>
    <row r="781" customFormat="false" ht="15" hidden="false" customHeight="false" outlineLevel="0" collapsed="false">
      <c r="A781" s="37" t="n">
        <v>501172</v>
      </c>
      <c r="B781" s="37" t="s">
        <v>1007</v>
      </c>
      <c r="C781" s="37" t="n">
        <v>202511</v>
      </c>
      <c r="D781" s="37" t="s">
        <v>61</v>
      </c>
      <c r="E781" s="37" t="s">
        <v>98</v>
      </c>
      <c r="F781" s="37" t="s">
        <v>196</v>
      </c>
      <c r="G781" s="37" t="s">
        <v>358</v>
      </c>
      <c r="H781" s="37" t="s">
        <v>359</v>
      </c>
      <c r="I781" s="37" t="s">
        <v>360</v>
      </c>
      <c r="J781" s="37" t="s">
        <v>1013</v>
      </c>
      <c r="K781" s="45" t="n">
        <v>0</v>
      </c>
      <c r="L781" s="46" t="n">
        <v>5686.83</v>
      </c>
    </row>
    <row r="782" customFormat="false" ht="15" hidden="false" customHeight="false" outlineLevel="0" collapsed="false">
      <c r="A782" s="37" t="n">
        <v>501278</v>
      </c>
      <c r="B782" s="37" t="s">
        <v>1007</v>
      </c>
      <c r="C782" s="37" t="n">
        <v>202511</v>
      </c>
      <c r="D782" s="37" t="s">
        <v>61</v>
      </c>
      <c r="E782" s="37" t="s">
        <v>105</v>
      </c>
      <c r="F782" s="37" t="s">
        <v>201</v>
      </c>
      <c r="G782" s="37" t="s">
        <v>358</v>
      </c>
      <c r="H782" s="37" t="s">
        <v>933</v>
      </c>
      <c r="I782" s="37" t="s">
        <v>934</v>
      </c>
      <c r="J782" s="37" t="s">
        <v>1008</v>
      </c>
      <c r="K782" s="45" t="n">
        <v>0</v>
      </c>
      <c r="L782" s="46" t="n">
        <v>213046.24</v>
      </c>
    </row>
    <row r="783" customFormat="false" ht="15" hidden="false" customHeight="false" outlineLevel="0" collapsed="false">
      <c r="A783" s="37" t="n">
        <v>501344</v>
      </c>
      <c r="B783" s="37" t="s">
        <v>1007</v>
      </c>
      <c r="C783" s="37" t="n">
        <v>202511</v>
      </c>
      <c r="D783" s="37" t="s">
        <v>61</v>
      </c>
      <c r="E783" s="37" t="s">
        <v>110</v>
      </c>
      <c r="F783" s="37" t="s">
        <v>201</v>
      </c>
      <c r="G783" s="37" t="s">
        <v>358</v>
      </c>
      <c r="H783" s="37" t="s">
        <v>1014</v>
      </c>
      <c r="I783" s="37" t="s">
        <v>1015</v>
      </c>
      <c r="J783" s="37" t="s">
        <v>1008</v>
      </c>
      <c r="K783" s="45" t="n">
        <v>0</v>
      </c>
      <c r="L783" s="46" t="n">
        <v>25057.61</v>
      </c>
    </row>
    <row r="784" customFormat="false" ht="15" hidden="false" customHeight="false" outlineLevel="0" collapsed="false">
      <c r="A784" s="37" t="n">
        <v>501355</v>
      </c>
      <c r="B784" s="37" t="s">
        <v>1007</v>
      </c>
      <c r="C784" s="37" t="n">
        <v>202511</v>
      </c>
      <c r="D784" s="37" t="s">
        <v>61</v>
      </c>
      <c r="E784" s="37" t="s">
        <v>111</v>
      </c>
      <c r="F784" s="37" t="s">
        <v>201</v>
      </c>
      <c r="G784" s="37" t="s">
        <v>358</v>
      </c>
      <c r="H784" s="37" t="s">
        <v>1016</v>
      </c>
      <c r="I784" s="37" t="s">
        <v>1017</v>
      </c>
      <c r="J784" s="37" t="s">
        <v>1008</v>
      </c>
      <c r="K784" s="45" t="n">
        <v>0</v>
      </c>
      <c r="L784" s="46" t="n">
        <v>30725.07</v>
      </c>
    </row>
    <row r="785" customFormat="false" ht="15" hidden="false" customHeight="false" outlineLevel="0" collapsed="false">
      <c r="A785" s="37" t="n">
        <v>501472</v>
      </c>
      <c r="B785" s="37" t="s">
        <v>1007</v>
      </c>
      <c r="C785" s="37" t="n">
        <v>202511</v>
      </c>
      <c r="D785" s="37" t="s">
        <v>62</v>
      </c>
      <c r="E785" s="37" t="s">
        <v>100</v>
      </c>
      <c r="F785" s="37" t="s">
        <v>201</v>
      </c>
      <c r="G785" s="37" t="s">
        <v>358</v>
      </c>
      <c r="H785" s="37" t="s">
        <v>797</v>
      </c>
      <c r="I785" s="37" t="s">
        <v>646</v>
      </c>
      <c r="J785" s="37" t="s">
        <v>1008</v>
      </c>
      <c r="K785" s="45" t="n">
        <v>0</v>
      </c>
      <c r="L785" s="46" t="n">
        <v>259490.08</v>
      </c>
    </row>
    <row r="786" customFormat="false" ht="15" hidden="false" customHeight="false" outlineLevel="0" collapsed="false">
      <c r="A786" s="37" t="n">
        <v>501722</v>
      </c>
      <c r="B786" s="37" t="s">
        <v>1007</v>
      </c>
      <c r="C786" s="37" t="n">
        <v>202511</v>
      </c>
      <c r="D786" s="37" t="s">
        <v>63</v>
      </c>
      <c r="E786" s="37" t="s">
        <v>100</v>
      </c>
      <c r="F786" s="37" t="s">
        <v>201</v>
      </c>
      <c r="G786" s="37" t="s">
        <v>358</v>
      </c>
      <c r="H786" s="37" t="s">
        <v>853</v>
      </c>
      <c r="I786" s="37" t="s">
        <v>854</v>
      </c>
      <c r="J786" s="37" t="s">
        <v>1008</v>
      </c>
      <c r="K786" s="45" t="n">
        <v>0</v>
      </c>
      <c r="L786" s="46" t="n">
        <v>125222.29</v>
      </c>
    </row>
    <row r="787" customFormat="false" ht="15" hidden="false" customHeight="false" outlineLevel="0" collapsed="false">
      <c r="A787" s="37" t="n">
        <v>501754</v>
      </c>
      <c r="B787" s="37" t="s">
        <v>1007</v>
      </c>
      <c r="C787" s="37" t="n">
        <v>202511</v>
      </c>
      <c r="D787" s="37" t="s">
        <v>63</v>
      </c>
      <c r="E787" s="37" t="s">
        <v>102</v>
      </c>
      <c r="F787" s="37" t="s">
        <v>205</v>
      </c>
      <c r="G787" s="37" t="s">
        <v>358</v>
      </c>
      <c r="H787" s="37" t="s">
        <v>891</v>
      </c>
      <c r="I787" s="37" t="s">
        <v>892</v>
      </c>
      <c r="J787" s="37" t="s">
        <v>1018</v>
      </c>
      <c r="K787" s="45" t="n">
        <v>0</v>
      </c>
      <c r="L787" s="46" t="n">
        <v>24159.92</v>
      </c>
    </row>
    <row r="788" customFormat="false" ht="15" hidden="false" customHeight="false" outlineLevel="0" collapsed="false">
      <c r="A788" s="37" t="n">
        <v>501946</v>
      </c>
      <c r="B788" s="37" t="s">
        <v>1007</v>
      </c>
      <c r="C788" s="37" t="n">
        <v>202511</v>
      </c>
      <c r="D788" s="37" t="s">
        <v>64</v>
      </c>
      <c r="E788" s="37" t="s">
        <v>100</v>
      </c>
      <c r="F788" s="37" t="s">
        <v>201</v>
      </c>
      <c r="G788" s="37" t="s">
        <v>358</v>
      </c>
      <c r="H788" s="37" t="s">
        <v>935</v>
      </c>
      <c r="I788" s="37" t="s">
        <v>936</v>
      </c>
      <c r="J788" s="37" t="s">
        <v>1008</v>
      </c>
      <c r="K788" s="45" t="n">
        <v>0</v>
      </c>
      <c r="L788" s="46" t="n">
        <v>97994.07</v>
      </c>
    </row>
    <row r="789" customFormat="false" ht="15" hidden="false" customHeight="false" outlineLevel="0" collapsed="false">
      <c r="A789" s="37" t="n">
        <v>502154</v>
      </c>
      <c r="B789" s="37" t="s">
        <v>1007</v>
      </c>
      <c r="C789" s="37" t="n">
        <v>202511</v>
      </c>
      <c r="D789" s="37" t="s">
        <v>65</v>
      </c>
      <c r="E789" s="37" t="s">
        <v>100</v>
      </c>
      <c r="F789" s="37" t="s">
        <v>201</v>
      </c>
      <c r="G789" s="37" t="s">
        <v>358</v>
      </c>
      <c r="H789" s="37" t="s">
        <v>1019</v>
      </c>
      <c r="I789" s="37" t="s">
        <v>646</v>
      </c>
      <c r="J789" s="37" t="s">
        <v>1008</v>
      </c>
      <c r="K789" s="45" t="n">
        <v>0</v>
      </c>
      <c r="L789" s="46" t="n">
        <v>160023.78</v>
      </c>
    </row>
    <row r="790" customFormat="false" ht="15" hidden="false" customHeight="false" outlineLevel="0" collapsed="false">
      <c r="A790" s="37" t="n">
        <v>501680</v>
      </c>
      <c r="B790" s="37" t="s">
        <v>1020</v>
      </c>
      <c r="C790" s="37" t="n">
        <v>202511</v>
      </c>
      <c r="D790" s="37" t="s">
        <v>63</v>
      </c>
      <c r="E790" s="37" t="s">
        <v>98</v>
      </c>
      <c r="F790" s="37" t="s">
        <v>196</v>
      </c>
      <c r="G790" s="37" t="s">
        <v>358</v>
      </c>
      <c r="H790" s="37" t="s">
        <v>359</v>
      </c>
      <c r="I790" s="37" t="s">
        <v>360</v>
      </c>
      <c r="J790" s="37" t="s">
        <v>1021</v>
      </c>
      <c r="K790" s="45" t="n">
        <v>0</v>
      </c>
      <c r="L790" s="46" t="n">
        <v>3993.03</v>
      </c>
    </row>
    <row r="791" customFormat="false" ht="15" hidden="false" customHeight="false" outlineLevel="0" collapsed="false">
      <c r="A791" s="37" t="n">
        <v>500078</v>
      </c>
      <c r="B791" s="37" t="s">
        <v>1022</v>
      </c>
      <c r="C791" s="37" t="n">
        <v>202511</v>
      </c>
      <c r="D791" s="37" t="s">
        <v>58</v>
      </c>
      <c r="E791" s="37" t="s">
        <v>97</v>
      </c>
      <c r="F791" s="37" t="s">
        <v>194</v>
      </c>
      <c r="G791" s="37" t="s">
        <v>354</v>
      </c>
      <c r="H791" s="37"/>
      <c r="I791" s="37" t="s">
        <v>355</v>
      </c>
      <c r="J791" s="37" t="s">
        <v>1023</v>
      </c>
      <c r="K791" s="45" t="n">
        <v>173.7</v>
      </c>
      <c r="L791" s="46" t="n">
        <v>15976.14</v>
      </c>
    </row>
    <row r="792" customFormat="false" ht="15" hidden="false" customHeight="false" outlineLevel="0" collapsed="false">
      <c r="A792" s="37" t="n">
        <v>500352</v>
      </c>
      <c r="B792" s="37" t="s">
        <v>1022</v>
      </c>
      <c r="C792" s="37" t="n">
        <v>202511</v>
      </c>
      <c r="D792" s="37" t="s">
        <v>58</v>
      </c>
      <c r="E792" s="37" t="s">
        <v>106</v>
      </c>
      <c r="F792" s="37" t="s">
        <v>194</v>
      </c>
      <c r="G792" s="37" t="s">
        <v>354</v>
      </c>
      <c r="H792" s="37"/>
      <c r="I792" s="37" t="s">
        <v>355</v>
      </c>
      <c r="J792" s="37" t="s">
        <v>1023</v>
      </c>
      <c r="K792" s="45" t="n">
        <v>139.9</v>
      </c>
      <c r="L792" s="46" t="n">
        <v>9933.76</v>
      </c>
    </row>
    <row r="793" customFormat="false" ht="15" hidden="false" customHeight="false" outlineLevel="0" collapsed="false">
      <c r="A793" s="37" t="n">
        <v>500486</v>
      </c>
      <c r="B793" s="37" t="s">
        <v>1022</v>
      </c>
      <c r="C793" s="37" t="n">
        <v>202511</v>
      </c>
      <c r="D793" s="37" t="s">
        <v>59</v>
      </c>
      <c r="E793" s="37" t="s">
        <v>97</v>
      </c>
      <c r="F793" s="37" t="s">
        <v>194</v>
      </c>
      <c r="G793" s="37" t="s">
        <v>354</v>
      </c>
      <c r="H793" s="37"/>
      <c r="I793" s="37" t="s">
        <v>355</v>
      </c>
      <c r="J793" s="37" t="s">
        <v>1023</v>
      </c>
      <c r="K793" s="45" t="n">
        <v>193.3</v>
      </c>
      <c r="L793" s="46" t="n">
        <v>17785.77</v>
      </c>
    </row>
    <row r="794" customFormat="false" ht="15" hidden="false" customHeight="false" outlineLevel="0" collapsed="false">
      <c r="A794" s="37" t="n">
        <v>500630</v>
      </c>
      <c r="B794" s="37" t="s">
        <v>1022</v>
      </c>
      <c r="C794" s="37" t="n">
        <v>202511</v>
      </c>
      <c r="D794" s="37" t="s">
        <v>59</v>
      </c>
      <c r="E794" s="37" t="s">
        <v>101</v>
      </c>
      <c r="F794" s="37" t="s">
        <v>194</v>
      </c>
      <c r="G794" s="37" t="s">
        <v>354</v>
      </c>
      <c r="H794" s="37"/>
      <c r="I794" s="37" t="s">
        <v>355</v>
      </c>
      <c r="J794" s="37" t="s">
        <v>1023</v>
      </c>
      <c r="K794" s="45" t="n">
        <v>559.1</v>
      </c>
      <c r="L794" s="46" t="n">
        <v>41373.21</v>
      </c>
    </row>
    <row r="795" customFormat="false" ht="15" hidden="false" customHeight="false" outlineLevel="0" collapsed="false">
      <c r="A795" s="37" t="n">
        <v>500688</v>
      </c>
      <c r="B795" s="37" t="s">
        <v>1022</v>
      </c>
      <c r="C795" s="37" t="n">
        <v>202511</v>
      </c>
      <c r="D795" s="37" t="s">
        <v>59</v>
      </c>
      <c r="E795" s="37" t="s">
        <v>106</v>
      </c>
      <c r="F795" s="37" t="s">
        <v>194</v>
      </c>
      <c r="G795" s="37" t="s">
        <v>354</v>
      </c>
      <c r="H795" s="37"/>
      <c r="I795" s="37" t="s">
        <v>355</v>
      </c>
      <c r="J795" s="37" t="s">
        <v>1023</v>
      </c>
      <c r="K795" s="45" t="n">
        <v>24</v>
      </c>
      <c r="L795" s="46" t="n">
        <v>1700.58</v>
      </c>
    </row>
    <row r="796" customFormat="false" ht="15" hidden="false" customHeight="false" outlineLevel="0" collapsed="false">
      <c r="A796" s="37" t="n">
        <v>500815</v>
      </c>
      <c r="B796" s="37" t="s">
        <v>1022</v>
      </c>
      <c r="C796" s="37" t="n">
        <v>202511</v>
      </c>
      <c r="D796" s="37" t="s">
        <v>60</v>
      </c>
      <c r="E796" s="37" t="s">
        <v>97</v>
      </c>
      <c r="F796" s="37" t="s">
        <v>194</v>
      </c>
      <c r="G796" s="37" t="s">
        <v>354</v>
      </c>
      <c r="H796" s="37"/>
      <c r="I796" s="37" t="s">
        <v>355</v>
      </c>
      <c r="J796" s="37" t="s">
        <v>1023</v>
      </c>
      <c r="K796" s="45" t="n">
        <v>259</v>
      </c>
      <c r="L796" s="46" t="n">
        <v>23831.69</v>
      </c>
    </row>
    <row r="797" customFormat="false" ht="15" hidden="false" customHeight="false" outlineLevel="0" collapsed="false">
      <c r="A797" s="37" t="n">
        <v>500943</v>
      </c>
      <c r="B797" s="37" t="s">
        <v>1022</v>
      </c>
      <c r="C797" s="37" t="n">
        <v>202511</v>
      </c>
      <c r="D797" s="37" t="s">
        <v>60</v>
      </c>
      <c r="E797" s="37" t="s">
        <v>101</v>
      </c>
      <c r="F797" s="37" t="s">
        <v>194</v>
      </c>
      <c r="G797" s="37" t="s">
        <v>354</v>
      </c>
      <c r="H797" s="37"/>
      <c r="I797" s="37" t="s">
        <v>355</v>
      </c>
      <c r="J797" s="37" t="s">
        <v>1023</v>
      </c>
      <c r="K797" s="45" t="n">
        <v>277.3</v>
      </c>
      <c r="L797" s="46" t="n">
        <v>20518.63</v>
      </c>
    </row>
    <row r="798" customFormat="false" ht="15" hidden="false" customHeight="false" outlineLevel="0" collapsed="false">
      <c r="A798" s="37" t="n">
        <v>501122</v>
      </c>
      <c r="B798" s="37" t="s">
        <v>1022</v>
      </c>
      <c r="C798" s="37" t="n">
        <v>202511</v>
      </c>
      <c r="D798" s="37" t="s">
        <v>61</v>
      </c>
      <c r="E798" s="37" t="s">
        <v>97</v>
      </c>
      <c r="F798" s="37" t="s">
        <v>194</v>
      </c>
      <c r="G798" s="37" t="s">
        <v>354</v>
      </c>
      <c r="H798" s="37"/>
      <c r="I798" s="37" t="s">
        <v>355</v>
      </c>
      <c r="J798" s="37" t="s">
        <v>1023</v>
      </c>
      <c r="K798" s="45" t="n">
        <v>94.2</v>
      </c>
      <c r="L798" s="46" t="n">
        <v>8664.19</v>
      </c>
    </row>
    <row r="799" customFormat="false" ht="15" hidden="false" customHeight="false" outlineLevel="0" collapsed="false">
      <c r="A799" s="37" t="n">
        <v>501236</v>
      </c>
      <c r="B799" s="37" t="s">
        <v>1022</v>
      </c>
      <c r="C799" s="37" t="n">
        <v>202511</v>
      </c>
      <c r="D799" s="37" t="s">
        <v>61</v>
      </c>
      <c r="E799" s="37" t="s">
        <v>101</v>
      </c>
      <c r="F799" s="37" t="s">
        <v>194</v>
      </c>
      <c r="G799" s="37" t="s">
        <v>354</v>
      </c>
      <c r="H799" s="37"/>
      <c r="I799" s="37" t="s">
        <v>355</v>
      </c>
      <c r="J799" s="37" t="s">
        <v>1023</v>
      </c>
      <c r="K799" s="45" t="n">
        <v>353.3</v>
      </c>
      <c r="L799" s="46" t="n">
        <v>26141.48</v>
      </c>
    </row>
    <row r="800" customFormat="false" ht="15" hidden="false" customHeight="false" outlineLevel="0" collapsed="false">
      <c r="A800" s="37" t="n">
        <v>501383</v>
      </c>
      <c r="B800" s="37" t="s">
        <v>1022</v>
      </c>
      <c r="C800" s="37" t="n">
        <v>202511</v>
      </c>
      <c r="D800" s="37" t="s">
        <v>62</v>
      </c>
      <c r="E800" s="37" t="s">
        <v>97</v>
      </c>
      <c r="F800" s="37" t="s">
        <v>194</v>
      </c>
      <c r="G800" s="37" t="s">
        <v>354</v>
      </c>
      <c r="H800" s="37"/>
      <c r="I800" s="37" t="s">
        <v>355</v>
      </c>
      <c r="J800" s="37" t="s">
        <v>1023</v>
      </c>
      <c r="K800" s="45" t="n">
        <v>160.1</v>
      </c>
      <c r="L800" s="46" t="n">
        <v>14725.51</v>
      </c>
    </row>
    <row r="801" customFormat="false" ht="15" hidden="false" customHeight="false" outlineLevel="0" collapsed="false">
      <c r="A801" s="37" t="n">
        <v>501487</v>
      </c>
      <c r="B801" s="37" t="s">
        <v>1022</v>
      </c>
      <c r="C801" s="37" t="n">
        <v>202511</v>
      </c>
      <c r="D801" s="37" t="s">
        <v>62</v>
      </c>
      <c r="E801" s="37" t="s">
        <v>101</v>
      </c>
      <c r="F801" s="37" t="s">
        <v>194</v>
      </c>
      <c r="G801" s="37" t="s">
        <v>354</v>
      </c>
      <c r="H801" s="37"/>
      <c r="I801" s="37" t="s">
        <v>355</v>
      </c>
      <c r="J801" s="37" t="s">
        <v>1023</v>
      </c>
      <c r="K801" s="45" t="n">
        <v>212.3</v>
      </c>
      <c r="L801" s="46" t="n">
        <v>15713.75</v>
      </c>
    </row>
    <row r="802" customFormat="false" ht="15" hidden="false" customHeight="false" outlineLevel="0" collapsed="false">
      <c r="A802" s="37" t="n">
        <v>501629</v>
      </c>
      <c r="B802" s="37" t="s">
        <v>1022</v>
      </c>
      <c r="C802" s="37" t="n">
        <v>202511</v>
      </c>
      <c r="D802" s="37" t="s">
        <v>63</v>
      </c>
      <c r="E802" s="37" t="s">
        <v>97</v>
      </c>
      <c r="F802" s="37" t="s">
        <v>194</v>
      </c>
      <c r="G802" s="37" t="s">
        <v>354</v>
      </c>
      <c r="H802" s="37"/>
      <c r="I802" s="37" t="s">
        <v>355</v>
      </c>
      <c r="J802" s="37" t="s">
        <v>1023</v>
      </c>
      <c r="K802" s="45" t="n">
        <v>122.8</v>
      </c>
      <c r="L802" s="46" t="n">
        <v>11299.78</v>
      </c>
    </row>
    <row r="803" customFormat="false" ht="15" hidden="false" customHeight="false" outlineLevel="0" collapsed="false">
      <c r="A803" s="37" t="n">
        <v>501733</v>
      </c>
      <c r="B803" s="37" t="s">
        <v>1022</v>
      </c>
      <c r="C803" s="37" t="n">
        <v>202511</v>
      </c>
      <c r="D803" s="37" t="s">
        <v>63</v>
      </c>
      <c r="E803" s="37" t="s">
        <v>101</v>
      </c>
      <c r="F803" s="37" t="s">
        <v>194</v>
      </c>
      <c r="G803" s="37" t="s">
        <v>354</v>
      </c>
      <c r="H803" s="37"/>
      <c r="I803" s="37" t="s">
        <v>355</v>
      </c>
      <c r="J803" s="37" t="s">
        <v>1023</v>
      </c>
      <c r="K803" s="45" t="n">
        <v>94.9</v>
      </c>
      <c r="L803" s="46" t="n">
        <v>7024.91</v>
      </c>
    </row>
    <row r="804" customFormat="false" ht="15" hidden="false" customHeight="false" outlineLevel="0" collapsed="false">
      <c r="A804" s="37" t="n">
        <v>501863</v>
      </c>
      <c r="B804" s="37" t="s">
        <v>1022</v>
      </c>
      <c r="C804" s="37" t="n">
        <v>202511</v>
      </c>
      <c r="D804" s="37" t="s">
        <v>64</v>
      </c>
      <c r="E804" s="37" t="s">
        <v>97</v>
      </c>
      <c r="F804" s="37" t="s">
        <v>194</v>
      </c>
      <c r="G804" s="37" t="s">
        <v>354</v>
      </c>
      <c r="H804" s="37"/>
      <c r="I804" s="37" t="s">
        <v>355</v>
      </c>
      <c r="J804" s="37" t="s">
        <v>1023</v>
      </c>
      <c r="K804" s="45" t="n">
        <v>63.4</v>
      </c>
      <c r="L804" s="46" t="n">
        <v>5834.03</v>
      </c>
    </row>
    <row r="805" customFormat="false" ht="15" hidden="false" customHeight="false" outlineLevel="0" collapsed="false">
      <c r="A805" s="37" t="n">
        <v>501953</v>
      </c>
      <c r="B805" s="37" t="s">
        <v>1022</v>
      </c>
      <c r="C805" s="37" t="n">
        <v>202511</v>
      </c>
      <c r="D805" s="37" t="s">
        <v>64</v>
      </c>
      <c r="E805" s="37" t="s">
        <v>101</v>
      </c>
      <c r="F805" s="37" t="s">
        <v>194</v>
      </c>
      <c r="G805" s="37" t="s">
        <v>354</v>
      </c>
      <c r="H805" s="37"/>
      <c r="I805" s="37" t="s">
        <v>355</v>
      </c>
      <c r="J805" s="37" t="s">
        <v>1023</v>
      </c>
      <c r="K805" s="45" t="n">
        <v>118</v>
      </c>
      <c r="L805" s="46" t="n">
        <v>8733.28</v>
      </c>
    </row>
    <row r="806" customFormat="false" ht="15" hidden="false" customHeight="false" outlineLevel="0" collapsed="false">
      <c r="A806" s="37" t="n">
        <v>502079</v>
      </c>
      <c r="B806" s="37" t="s">
        <v>1022</v>
      </c>
      <c r="C806" s="37" t="n">
        <v>202511</v>
      </c>
      <c r="D806" s="37" t="s">
        <v>65</v>
      </c>
      <c r="E806" s="37" t="s">
        <v>97</v>
      </c>
      <c r="F806" s="37" t="s">
        <v>194</v>
      </c>
      <c r="G806" s="37" t="s">
        <v>354</v>
      </c>
      <c r="H806" s="37"/>
      <c r="I806" s="37" t="s">
        <v>355</v>
      </c>
      <c r="J806" s="37" t="s">
        <v>1023</v>
      </c>
      <c r="K806" s="45" t="n">
        <v>49.1</v>
      </c>
      <c r="L806" s="46" t="n">
        <v>4518.09</v>
      </c>
    </row>
    <row r="807" customFormat="false" ht="15" hidden="false" customHeight="false" outlineLevel="0" collapsed="false">
      <c r="A807" s="37" t="n">
        <v>500191</v>
      </c>
      <c r="B807" s="37" t="s">
        <v>1024</v>
      </c>
      <c r="C807" s="37" t="n">
        <v>202511</v>
      </c>
      <c r="D807" s="37" t="s">
        <v>58</v>
      </c>
      <c r="E807" s="37" t="s">
        <v>99</v>
      </c>
      <c r="F807" s="37" t="s">
        <v>198</v>
      </c>
      <c r="G807" s="37" t="s">
        <v>375</v>
      </c>
      <c r="H807" s="37"/>
      <c r="I807" s="37" t="s">
        <v>376</v>
      </c>
      <c r="J807" s="37" t="s">
        <v>377</v>
      </c>
      <c r="K807" s="45" t="n">
        <v>0</v>
      </c>
      <c r="L807" s="46" t="n">
        <v>17884.13</v>
      </c>
    </row>
    <row r="808" customFormat="false" ht="15" hidden="false" customHeight="false" outlineLevel="0" collapsed="false">
      <c r="A808" s="37" t="n">
        <v>500578</v>
      </c>
      <c r="B808" s="37" t="s">
        <v>1024</v>
      </c>
      <c r="C808" s="37" t="n">
        <v>202511</v>
      </c>
      <c r="D808" s="37" t="s">
        <v>59</v>
      </c>
      <c r="E808" s="37" t="s">
        <v>99</v>
      </c>
      <c r="F808" s="37" t="s">
        <v>198</v>
      </c>
      <c r="G808" s="37" t="s">
        <v>375</v>
      </c>
      <c r="H808" s="37"/>
      <c r="I808" s="37" t="s">
        <v>376</v>
      </c>
      <c r="J808" s="37" t="s">
        <v>377</v>
      </c>
      <c r="K808" s="45" t="n">
        <v>0</v>
      </c>
      <c r="L808" s="46" t="n">
        <v>65373.02</v>
      </c>
    </row>
    <row r="809" customFormat="false" ht="15" hidden="false" customHeight="false" outlineLevel="0" collapsed="false">
      <c r="A809" s="37" t="n">
        <v>500900</v>
      </c>
      <c r="B809" s="37" t="s">
        <v>1024</v>
      </c>
      <c r="C809" s="37" t="n">
        <v>202511</v>
      </c>
      <c r="D809" s="37" t="s">
        <v>60</v>
      </c>
      <c r="E809" s="37" t="s">
        <v>99</v>
      </c>
      <c r="F809" s="37" t="s">
        <v>198</v>
      </c>
      <c r="G809" s="37" t="s">
        <v>375</v>
      </c>
      <c r="H809" s="37"/>
      <c r="I809" s="37" t="s">
        <v>376</v>
      </c>
      <c r="J809" s="37" t="s">
        <v>377</v>
      </c>
      <c r="K809" s="45" t="n">
        <v>0</v>
      </c>
      <c r="L809" s="46" t="n">
        <v>31278.59</v>
      </c>
    </row>
    <row r="810" customFormat="false" ht="15" hidden="false" customHeight="false" outlineLevel="0" collapsed="false">
      <c r="A810" s="37" t="n">
        <v>501200</v>
      </c>
      <c r="B810" s="37" t="s">
        <v>1024</v>
      </c>
      <c r="C810" s="37" t="n">
        <v>202511</v>
      </c>
      <c r="D810" s="37" t="s">
        <v>61</v>
      </c>
      <c r="E810" s="37" t="s">
        <v>99</v>
      </c>
      <c r="F810" s="37" t="s">
        <v>198</v>
      </c>
      <c r="G810" s="37" t="s">
        <v>375</v>
      </c>
      <c r="H810" s="37"/>
      <c r="I810" s="37" t="s">
        <v>376</v>
      </c>
      <c r="J810" s="37" t="s">
        <v>377</v>
      </c>
      <c r="K810" s="45" t="n">
        <v>0</v>
      </c>
      <c r="L810" s="46" t="n">
        <v>39695.57</v>
      </c>
    </row>
    <row r="811" customFormat="false" ht="15" hidden="false" customHeight="false" outlineLevel="0" collapsed="false">
      <c r="A811" s="37" t="n">
        <v>501458</v>
      </c>
      <c r="B811" s="37" t="s">
        <v>1024</v>
      </c>
      <c r="C811" s="37" t="n">
        <v>202511</v>
      </c>
      <c r="D811" s="37" t="s">
        <v>62</v>
      </c>
      <c r="E811" s="37" t="s">
        <v>99</v>
      </c>
      <c r="F811" s="37" t="s">
        <v>198</v>
      </c>
      <c r="G811" s="37" t="s">
        <v>375</v>
      </c>
      <c r="H811" s="37"/>
      <c r="I811" s="37" t="s">
        <v>376</v>
      </c>
      <c r="J811" s="37" t="s">
        <v>377</v>
      </c>
      <c r="K811" s="45" t="n">
        <v>0</v>
      </c>
      <c r="L811" s="46" t="n">
        <v>18283.49</v>
      </c>
    </row>
    <row r="812" customFormat="false" ht="15" hidden="false" customHeight="false" outlineLevel="0" collapsed="false">
      <c r="A812" s="37" t="n">
        <v>501709</v>
      </c>
      <c r="B812" s="37" t="s">
        <v>1024</v>
      </c>
      <c r="C812" s="37" t="n">
        <v>202511</v>
      </c>
      <c r="D812" s="37" t="s">
        <v>63</v>
      </c>
      <c r="E812" s="37" t="s">
        <v>99</v>
      </c>
      <c r="F812" s="37" t="s">
        <v>198</v>
      </c>
      <c r="G812" s="37" t="s">
        <v>375</v>
      </c>
      <c r="H812" s="37"/>
      <c r="I812" s="37" t="s">
        <v>376</v>
      </c>
      <c r="J812" s="37" t="s">
        <v>377</v>
      </c>
      <c r="K812" s="45" t="n">
        <v>0</v>
      </c>
      <c r="L812" s="46" t="n">
        <v>13663.37</v>
      </c>
    </row>
    <row r="813" customFormat="false" ht="15" hidden="false" customHeight="false" outlineLevel="0" collapsed="false">
      <c r="A813" s="37" t="n">
        <v>501934</v>
      </c>
      <c r="B813" s="37" t="s">
        <v>1024</v>
      </c>
      <c r="C813" s="37" t="n">
        <v>202511</v>
      </c>
      <c r="D813" s="37" t="s">
        <v>64</v>
      </c>
      <c r="E813" s="37" t="s">
        <v>99</v>
      </c>
      <c r="F813" s="37" t="s">
        <v>198</v>
      </c>
      <c r="G813" s="37" t="s">
        <v>375</v>
      </c>
      <c r="H813" s="37"/>
      <c r="I813" s="37" t="s">
        <v>376</v>
      </c>
      <c r="J813" s="37" t="s">
        <v>377</v>
      </c>
      <c r="K813" s="45" t="n">
        <v>0</v>
      </c>
      <c r="L813" s="46" t="n">
        <v>7465.64</v>
      </c>
    </row>
    <row r="814" customFormat="false" ht="15" hidden="false" customHeight="false" outlineLevel="0" collapsed="false">
      <c r="A814" s="37" t="n">
        <v>502143</v>
      </c>
      <c r="B814" s="37" t="s">
        <v>1024</v>
      </c>
      <c r="C814" s="37" t="n">
        <v>202511</v>
      </c>
      <c r="D814" s="37" t="s">
        <v>65</v>
      </c>
      <c r="E814" s="37" t="s">
        <v>99</v>
      </c>
      <c r="F814" s="37" t="s">
        <v>198</v>
      </c>
      <c r="G814" s="37" t="s">
        <v>375</v>
      </c>
      <c r="H814" s="37"/>
      <c r="I814" s="37" t="s">
        <v>376</v>
      </c>
      <c r="J814" s="37" t="s">
        <v>377</v>
      </c>
      <c r="K814" s="45" t="n">
        <v>0</v>
      </c>
      <c r="L814" s="46" t="n">
        <v>8390.14</v>
      </c>
    </row>
    <row r="815" customFormat="false" ht="15" hidden="false" customHeight="false" outlineLevel="0" collapsed="false">
      <c r="A815" s="37" t="n">
        <v>501681</v>
      </c>
      <c r="B815" s="37" t="s">
        <v>1025</v>
      </c>
      <c r="C815" s="37" t="n">
        <v>202512</v>
      </c>
      <c r="D815" s="37" t="s">
        <v>63</v>
      </c>
      <c r="E815" s="37" t="s">
        <v>98</v>
      </c>
      <c r="F815" s="37" t="s">
        <v>196</v>
      </c>
      <c r="G815" s="37" t="s">
        <v>358</v>
      </c>
      <c r="H815" s="37" t="s">
        <v>359</v>
      </c>
      <c r="I815" s="37" t="s">
        <v>360</v>
      </c>
      <c r="J815" s="37" t="s">
        <v>1026</v>
      </c>
      <c r="K815" s="45" t="n">
        <v>0</v>
      </c>
      <c r="L815" s="46" t="n">
        <v>3973.98</v>
      </c>
    </row>
    <row r="816" customFormat="false" ht="15" hidden="false" customHeight="false" outlineLevel="0" collapsed="false">
      <c r="A816" s="37" t="n">
        <v>501769</v>
      </c>
      <c r="B816" s="37" t="s">
        <v>1025</v>
      </c>
      <c r="C816" s="37" t="n">
        <v>202512</v>
      </c>
      <c r="D816" s="37" t="s">
        <v>63</v>
      </c>
      <c r="E816" s="37" t="s">
        <v>103</v>
      </c>
      <c r="F816" s="37" t="s">
        <v>205</v>
      </c>
      <c r="G816" s="37" t="s">
        <v>358</v>
      </c>
      <c r="H816" s="37" t="s">
        <v>921</v>
      </c>
      <c r="I816" s="37" t="s">
        <v>728</v>
      </c>
      <c r="J816" s="37" t="s">
        <v>1027</v>
      </c>
      <c r="K816" s="45" t="n">
        <v>0</v>
      </c>
      <c r="L816" s="46" t="n">
        <v>125489.11</v>
      </c>
    </row>
    <row r="817" customFormat="false" ht="15" hidden="false" customHeight="false" outlineLevel="0" collapsed="false">
      <c r="A817" s="37" t="n">
        <v>500653</v>
      </c>
      <c r="B817" s="37" t="s">
        <v>1028</v>
      </c>
      <c r="C817" s="37" t="n">
        <v>202512</v>
      </c>
      <c r="D817" s="37" t="s">
        <v>59</v>
      </c>
      <c r="E817" s="37" t="s">
        <v>102</v>
      </c>
      <c r="F817" s="37" t="s">
        <v>205</v>
      </c>
      <c r="G817" s="37" t="s">
        <v>358</v>
      </c>
      <c r="H817" s="37" t="s">
        <v>591</v>
      </c>
      <c r="I817" s="37" t="s">
        <v>592</v>
      </c>
      <c r="J817" s="37" t="s">
        <v>1029</v>
      </c>
      <c r="K817" s="45" t="n">
        <v>0</v>
      </c>
      <c r="L817" s="46" t="n">
        <v>1195.24</v>
      </c>
    </row>
    <row r="818" customFormat="false" ht="15" hidden="false" customHeight="false" outlineLevel="0" collapsed="false">
      <c r="A818" s="37" t="n">
        <v>500673</v>
      </c>
      <c r="B818" s="37" t="s">
        <v>1028</v>
      </c>
      <c r="C818" s="37" t="n">
        <v>202512</v>
      </c>
      <c r="D818" s="37" t="s">
        <v>59</v>
      </c>
      <c r="E818" s="37" t="s">
        <v>103</v>
      </c>
      <c r="F818" s="37" t="s">
        <v>205</v>
      </c>
      <c r="G818" s="37" t="s">
        <v>358</v>
      </c>
      <c r="H818" s="37" t="s">
        <v>622</v>
      </c>
      <c r="I818" s="37" t="s">
        <v>623</v>
      </c>
      <c r="J818" s="37" t="s">
        <v>1030</v>
      </c>
      <c r="K818" s="45" t="n">
        <v>0</v>
      </c>
      <c r="L818" s="46" t="n">
        <v>28504.69</v>
      </c>
    </row>
    <row r="819" customFormat="false" ht="15" hidden="false" customHeight="false" outlineLevel="0" collapsed="false">
      <c r="A819" s="37" t="n">
        <v>500079</v>
      </c>
      <c r="B819" s="37" t="s">
        <v>1031</v>
      </c>
      <c r="C819" s="37" t="n">
        <v>202512</v>
      </c>
      <c r="D819" s="37" t="s">
        <v>58</v>
      </c>
      <c r="E819" s="37" t="s">
        <v>97</v>
      </c>
      <c r="F819" s="37" t="s">
        <v>194</v>
      </c>
      <c r="G819" s="37" t="s">
        <v>354</v>
      </c>
      <c r="H819" s="37"/>
      <c r="I819" s="37" t="s">
        <v>355</v>
      </c>
      <c r="J819" s="37" t="s">
        <v>1032</v>
      </c>
      <c r="K819" s="45" t="n">
        <v>146.4</v>
      </c>
      <c r="L819" s="46" t="n">
        <v>13471.02</v>
      </c>
    </row>
    <row r="820" customFormat="false" ht="15" hidden="false" customHeight="false" outlineLevel="0" collapsed="false">
      <c r="A820" s="37" t="n">
        <v>500353</v>
      </c>
      <c r="B820" s="37" t="s">
        <v>1031</v>
      </c>
      <c r="C820" s="37" t="n">
        <v>202512</v>
      </c>
      <c r="D820" s="37" t="s">
        <v>58</v>
      </c>
      <c r="E820" s="37" t="s">
        <v>106</v>
      </c>
      <c r="F820" s="37" t="s">
        <v>194</v>
      </c>
      <c r="G820" s="37" t="s">
        <v>354</v>
      </c>
      <c r="H820" s="37"/>
      <c r="I820" s="37" t="s">
        <v>355</v>
      </c>
      <c r="J820" s="37" t="s">
        <v>1032</v>
      </c>
      <c r="K820" s="45" t="n">
        <v>170.9</v>
      </c>
      <c r="L820" s="46" t="n">
        <v>12132.3</v>
      </c>
    </row>
    <row r="821" customFormat="false" ht="15" hidden="false" customHeight="false" outlineLevel="0" collapsed="false">
      <c r="A821" s="37" t="n">
        <v>500385</v>
      </c>
      <c r="B821" s="37" t="s">
        <v>1031</v>
      </c>
      <c r="C821" s="37" t="n">
        <v>202512</v>
      </c>
      <c r="D821" s="37" t="s">
        <v>58</v>
      </c>
      <c r="E821" s="37" t="s">
        <v>108</v>
      </c>
      <c r="F821" s="37" t="s">
        <v>205</v>
      </c>
      <c r="G821" s="37" t="s">
        <v>358</v>
      </c>
      <c r="H821" s="37" t="s">
        <v>885</v>
      </c>
      <c r="I821" s="37" t="s">
        <v>886</v>
      </c>
      <c r="J821" s="37" t="s">
        <v>1033</v>
      </c>
      <c r="K821" s="45" t="n">
        <v>0</v>
      </c>
      <c r="L821" s="46" t="n">
        <v>17256.53</v>
      </c>
    </row>
    <row r="822" customFormat="false" ht="15" hidden="false" customHeight="false" outlineLevel="0" collapsed="false">
      <c r="A822" s="37" t="n">
        <v>500487</v>
      </c>
      <c r="B822" s="37" t="s">
        <v>1031</v>
      </c>
      <c r="C822" s="37" t="n">
        <v>202512</v>
      </c>
      <c r="D822" s="37" t="s">
        <v>59</v>
      </c>
      <c r="E822" s="37" t="s">
        <v>97</v>
      </c>
      <c r="F822" s="37" t="s">
        <v>194</v>
      </c>
      <c r="G822" s="37" t="s">
        <v>354</v>
      </c>
      <c r="H822" s="37"/>
      <c r="I822" s="37" t="s">
        <v>355</v>
      </c>
      <c r="J822" s="37" t="s">
        <v>1032</v>
      </c>
      <c r="K822" s="45" t="n">
        <v>302.7</v>
      </c>
      <c r="L822" s="46" t="n">
        <v>27847.67</v>
      </c>
    </row>
    <row r="823" customFormat="false" ht="15" hidden="false" customHeight="false" outlineLevel="0" collapsed="false">
      <c r="A823" s="37" t="n">
        <v>500631</v>
      </c>
      <c r="B823" s="37" t="s">
        <v>1031</v>
      </c>
      <c r="C823" s="37" t="n">
        <v>202512</v>
      </c>
      <c r="D823" s="37" t="s">
        <v>59</v>
      </c>
      <c r="E823" s="37" t="s">
        <v>101</v>
      </c>
      <c r="F823" s="37" t="s">
        <v>194</v>
      </c>
      <c r="G823" s="37" t="s">
        <v>354</v>
      </c>
      <c r="H823" s="37"/>
      <c r="I823" s="37" t="s">
        <v>355</v>
      </c>
      <c r="J823" s="37" t="s">
        <v>1032</v>
      </c>
      <c r="K823" s="45" t="n">
        <v>183.5</v>
      </c>
      <c r="L823" s="46" t="n">
        <v>13578.88</v>
      </c>
    </row>
    <row r="824" customFormat="false" ht="15" hidden="false" customHeight="false" outlineLevel="0" collapsed="false">
      <c r="A824" s="37" t="n">
        <v>500689</v>
      </c>
      <c r="B824" s="37" t="s">
        <v>1031</v>
      </c>
      <c r="C824" s="37" t="n">
        <v>202512</v>
      </c>
      <c r="D824" s="37" t="s">
        <v>59</v>
      </c>
      <c r="E824" s="37" t="s">
        <v>106</v>
      </c>
      <c r="F824" s="37" t="s">
        <v>194</v>
      </c>
      <c r="G824" s="37" t="s">
        <v>354</v>
      </c>
      <c r="H824" s="37"/>
      <c r="I824" s="37" t="s">
        <v>355</v>
      </c>
      <c r="J824" s="37" t="s">
        <v>1032</v>
      </c>
      <c r="K824" s="45" t="n">
        <v>64.9</v>
      </c>
      <c r="L824" s="46" t="n">
        <v>4607.42</v>
      </c>
    </row>
    <row r="825" customFormat="false" ht="15" hidden="false" customHeight="false" outlineLevel="0" collapsed="false">
      <c r="A825" s="37" t="n">
        <v>500816</v>
      </c>
      <c r="B825" s="37" t="s">
        <v>1031</v>
      </c>
      <c r="C825" s="37" t="n">
        <v>202512</v>
      </c>
      <c r="D825" s="37" t="s">
        <v>60</v>
      </c>
      <c r="E825" s="37" t="s">
        <v>97</v>
      </c>
      <c r="F825" s="37" t="s">
        <v>194</v>
      </c>
      <c r="G825" s="37" t="s">
        <v>354</v>
      </c>
      <c r="H825" s="37"/>
      <c r="I825" s="37" t="s">
        <v>355</v>
      </c>
      <c r="J825" s="37" t="s">
        <v>1032</v>
      </c>
      <c r="K825" s="45" t="n">
        <v>354.7</v>
      </c>
      <c r="L825" s="46" t="n">
        <v>32631.19</v>
      </c>
    </row>
    <row r="826" customFormat="false" ht="15" hidden="false" customHeight="false" outlineLevel="0" collapsed="false">
      <c r="A826" s="37" t="n">
        <v>500944</v>
      </c>
      <c r="B826" s="37" t="s">
        <v>1031</v>
      </c>
      <c r="C826" s="37" t="n">
        <v>202512</v>
      </c>
      <c r="D826" s="37" t="s">
        <v>60</v>
      </c>
      <c r="E826" s="37" t="s">
        <v>101</v>
      </c>
      <c r="F826" s="37" t="s">
        <v>194</v>
      </c>
      <c r="G826" s="37" t="s">
        <v>354</v>
      </c>
      <c r="H826" s="37"/>
      <c r="I826" s="37" t="s">
        <v>355</v>
      </c>
      <c r="J826" s="37" t="s">
        <v>1032</v>
      </c>
      <c r="K826" s="45" t="n">
        <v>445.4</v>
      </c>
      <c r="L826" s="46" t="n">
        <v>32962.51</v>
      </c>
    </row>
    <row r="827" customFormat="false" ht="15" hidden="false" customHeight="false" outlineLevel="0" collapsed="false">
      <c r="A827" s="37" t="n">
        <v>501123</v>
      </c>
      <c r="B827" s="37" t="s">
        <v>1031</v>
      </c>
      <c r="C827" s="37" t="n">
        <v>202512</v>
      </c>
      <c r="D827" s="37" t="s">
        <v>61</v>
      </c>
      <c r="E827" s="37" t="s">
        <v>97</v>
      </c>
      <c r="F827" s="37" t="s">
        <v>194</v>
      </c>
      <c r="G827" s="37" t="s">
        <v>354</v>
      </c>
      <c r="H827" s="37"/>
      <c r="I827" s="37" t="s">
        <v>355</v>
      </c>
      <c r="J827" s="37" t="s">
        <v>1032</v>
      </c>
      <c r="K827" s="45" t="n">
        <v>129.6</v>
      </c>
      <c r="L827" s="46" t="n">
        <v>11925.76</v>
      </c>
    </row>
    <row r="828" customFormat="false" ht="15" hidden="false" customHeight="false" outlineLevel="0" collapsed="false">
      <c r="A828" s="37" t="n">
        <v>501237</v>
      </c>
      <c r="B828" s="37" t="s">
        <v>1031</v>
      </c>
      <c r="C828" s="37" t="n">
        <v>202512</v>
      </c>
      <c r="D828" s="37" t="s">
        <v>61</v>
      </c>
      <c r="E828" s="37" t="s">
        <v>101</v>
      </c>
      <c r="F828" s="37" t="s">
        <v>194</v>
      </c>
      <c r="G828" s="37" t="s">
        <v>354</v>
      </c>
      <c r="H828" s="37"/>
      <c r="I828" s="37" t="s">
        <v>355</v>
      </c>
      <c r="J828" s="37" t="s">
        <v>1032</v>
      </c>
      <c r="K828" s="45" t="n">
        <v>211.2</v>
      </c>
      <c r="L828" s="46" t="n">
        <v>15629.76</v>
      </c>
    </row>
    <row r="829" customFormat="false" ht="15" hidden="false" customHeight="false" outlineLevel="0" collapsed="false">
      <c r="A829" s="37" t="n">
        <v>501283</v>
      </c>
      <c r="B829" s="37" t="s">
        <v>1031</v>
      </c>
      <c r="C829" s="37" t="n">
        <v>202512</v>
      </c>
      <c r="D829" s="37" t="s">
        <v>61</v>
      </c>
      <c r="E829" s="37" t="s">
        <v>106</v>
      </c>
      <c r="F829" s="37" t="s">
        <v>194</v>
      </c>
      <c r="G829" s="37" t="s">
        <v>354</v>
      </c>
      <c r="H829" s="37"/>
      <c r="I829" s="37" t="s">
        <v>355</v>
      </c>
      <c r="J829" s="37" t="s">
        <v>1032</v>
      </c>
      <c r="K829" s="45" t="n">
        <v>2.7</v>
      </c>
      <c r="L829" s="46" t="n">
        <v>190.92</v>
      </c>
    </row>
    <row r="830" customFormat="false" ht="15" hidden="false" customHeight="false" outlineLevel="0" collapsed="false">
      <c r="A830" s="37" t="n">
        <v>501384</v>
      </c>
      <c r="B830" s="37" t="s">
        <v>1031</v>
      </c>
      <c r="C830" s="37" t="n">
        <v>202512</v>
      </c>
      <c r="D830" s="37" t="s">
        <v>62</v>
      </c>
      <c r="E830" s="37" t="s">
        <v>97</v>
      </c>
      <c r="F830" s="37" t="s">
        <v>194</v>
      </c>
      <c r="G830" s="37" t="s">
        <v>354</v>
      </c>
      <c r="H830" s="37"/>
      <c r="I830" s="37" t="s">
        <v>355</v>
      </c>
      <c r="J830" s="37" t="s">
        <v>1032</v>
      </c>
      <c r="K830" s="45" t="n">
        <v>54</v>
      </c>
      <c r="L830" s="46" t="n">
        <v>4968.19</v>
      </c>
    </row>
    <row r="831" customFormat="false" ht="15" hidden="false" customHeight="false" outlineLevel="0" collapsed="false">
      <c r="A831" s="37" t="n">
        <v>501488</v>
      </c>
      <c r="B831" s="37" t="s">
        <v>1031</v>
      </c>
      <c r="C831" s="37" t="n">
        <v>202512</v>
      </c>
      <c r="D831" s="37" t="s">
        <v>62</v>
      </c>
      <c r="E831" s="37" t="s">
        <v>101</v>
      </c>
      <c r="F831" s="37" t="s">
        <v>194</v>
      </c>
      <c r="G831" s="37" t="s">
        <v>354</v>
      </c>
      <c r="H831" s="37"/>
      <c r="I831" s="37" t="s">
        <v>355</v>
      </c>
      <c r="J831" s="37" t="s">
        <v>1032</v>
      </c>
      <c r="K831" s="45" t="n">
        <v>392.4</v>
      </c>
      <c r="L831" s="46" t="n">
        <v>29038.15</v>
      </c>
    </row>
    <row r="832" customFormat="false" ht="15" hidden="false" customHeight="false" outlineLevel="0" collapsed="false">
      <c r="A832" s="37" t="n">
        <v>501521</v>
      </c>
      <c r="B832" s="37" t="s">
        <v>1031</v>
      </c>
      <c r="C832" s="37" t="n">
        <v>202512</v>
      </c>
      <c r="D832" s="37" t="s">
        <v>62</v>
      </c>
      <c r="E832" s="37" t="s">
        <v>102</v>
      </c>
      <c r="F832" s="37" t="s">
        <v>205</v>
      </c>
      <c r="G832" s="37" t="s">
        <v>358</v>
      </c>
      <c r="H832" s="37" t="s">
        <v>810</v>
      </c>
      <c r="I832" s="37" t="s">
        <v>811</v>
      </c>
      <c r="J832" s="37" t="s">
        <v>1034</v>
      </c>
      <c r="K832" s="45" t="n">
        <v>0</v>
      </c>
      <c r="L832" s="46" t="n">
        <v>104124.18</v>
      </c>
    </row>
    <row r="833" customFormat="false" ht="15" hidden="false" customHeight="false" outlineLevel="0" collapsed="false">
      <c r="A833" s="37" t="n">
        <v>501523</v>
      </c>
      <c r="B833" s="37" t="s">
        <v>1031</v>
      </c>
      <c r="C833" s="37" t="n">
        <v>202512</v>
      </c>
      <c r="D833" s="37" t="s">
        <v>62</v>
      </c>
      <c r="E833" s="37" t="s">
        <v>102</v>
      </c>
      <c r="F833" s="37" t="s">
        <v>205</v>
      </c>
      <c r="G833" s="37" t="s">
        <v>358</v>
      </c>
      <c r="H833" s="37" t="s">
        <v>810</v>
      </c>
      <c r="I833" s="37" t="s">
        <v>811</v>
      </c>
      <c r="J833" s="37" t="s">
        <v>1035</v>
      </c>
      <c r="K833" s="45" t="n">
        <v>0</v>
      </c>
      <c r="L833" s="46" t="n">
        <v>25835.07</v>
      </c>
    </row>
    <row r="834" customFormat="false" ht="15" hidden="false" customHeight="false" outlineLevel="0" collapsed="false">
      <c r="A834" s="37" t="n">
        <v>501630</v>
      </c>
      <c r="B834" s="37" t="s">
        <v>1031</v>
      </c>
      <c r="C834" s="37" t="n">
        <v>202512</v>
      </c>
      <c r="D834" s="37" t="s">
        <v>63</v>
      </c>
      <c r="E834" s="37" t="s">
        <v>97</v>
      </c>
      <c r="F834" s="37" t="s">
        <v>194</v>
      </c>
      <c r="G834" s="37" t="s">
        <v>354</v>
      </c>
      <c r="H834" s="37"/>
      <c r="I834" s="37" t="s">
        <v>355</v>
      </c>
      <c r="J834" s="37" t="s">
        <v>1032</v>
      </c>
      <c r="K834" s="45" t="n">
        <v>204.9</v>
      </c>
      <c r="L834" s="46" t="n">
        <v>18848.77</v>
      </c>
    </row>
    <row r="835" customFormat="false" ht="15" hidden="false" customHeight="false" outlineLevel="0" collapsed="false">
      <c r="A835" s="37" t="n">
        <v>501734</v>
      </c>
      <c r="B835" s="37" t="s">
        <v>1031</v>
      </c>
      <c r="C835" s="37" t="n">
        <v>202512</v>
      </c>
      <c r="D835" s="37" t="s">
        <v>63</v>
      </c>
      <c r="E835" s="37" t="s">
        <v>101</v>
      </c>
      <c r="F835" s="37" t="s">
        <v>194</v>
      </c>
      <c r="G835" s="37" t="s">
        <v>354</v>
      </c>
      <c r="H835" s="37"/>
      <c r="I835" s="37" t="s">
        <v>355</v>
      </c>
      <c r="J835" s="37" t="s">
        <v>1032</v>
      </c>
      <c r="K835" s="45" t="n">
        <v>343.8</v>
      </c>
      <c r="L835" s="46" t="n">
        <v>25442.81</v>
      </c>
    </row>
    <row r="836" customFormat="false" ht="15" hidden="false" customHeight="false" outlineLevel="0" collapsed="false">
      <c r="A836" s="37" t="n">
        <v>501864</v>
      </c>
      <c r="B836" s="37" t="s">
        <v>1031</v>
      </c>
      <c r="C836" s="37" t="n">
        <v>202512</v>
      </c>
      <c r="D836" s="37" t="s">
        <v>64</v>
      </c>
      <c r="E836" s="37" t="s">
        <v>97</v>
      </c>
      <c r="F836" s="37" t="s">
        <v>194</v>
      </c>
      <c r="G836" s="37" t="s">
        <v>354</v>
      </c>
      <c r="H836" s="37"/>
      <c r="I836" s="37" t="s">
        <v>355</v>
      </c>
      <c r="J836" s="37" t="s">
        <v>1032</v>
      </c>
      <c r="K836" s="45" t="n">
        <v>41</v>
      </c>
      <c r="L836" s="46" t="n">
        <v>3772.66</v>
      </c>
    </row>
    <row r="837" customFormat="false" ht="15" hidden="false" customHeight="false" outlineLevel="0" collapsed="false">
      <c r="A837" s="37" t="n">
        <v>501954</v>
      </c>
      <c r="B837" s="37" t="s">
        <v>1031</v>
      </c>
      <c r="C837" s="37" t="n">
        <v>202512</v>
      </c>
      <c r="D837" s="37" t="s">
        <v>64</v>
      </c>
      <c r="E837" s="37" t="s">
        <v>101</v>
      </c>
      <c r="F837" s="37" t="s">
        <v>194</v>
      </c>
      <c r="G837" s="37" t="s">
        <v>354</v>
      </c>
      <c r="H837" s="37"/>
      <c r="I837" s="37" t="s">
        <v>355</v>
      </c>
      <c r="J837" s="37" t="s">
        <v>1032</v>
      </c>
      <c r="K837" s="45" t="n">
        <v>163.9</v>
      </c>
      <c r="L837" s="46" t="n">
        <v>12131.47</v>
      </c>
    </row>
    <row r="838" customFormat="false" ht="15" hidden="false" customHeight="false" outlineLevel="0" collapsed="false">
      <c r="A838" s="37" t="n">
        <v>502080</v>
      </c>
      <c r="B838" s="37" t="s">
        <v>1031</v>
      </c>
      <c r="C838" s="37" t="n">
        <v>202512</v>
      </c>
      <c r="D838" s="37" t="s">
        <v>65</v>
      </c>
      <c r="E838" s="37" t="s">
        <v>97</v>
      </c>
      <c r="F838" s="37" t="s">
        <v>194</v>
      </c>
      <c r="G838" s="37" t="s">
        <v>354</v>
      </c>
      <c r="H838" s="37"/>
      <c r="I838" s="37" t="s">
        <v>355</v>
      </c>
      <c r="J838" s="37" t="s">
        <v>1032</v>
      </c>
      <c r="K838" s="45" t="n">
        <v>78.8</v>
      </c>
      <c r="L838" s="46" t="n">
        <v>7253.95</v>
      </c>
    </row>
    <row r="839" customFormat="false" ht="15" hidden="false" customHeight="false" outlineLevel="0" collapsed="false">
      <c r="A839" s="37" t="n">
        <v>502159</v>
      </c>
      <c r="B839" s="37" t="s">
        <v>1031</v>
      </c>
      <c r="C839" s="37" t="n">
        <v>202512</v>
      </c>
      <c r="D839" s="37" t="s">
        <v>65</v>
      </c>
      <c r="E839" s="37" t="s">
        <v>101</v>
      </c>
      <c r="F839" s="37" t="s">
        <v>194</v>
      </c>
      <c r="G839" s="37" t="s">
        <v>354</v>
      </c>
      <c r="H839" s="37"/>
      <c r="I839" s="37" t="s">
        <v>355</v>
      </c>
      <c r="J839" s="37" t="s">
        <v>1032</v>
      </c>
      <c r="K839" s="45" t="n">
        <v>41.6</v>
      </c>
      <c r="L839" s="46" t="n">
        <v>3080.81</v>
      </c>
    </row>
    <row r="840" customFormat="false" ht="15" hidden="false" customHeight="false" outlineLevel="0" collapsed="false">
      <c r="A840" s="37" t="n">
        <v>500990</v>
      </c>
      <c r="B840" s="37" t="s">
        <v>1036</v>
      </c>
      <c r="C840" s="37" t="n">
        <v>202512</v>
      </c>
      <c r="D840" s="37" t="s">
        <v>60</v>
      </c>
      <c r="E840" s="37" t="s">
        <v>103</v>
      </c>
      <c r="F840" s="37" t="s">
        <v>205</v>
      </c>
      <c r="G840" s="37" t="s">
        <v>358</v>
      </c>
      <c r="H840" s="37" t="s">
        <v>727</v>
      </c>
      <c r="I840" s="37" t="s">
        <v>728</v>
      </c>
      <c r="J840" s="37" t="s">
        <v>1037</v>
      </c>
      <c r="K840" s="45" t="n">
        <v>0</v>
      </c>
      <c r="L840" s="46" t="n">
        <v>42197.65</v>
      </c>
    </row>
    <row r="841" customFormat="false" ht="15" hidden="false" customHeight="false" outlineLevel="0" collapsed="false">
      <c r="A841" s="37" t="n">
        <v>501269</v>
      </c>
      <c r="B841" s="37" t="s">
        <v>1036</v>
      </c>
      <c r="C841" s="37" t="n">
        <v>202512</v>
      </c>
      <c r="D841" s="37" t="s">
        <v>61</v>
      </c>
      <c r="E841" s="37" t="s">
        <v>103</v>
      </c>
      <c r="F841" s="37" t="s">
        <v>205</v>
      </c>
      <c r="G841" s="37" t="s">
        <v>358</v>
      </c>
      <c r="H841" s="37" t="s">
        <v>711</v>
      </c>
      <c r="I841" s="37" t="s">
        <v>401</v>
      </c>
      <c r="J841" s="37" t="s">
        <v>1038</v>
      </c>
      <c r="K841" s="45" t="n">
        <v>0</v>
      </c>
      <c r="L841" s="46" t="n">
        <v>18697.76</v>
      </c>
    </row>
    <row r="842" customFormat="false" ht="15" hidden="false" customHeight="false" outlineLevel="0" collapsed="false">
      <c r="A842" s="37" t="n">
        <v>502193</v>
      </c>
      <c r="B842" s="37" t="s">
        <v>1036</v>
      </c>
      <c r="C842" s="37" t="n">
        <v>202512</v>
      </c>
      <c r="D842" s="37" t="s">
        <v>65</v>
      </c>
      <c r="E842" s="37" t="s">
        <v>102</v>
      </c>
      <c r="F842" s="37" t="s">
        <v>205</v>
      </c>
      <c r="G842" s="37" t="s">
        <v>358</v>
      </c>
      <c r="H842" s="37" t="s">
        <v>1039</v>
      </c>
      <c r="I842" s="37" t="s">
        <v>715</v>
      </c>
      <c r="J842" s="37" t="s">
        <v>1040</v>
      </c>
      <c r="K842" s="45" t="n">
        <v>0</v>
      </c>
      <c r="L842" s="46" t="n">
        <v>35701.25</v>
      </c>
    </row>
    <row r="843" customFormat="false" ht="15" hidden="false" customHeight="false" outlineLevel="0" collapsed="false">
      <c r="A843" s="37" t="n">
        <v>500968</v>
      </c>
      <c r="B843" s="37" t="s">
        <v>1041</v>
      </c>
      <c r="C843" s="37" t="n">
        <v>202512</v>
      </c>
      <c r="D843" s="37" t="s">
        <v>60</v>
      </c>
      <c r="E843" s="37" t="s">
        <v>102</v>
      </c>
      <c r="F843" s="37" t="s">
        <v>205</v>
      </c>
      <c r="G843" s="37" t="s">
        <v>358</v>
      </c>
      <c r="H843" s="37" t="s">
        <v>670</v>
      </c>
      <c r="I843" s="37" t="s">
        <v>671</v>
      </c>
      <c r="J843" s="37" t="s">
        <v>1042</v>
      </c>
      <c r="K843" s="45" t="n">
        <v>0</v>
      </c>
      <c r="L843" s="46" t="n">
        <v>11649.27</v>
      </c>
    </row>
    <row r="844" customFormat="false" ht="15" hidden="false" customHeight="false" outlineLevel="0" collapsed="false">
      <c r="A844" s="37" t="n">
        <v>501436</v>
      </c>
      <c r="B844" s="37" t="s">
        <v>1041</v>
      </c>
      <c r="C844" s="37" t="n">
        <v>202512</v>
      </c>
      <c r="D844" s="37" t="s">
        <v>62</v>
      </c>
      <c r="E844" s="37" t="s">
        <v>98</v>
      </c>
      <c r="F844" s="37" t="s">
        <v>196</v>
      </c>
      <c r="G844" s="37" t="s">
        <v>358</v>
      </c>
      <c r="H844" s="37" t="s">
        <v>359</v>
      </c>
      <c r="I844" s="37" t="s">
        <v>360</v>
      </c>
      <c r="J844" s="37" t="s">
        <v>1043</v>
      </c>
      <c r="K844" s="45" t="n">
        <v>0</v>
      </c>
      <c r="L844" s="46" t="n">
        <v>3271.87</v>
      </c>
    </row>
    <row r="845" customFormat="false" ht="15" hidden="false" customHeight="false" outlineLevel="0" collapsed="false">
      <c r="A845" s="37" t="n">
        <v>500654</v>
      </c>
      <c r="B845" s="37" t="s">
        <v>1044</v>
      </c>
      <c r="C845" s="37" t="n">
        <v>202512</v>
      </c>
      <c r="D845" s="37" t="s">
        <v>59</v>
      </c>
      <c r="E845" s="37" t="s">
        <v>102</v>
      </c>
      <c r="F845" s="37" t="s">
        <v>205</v>
      </c>
      <c r="G845" s="37" t="s">
        <v>358</v>
      </c>
      <c r="H845" s="37" t="s">
        <v>591</v>
      </c>
      <c r="I845" s="37" t="s">
        <v>592</v>
      </c>
      <c r="J845" s="37" t="s">
        <v>1045</v>
      </c>
      <c r="K845" s="45" t="n">
        <v>0</v>
      </c>
      <c r="L845" s="46" t="n">
        <v>2797.33</v>
      </c>
    </row>
    <row r="846" customFormat="false" ht="15" hidden="false" customHeight="false" outlineLevel="0" collapsed="false">
      <c r="A846" s="37" t="n">
        <v>500969</v>
      </c>
      <c r="B846" s="37" t="s">
        <v>1044</v>
      </c>
      <c r="C846" s="37" t="n">
        <v>202512</v>
      </c>
      <c r="D846" s="37" t="s">
        <v>60</v>
      </c>
      <c r="E846" s="37" t="s">
        <v>102</v>
      </c>
      <c r="F846" s="37" t="s">
        <v>205</v>
      </c>
      <c r="G846" s="37" t="s">
        <v>358</v>
      </c>
      <c r="H846" s="37" t="s">
        <v>670</v>
      </c>
      <c r="I846" s="37" t="s">
        <v>671</v>
      </c>
      <c r="J846" s="37" t="s">
        <v>1046</v>
      </c>
      <c r="K846" s="45" t="n">
        <v>0</v>
      </c>
      <c r="L846" s="46" t="n">
        <v>4895.97</v>
      </c>
    </row>
    <row r="847" customFormat="false" ht="15" hidden="false" customHeight="false" outlineLevel="0" collapsed="false">
      <c r="A847" s="37" t="n">
        <v>500384</v>
      </c>
      <c r="B847" s="37" t="s">
        <v>1047</v>
      </c>
      <c r="C847" s="37" t="n">
        <v>202512</v>
      </c>
      <c r="D847" s="37" t="s">
        <v>58</v>
      </c>
      <c r="E847" s="37" t="s">
        <v>108</v>
      </c>
      <c r="F847" s="37" t="s">
        <v>205</v>
      </c>
      <c r="G847" s="37" t="s">
        <v>358</v>
      </c>
      <c r="H847" s="37" t="s">
        <v>885</v>
      </c>
      <c r="I847" s="37" t="s">
        <v>886</v>
      </c>
      <c r="J847" s="37" t="s">
        <v>1048</v>
      </c>
      <c r="K847" s="45" t="n">
        <v>0</v>
      </c>
      <c r="L847" s="46" t="n">
        <v>55685.32</v>
      </c>
    </row>
    <row r="848" customFormat="false" ht="15" hidden="false" customHeight="false" outlineLevel="0" collapsed="false">
      <c r="A848" s="37" t="n">
        <v>501522</v>
      </c>
      <c r="B848" s="37" t="s">
        <v>1047</v>
      </c>
      <c r="C848" s="37" t="n">
        <v>202512</v>
      </c>
      <c r="D848" s="37" t="s">
        <v>62</v>
      </c>
      <c r="E848" s="37" t="s">
        <v>102</v>
      </c>
      <c r="F848" s="37" t="s">
        <v>205</v>
      </c>
      <c r="G848" s="37" t="s">
        <v>358</v>
      </c>
      <c r="H848" s="37" t="s">
        <v>810</v>
      </c>
      <c r="I848" s="37" t="s">
        <v>811</v>
      </c>
      <c r="J848" s="37" t="s">
        <v>1049</v>
      </c>
      <c r="K848" s="45" t="n">
        <v>0</v>
      </c>
      <c r="L848" s="46" t="n">
        <v>30395.05</v>
      </c>
    </row>
    <row r="849" customFormat="false" ht="15" hidden="false" customHeight="false" outlineLevel="0" collapsed="false">
      <c r="A849" s="37" t="n">
        <v>502000</v>
      </c>
      <c r="B849" s="37" t="s">
        <v>1047</v>
      </c>
      <c r="C849" s="37" t="n">
        <v>202512</v>
      </c>
      <c r="D849" s="37" t="s">
        <v>64</v>
      </c>
      <c r="E849" s="37" t="s">
        <v>103</v>
      </c>
      <c r="F849" s="37" t="s">
        <v>205</v>
      </c>
      <c r="G849" s="37" t="s">
        <v>358</v>
      </c>
      <c r="H849" s="37" t="s">
        <v>969</v>
      </c>
      <c r="I849" s="37" t="s">
        <v>898</v>
      </c>
      <c r="J849" s="37" t="s">
        <v>1050</v>
      </c>
      <c r="K849" s="45" t="n">
        <v>0</v>
      </c>
      <c r="L849" s="46" t="n">
        <v>22536.7</v>
      </c>
    </row>
    <row r="850" customFormat="false" ht="15" hidden="false" customHeight="false" outlineLevel="0" collapsed="false">
      <c r="A850" s="37" t="n">
        <v>502203</v>
      </c>
      <c r="B850" s="37" t="s">
        <v>1047</v>
      </c>
      <c r="C850" s="37" t="n">
        <v>202512</v>
      </c>
      <c r="D850" s="37" t="s">
        <v>65</v>
      </c>
      <c r="E850" s="37" t="s">
        <v>103</v>
      </c>
      <c r="F850" s="37" t="s">
        <v>205</v>
      </c>
      <c r="G850" s="37" t="s">
        <v>358</v>
      </c>
      <c r="H850" s="37" t="s">
        <v>1051</v>
      </c>
      <c r="I850" s="37" t="s">
        <v>898</v>
      </c>
      <c r="J850" s="37" t="s">
        <v>1052</v>
      </c>
      <c r="K850" s="45" t="n">
        <v>0</v>
      </c>
      <c r="L850" s="46" t="n">
        <v>20723.47</v>
      </c>
    </row>
    <row r="851" customFormat="false" ht="15" hidden="false" customHeight="false" outlineLevel="0" collapsed="false">
      <c r="A851" s="37" t="n">
        <v>501257</v>
      </c>
      <c r="B851" s="37" t="s">
        <v>1053</v>
      </c>
      <c r="C851" s="37" t="n">
        <v>202512</v>
      </c>
      <c r="D851" s="37" t="s">
        <v>61</v>
      </c>
      <c r="E851" s="37" t="s">
        <v>102</v>
      </c>
      <c r="F851" s="37" t="s">
        <v>205</v>
      </c>
      <c r="G851" s="37" t="s">
        <v>358</v>
      </c>
      <c r="H851" s="37" t="s">
        <v>714</v>
      </c>
      <c r="I851" s="37" t="s">
        <v>715</v>
      </c>
      <c r="J851" s="37" t="s">
        <v>1054</v>
      </c>
      <c r="K851" s="45" t="n">
        <v>0</v>
      </c>
      <c r="L851" s="46" t="n">
        <v>45721.75</v>
      </c>
    </row>
    <row r="852" customFormat="false" ht="15" hidden="false" customHeight="false" outlineLevel="0" collapsed="false">
      <c r="A852" s="37" t="n">
        <v>501437</v>
      </c>
      <c r="B852" s="37" t="s">
        <v>1053</v>
      </c>
      <c r="C852" s="37" t="n">
        <v>202512</v>
      </c>
      <c r="D852" s="37" t="s">
        <v>62</v>
      </c>
      <c r="E852" s="37" t="s">
        <v>98</v>
      </c>
      <c r="F852" s="37" t="s">
        <v>196</v>
      </c>
      <c r="G852" s="37" t="s">
        <v>358</v>
      </c>
      <c r="H852" s="37" t="s">
        <v>359</v>
      </c>
      <c r="I852" s="37" t="s">
        <v>360</v>
      </c>
      <c r="J852" s="37" t="s">
        <v>1055</v>
      </c>
      <c r="K852" s="45" t="n">
        <v>0</v>
      </c>
      <c r="L852" s="46" t="n">
        <v>23384.01</v>
      </c>
    </row>
    <row r="853" customFormat="false" ht="15" hidden="false" customHeight="false" outlineLevel="0" collapsed="false">
      <c r="A853" s="37" t="n">
        <v>501538</v>
      </c>
      <c r="B853" s="37" t="s">
        <v>1053</v>
      </c>
      <c r="C853" s="37" t="n">
        <v>202512</v>
      </c>
      <c r="D853" s="37" t="s">
        <v>62</v>
      </c>
      <c r="E853" s="37" t="s">
        <v>103</v>
      </c>
      <c r="F853" s="37" t="s">
        <v>205</v>
      </c>
      <c r="G853" s="37" t="s">
        <v>358</v>
      </c>
      <c r="H853" s="37" t="s">
        <v>897</v>
      </c>
      <c r="I853" s="37" t="s">
        <v>898</v>
      </c>
      <c r="J853" s="37" t="s">
        <v>1056</v>
      </c>
      <c r="K853" s="45" t="n">
        <v>0</v>
      </c>
      <c r="L853" s="46" t="n">
        <v>241316.3</v>
      </c>
    </row>
    <row r="854" customFormat="false" ht="15" hidden="false" customHeight="false" outlineLevel="0" collapsed="false">
      <c r="A854" s="37" t="n">
        <v>500080</v>
      </c>
      <c r="B854" s="37" t="s">
        <v>1057</v>
      </c>
      <c r="C854" s="37" t="n">
        <v>202512</v>
      </c>
      <c r="D854" s="37" t="s">
        <v>58</v>
      </c>
      <c r="E854" s="37" t="s">
        <v>97</v>
      </c>
      <c r="F854" s="37" t="s">
        <v>194</v>
      </c>
      <c r="G854" s="37" t="s">
        <v>354</v>
      </c>
      <c r="H854" s="37"/>
      <c r="I854" s="37" t="s">
        <v>355</v>
      </c>
      <c r="J854" s="37" t="s">
        <v>1058</v>
      </c>
      <c r="K854" s="45" t="n">
        <v>134.4</v>
      </c>
      <c r="L854" s="46" t="n">
        <v>12363.66</v>
      </c>
    </row>
    <row r="855" customFormat="false" ht="15" hidden="false" customHeight="false" outlineLevel="0" collapsed="false">
      <c r="A855" s="37" t="n">
        <v>500354</v>
      </c>
      <c r="B855" s="37" t="s">
        <v>1057</v>
      </c>
      <c r="C855" s="37" t="n">
        <v>202512</v>
      </c>
      <c r="D855" s="37" t="s">
        <v>58</v>
      </c>
      <c r="E855" s="37" t="s">
        <v>106</v>
      </c>
      <c r="F855" s="37" t="s">
        <v>194</v>
      </c>
      <c r="G855" s="37" t="s">
        <v>354</v>
      </c>
      <c r="H855" s="37"/>
      <c r="I855" s="37" t="s">
        <v>355</v>
      </c>
      <c r="J855" s="37" t="s">
        <v>1058</v>
      </c>
      <c r="K855" s="45" t="n">
        <v>150.2</v>
      </c>
      <c r="L855" s="46" t="n">
        <v>10662.82</v>
      </c>
    </row>
    <row r="856" customFormat="false" ht="15" hidden="false" customHeight="false" outlineLevel="0" collapsed="false">
      <c r="A856" s="37" t="n">
        <v>500383</v>
      </c>
      <c r="B856" s="37" t="s">
        <v>1057</v>
      </c>
      <c r="C856" s="37" t="n">
        <v>202512</v>
      </c>
      <c r="D856" s="37" t="s">
        <v>58</v>
      </c>
      <c r="E856" s="37" t="s">
        <v>108</v>
      </c>
      <c r="F856" s="37" t="s">
        <v>205</v>
      </c>
      <c r="G856" s="37" t="s">
        <v>358</v>
      </c>
      <c r="H856" s="37" t="s">
        <v>885</v>
      </c>
      <c r="I856" s="37" t="s">
        <v>886</v>
      </c>
      <c r="J856" s="37" t="s">
        <v>1059</v>
      </c>
      <c r="K856" s="45" t="n">
        <v>0</v>
      </c>
      <c r="L856" s="46" t="n">
        <v>34245.38</v>
      </c>
    </row>
    <row r="857" customFormat="false" ht="15" hidden="false" customHeight="false" outlineLevel="0" collapsed="false">
      <c r="A857" s="37" t="n">
        <v>500488</v>
      </c>
      <c r="B857" s="37" t="s">
        <v>1057</v>
      </c>
      <c r="C857" s="37" t="n">
        <v>202512</v>
      </c>
      <c r="D857" s="37" t="s">
        <v>59</v>
      </c>
      <c r="E857" s="37" t="s">
        <v>97</v>
      </c>
      <c r="F857" s="37" t="s">
        <v>194</v>
      </c>
      <c r="G857" s="37" t="s">
        <v>354</v>
      </c>
      <c r="H857" s="37"/>
      <c r="I857" s="37" t="s">
        <v>355</v>
      </c>
      <c r="J857" s="37" t="s">
        <v>1058</v>
      </c>
      <c r="K857" s="45" t="n">
        <v>212.9</v>
      </c>
      <c r="L857" s="46" t="n">
        <v>19585.3</v>
      </c>
    </row>
    <row r="858" customFormat="false" ht="15" hidden="false" customHeight="false" outlineLevel="0" collapsed="false">
      <c r="A858" s="37" t="n">
        <v>500632</v>
      </c>
      <c r="B858" s="37" t="s">
        <v>1057</v>
      </c>
      <c r="C858" s="37" t="n">
        <v>202512</v>
      </c>
      <c r="D858" s="37" t="s">
        <v>59</v>
      </c>
      <c r="E858" s="37" t="s">
        <v>101</v>
      </c>
      <c r="F858" s="37" t="s">
        <v>194</v>
      </c>
      <c r="G858" s="37" t="s">
        <v>354</v>
      </c>
      <c r="H858" s="37"/>
      <c r="I858" s="37" t="s">
        <v>355</v>
      </c>
      <c r="J858" s="37" t="s">
        <v>1058</v>
      </c>
      <c r="K858" s="45" t="n">
        <v>85</v>
      </c>
      <c r="L858" s="46" t="n">
        <v>6290.44</v>
      </c>
    </row>
    <row r="859" customFormat="false" ht="15" hidden="false" customHeight="false" outlineLevel="0" collapsed="false">
      <c r="A859" s="37" t="n">
        <v>500690</v>
      </c>
      <c r="B859" s="37" t="s">
        <v>1057</v>
      </c>
      <c r="C859" s="37" t="n">
        <v>202512</v>
      </c>
      <c r="D859" s="37" t="s">
        <v>59</v>
      </c>
      <c r="E859" s="37" t="s">
        <v>106</v>
      </c>
      <c r="F859" s="37" t="s">
        <v>194</v>
      </c>
      <c r="G859" s="37" t="s">
        <v>354</v>
      </c>
      <c r="H859" s="37"/>
      <c r="I859" s="37" t="s">
        <v>355</v>
      </c>
      <c r="J859" s="37" t="s">
        <v>1058</v>
      </c>
      <c r="K859" s="45" t="n">
        <v>79.2</v>
      </c>
      <c r="L859" s="46" t="n">
        <v>5624.29</v>
      </c>
    </row>
    <row r="860" customFormat="false" ht="15" hidden="false" customHeight="false" outlineLevel="0" collapsed="false">
      <c r="A860" s="37" t="n">
        <v>500817</v>
      </c>
      <c r="B860" s="37" t="s">
        <v>1057</v>
      </c>
      <c r="C860" s="37" t="n">
        <v>202512</v>
      </c>
      <c r="D860" s="37" t="s">
        <v>60</v>
      </c>
      <c r="E860" s="37" t="s">
        <v>97</v>
      </c>
      <c r="F860" s="37" t="s">
        <v>194</v>
      </c>
      <c r="G860" s="37" t="s">
        <v>354</v>
      </c>
      <c r="H860" s="37"/>
      <c r="I860" s="37" t="s">
        <v>355</v>
      </c>
      <c r="J860" s="37" t="s">
        <v>1058</v>
      </c>
      <c r="K860" s="45" t="n">
        <v>247.6</v>
      </c>
      <c r="L860" s="46" t="n">
        <v>22777.05</v>
      </c>
    </row>
    <row r="861" customFormat="false" ht="15" hidden="false" customHeight="false" outlineLevel="0" collapsed="false">
      <c r="A861" s="37" t="n">
        <v>500874</v>
      </c>
      <c r="B861" s="37" t="s">
        <v>1057</v>
      </c>
      <c r="C861" s="37" t="n">
        <v>202512</v>
      </c>
      <c r="D861" s="37" t="s">
        <v>60</v>
      </c>
      <c r="E861" s="37" t="s">
        <v>98</v>
      </c>
      <c r="F861" s="37" t="s">
        <v>196</v>
      </c>
      <c r="G861" s="37" t="s">
        <v>358</v>
      </c>
      <c r="H861" s="37" t="s">
        <v>359</v>
      </c>
      <c r="I861" s="37" t="s">
        <v>360</v>
      </c>
      <c r="J861" s="37" t="s">
        <v>1060</v>
      </c>
      <c r="K861" s="45" t="n">
        <v>0</v>
      </c>
      <c r="L861" s="46" t="n">
        <v>35399.34</v>
      </c>
    </row>
    <row r="862" customFormat="false" ht="15" hidden="false" customHeight="false" outlineLevel="0" collapsed="false">
      <c r="A862" s="37" t="n">
        <v>500945</v>
      </c>
      <c r="B862" s="37" t="s">
        <v>1057</v>
      </c>
      <c r="C862" s="37" t="n">
        <v>202512</v>
      </c>
      <c r="D862" s="37" t="s">
        <v>60</v>
      </c>
      <c r="E862" s="37" t="s">
        <v>101</v>
      </c>
      <c r="F862" s="37" t="s">
        <v>194</v>
      </c>
      <c r="G862" s="37" t="s">
        <v>354</v>
      </c>
      <c r="H862" s="37"/>
      <c r="I862" s="37" t="s">
        <v>355</v>
      </c>
      <c r="J862" s="37" t="s">
        <v>1058</v>
      </c>
      <c r="K862" s="45" t="n">
        <v>328.6</v>
      </c>
      <c r="L862" s="46" t="n">
        <v>24315.54</v>
      </c>
    </row>
    <row r="863" customFormat="false" ht="15" hidden="false" customHeight="false" outlineLevel="0" collapsed="false">
      <c r="A863" s="37" t="n">
        <v>501124</v>
      </c>
      <c r="B863" s="37" t="s">
        <v>1057</v>
      </c>
      <c r="C863" s="37" t="n">
        <v>202512</v>
      </c>
      <c r="D863" s="37" t="s">
        <v>61</v>
      </c>
      <c r="E863" s="37" t="s">
        <v>97</v>
      </c>
      <c r="F863" s="37" t="s">
        <v>194</v>
      </c>
      <c r="G863" s="37" t="s">
        <v>354</v>
      </c>
      <c r="H863" s="37"/>
      <c r="I863" s="37" t="s">
        <v>355</v>
      </c>
      <c r="J863" s="37" t="s">
        <v>1058</v>
      </c>
      <c r="K863" s="45" t="n">
        <v>334.8</v>
      </c>
      <c r="L863" s="46" t="n">
        <v>30804.75</v>
      </c>
    </row>
    <row r="864" customFormat="false" ht="15" hidden="false" customHeight="false" outlineLevel="0" collapsed="false">
      <c r="A864" s="37" t="n">
        <v>501238</v>
      </c>
      <c r="B864" s="37" t="s">
        <v>1057</v>
      </c>
      <c r="C864" s="37" t="n">
        <v>202512</v>
      </c>
      <c r="D864" s="37" t="s">
        <v>61</v>
      </c>
      <c r="E864" s="37" t="s">
        <v>101</v>
      </c>
      <c r="F864" s="37" t="s">
        <v>194</v>
      </c>
      <c r="G864" s="37" t="s">
        <v>354</v>
      </c>
      <c r="H864" s="37"/>
      <c r="I864" s="37" t="s">
        <v>355</v>
      </c>
      <c r="J864" s="37" t="s">
        <v>1058</v>
      </c>
      <c r="K864" s="45" t="n">
        <v>178.6</v>
      </c>
      <c r="L864" s="46" t="n">
        <v>13217.55</v>
      </c>
    </row>
    <row r="865" customFormat="false" ht="15" hidden="false" customHeight="false" outlineLevel="0" collapsed="false">
      <c r="A865" s="37" t="n">
        <v>501284</v>
      </c>
      <c r="B865" s="37" t="s">
        <v>1057</v>
      </c>
      <c r="C865" s="37" t="n">
        <v>202512</v>
      </c>
      <c r="D865" s="37" t="s">
        <v>61</v>
      </c>
      <c r="E865" s="37" t="s">
        <v>106</v>
      </c>
      <c r="F865" s="37" t="s">
        <v>194</v>
      </c>
      <c r="G865" s="37" t="s">
        <v>354</v>
      </c>
      <c r="H865" s="37"/>
      <c r="I865" s="37" t="s">
        <v>355</v>
      </c>
      <c r="J865" s="37" t="s">
        <v>1058</v>
      </c>
      <c r="K865" s="45" t="n">
        <v>1.7</v>
      </c>
      <c r="L865" s="46" t="n">
        <v>118.78</v>
      </c>
    </row>
    <row r="866" customFormat="false" ht="15" hidden="false" customHeight="false" outlineLevel="0" collapsed="false">
      <c r="A866" s="37" t="n">
        <v>501385</v>
      </c>
      <c r="B866" s="37" t="s">
        <v>1057</v>
      </c>
      <c r="C866" s="37" t="n">
        <v>202512</v>
      </c>
      <c r="D866" s="37" t="s">
        <v>62</v>
      </c>
      <c r="E866" s="37" t="s">
        <v>97</v>
      </c>
      <c r="F866" s="37" t="s">
        <v>194</v>
      </c>
      <c r="G866" s="37" t="s">
        <v>354</v>
      </c>
      <c r="H866" s="37"/>
      <c r="I866" s="37" t="s">
        <v>355</v>
      </c>
      <c r="J866" s="37" t="s">
        <v>1058</v>
      </c>
      <c r="K866" s="45" t="n">
        <v>217.6</v>
      </c>
      <c r="L866" s="46" t="n">
        <v>20018.84</v>
      </c>
    </row>
    <row r="867" customFormat="false" ht="15" hidden="false" customHeight="false" outlineLevel="0" collapsed="false">
      <c r="A867" s="37" t="n">
        <v>501489</v>
      </c>
      <c r="B867" s="37" t="s">
        <v>1057</v>
      </c>
      <c r="C867" s="37" t="n">
        <v>202512</v>
      </c>
      <c r="D867" s="37" t="s">
        <v>62</v>
      </c>
      <c r="E867" s="37" t="s">
        <v>101</v>
      </c>
      <c r="F867" s="37" t="s">
        <v>194</v>
      </c>
      <c r="G867" s="37" t="s">
        <v>354</v>
      </c>
      <c r="H867" s="37"/>
      <c r="I867" s="37" t="s">
        <v>355</v>
      </c>
      <c r="J867" s="37" t="s">
        <v>1058</v>
      </c>
      <c r="K867" s="45" t="n">
        <v>995.9</v>
      </c>
      <c r="L867" s="46" t="n">
        <v>73696.49</v>
      </c>
    </row>
    <row r="868" customFormat="false" ht="15" hidden="false" customHeight="false" outlineLevel="0" collapsed="false">
      <c r="A868" s="37" t="n">
        <v>501631</v>
      </c>
      <c r="B868" s="37" t="s">
        <v>1057</v>
      </c>
      <c r="C868" s="37" t="n">
        <v>202512</v>
      </c>
      <c r="D868" s="37" t="s">
        <v>63</v>
      </c>
      <c r="E868" s="37" t="s">
        <v>97</v>
      </c>
      <c r="F868" s="37" t="s">
        <v>194</v>
      </c>
      <c r="G868" s="37" t="s">
        <v>354</v>
      </c>
      <c r="H868" s="37"/>
      <c r="I868" s="37" t="s">
        <v>355</v>
      </c>
      <c r="J868" s="37" t="s">
        <v>1058</v>
      </c>
      <c r="K868" s="45" t="n">
        <v>166.5</v>
      </c>
      <c r="L868" s="46" t="n">
        <v>15314.7</v>
      </c>
    </row>
    <row r="869" customFormat="false" ht="15" hidden="false" customHeight="false" outlineLevel="0" collapsed="false">
      <c r="A869" s="37" t="n">
        <v>501735</v>
      </c>
      <c r="B869" s="37" t="s">
        <v>1057</v>
      </c>
      <c r="C869" s="37" t="n">
        <v>202512</v>
      </c>
      <c r="D869" s="37" t="s">
        <v>63</v>
      </c>
      <c r="E869" s="37" t="s">
        <v>101</v>
      </c>
      <c r="F869" s="37" t="s">
        <v>194</v>
      </c>
      <c r="G869" s="37" t="s">
        <v>354</v>
      </c>
      <c r="H869" s="37"/>
      <c r="I869" s="37" t="s">
        <v>355</v>
      </c>
      <c r="J869" s="37" t="s">
        <v>1058</v>
      </c>
      <c r="K869" s="45" t="n">
        <v>409.8</v>
      </c>
      <c r="L869" s="46" t="n">
        <v>30328.05</v>
      </c>
    </row>
    <row r="870" customFormat="false" ht="15" hidden="false" customHeight="false" outlineLevel="0" collapsed="false">
      <c r="A870" s="37" t="n">
        <v>501865</v>
      </c>
      <c r="B870" s="37" t="s">
        <v>1057</v>
      </c>
      <c r="C870" s="37" t="n">
        <v>202512</v>
      </c>
      <c r="D870" s="37" t="s">
        <v>64</v>
      </c>
      <c r="E870" s="37" t="s">
        <v>97</v>
      </c>
      <c r="F870" s="37" t="s">
        <v>194</v>
      </c>
      <c r="G870" s="37" t="s">
        <v>354</v>
      </c>
      <c r="H870" s="37"/>
      <c r="I870" s="37" t="s">
        <v>355</v>
      </c>
      <c r="J870" s="37" t="s">
        <v>1058</v>
      </c>
      <c r="K870" s="45" t="n">
        <v>133.3</v>
      </c>
      <c r="L870" s="46" t="n">
        <v>12259.27</v>
      </c>
    </row>
    <row r="871" customFormat="false" ht="15" hidden="false" customHeight="false" outlineLevel="0" collapsed="false">
      <c r="A871" s="37" t="n">
        <v>501955</v>
      </c>
      <c r="B871" s="37" t="s">
        <v>1057</v>
      </c>
      <c r="C871" s="37" t="n">
        <v>202512</v>
      </c>
      <c r="D871" s="37" t="s">
        <v>64</v>
      </c>
      <c r="E871" s="37" t="s">
        <v>101</v>
      </c>
      <c r="F871" s="37" t="s">
        <v>194</v>
      </c>
      <c r="G871" s="37" t="s">
        <v>354</v>
      </c>
      <c r="H871" s="37"/>
      <c r="I871" s="37" t="s">
        <v>355</v>
      </c>
      <c r="J871" s="37" t="s">
        <v>1058</v>
      </c>
      <c r="K871" s="45" t="n">
        <v>314.6</v>
      </c>
      <c r="L871" s="46" t="n">
        <v>23280.35</v>
      </c>
    </row>
    <row r="872" customFormat="false" ht="15" hidden="false" customHeight="false" outlineLevel="0" collapsed="false">
      <c r="A872" s="37" t="n">
        <v>502081</v>
      </c>
      <c r="B872" s="37" t="s">
        <v>1057</v>
      </c>
      <c r="C872" s="37" t="n">
        <v>202512</v>
      </c>
      <c r="D872" s="37" t="s">
        <v>65</v>
      </c>
      <c r="E872" s="37" t="s">
        <v>97</v>
      </c>
      <c r="F872" s="37" t="s">
        <v>194</v>
      </c>
      <c r="G872" s="37" t="s">
        <v>354</v>
      </c>
      <c r="H872" s="37"/>
      <c r="I872" s="37" t="s">
        <v>355</v>
      </c>
      <c r="J872" s="37" t="s">
        <v>1058</v>
      </c>
      <c r="K872" s="45" t="n">
        <v>67.5</v>
      </c>
      <c r="L872" s="46" t="n">
        <v>6208.94</v>
      </c>
    </row>
    <row r="873" customFormat="false" ht="15" hidden="false" customHeight="false" outlineLevel="0" collapsed="false">
      <c r="A873" s="37" t="n">
        <v>502160</v>
      </c>
      <c r="B873" s="37" t="s">
        <v>1057</v>
      </c>
      <c r="C873" s="37" t="n">
        <v>202512</v>
      </c>
      <c r="D873" s="37" t="s">
        <v>65</v>
      </c>
      <c r="E873" s="37" t="s">
        <v>101</v>
      </c>
      <c r="F873" s="37" t="s">
        <v>194</v>
      </c>
      <c r="G873" s="37" t="s">
        <v>354</v>
      </c>
      <c r="H873" s="37"/>
      <c r="I873" s="37" t="s">
        <v>355</v>
      </c>
      <c r="J873" s="37" t="s">
        <v>1058</v>
      </c>
      <c r="K873" s="45" t="n">
        <v>116</v>
      </c>
      <c r="L873" s="46" t="n">
        <v>8587.03</v>
      </c>
    </row>
    <row r="874" customFormat="false" ht="15" hidden="false" customHeight="false" outlineLevel="0" collapsed="false">
      <c r="A874" s="37" t="n">
        <v>501756</v>
      </c>
      <c r="B874" s="37" t="s">
        <v>1061</v>
      </c>
      <c r="C874" s="37" t="n">
        <v>202512</v>
      </c>
      <c r="D874" s="37" t="s">
        <v>63</v>
      </c>
      <c r="E874" s="37" t="s">
        <v>102</v>
      </c>
      <c r="F874" s="37" t="s">
        <v>205</v>
      </c>
      <c r="G874" s="37" t="s">
        <v>358</v>
      </c>
      <c r="H874" s="37" t="s">
        <v>891</v>
      </c>
      <c r="I874" s="37" t="s">
        <v>892</v>
      </c>
      <c r="J874" s="37" t="s">
        <v>1062</v>
      </c>
      <c r="K874" s="45" t="n">
        <v>0</v>
      </c>
      <c r="L874" s="46" t="n">
        <v>36244.49</v>
      </c>
    </row>
    <row r="875" customFormat="false" ht="15" hidden="false" customHeight="false" outlineLevel="0" collapsed="false">
      <c r="A875" s="37" t="n">
        <v>500552</v>
      </c>
      <c r="B875" s="37" t="s">
        <v>1063</v>
      </c>
      <c r="C875" s="37" t="n">
        <v>202512</v>
      </c>
      <c r="D875" s="37" t="s">
        <v>59</v>
      </c>
      <c r="E875" s="37" t="s">
        <v>98</v>
      </c>
      <c r="F875" s="37" t="s">
        <v>196</v>
      </c>
      <c r="G875" s="37" t="s">
        <v>358</v>
      </c>
      <c r="H875" s="37" t="s">
        <v>359</v>
      </c>
      <c r="I875" s="37" t="s">
        <v>360</v>
      </c>
      <c r="J875" s="37" t="s">
        <v>1064</v>
      </c>
      <c r="K875" s="45" t="n">
        <v>0</v>
      </c>
      <c r="L875" s="46" t="n">
        <v>40905.41</v>
      </c>
    </row>
    <row r="876" customFormat="false" ht="15" hidden="false" customHeight="false" outlineLevel="0" collapsed="false">
      <c r="A876" s="37" t="n">
        <v>501986</v>
      </c>
      <c r="B876" s="37" t="s">
        <v>1063</v>
      </c>
      <c r="C876" s="37" t="n">
        <v>202512</v>
      </c>
      <c r="D876" s="37" t="s">
        <v>64</v>
      </c>
      <c r="E876" s="37" t="s">
        <v>102</v>
      </c>
      <c r="F876" s="37" t="s">
        <v>205</v>
      </c>
      <c r="G876" s="37" t="s">
        <v>358</v>
      </c>
      <c r="H876" s="37" t="s">
        <v>947</v>
      </c>
      <c r="I876" s="37" t="s">
        <v>811</v>
      </c>
      <c r="J876" s="37" t="s">
        <v>1065</v>
      </c>
      <c r="K876" s="45" t="n">
        <v>0</v>
      </c>
      <c r="L876" s="46" t="n">
        <v>6046.29</v>
      </c>
    </row>
    <row r="877" customFormat="false" ht="15" hidden="false" customHeight="false" outlineLevel="0" collapsed="false">
      <c r="A877" s="37" t="n">
        <v>500989</v>
      </c>
      <c r="B877" s="37" t="s">
        <v>1066</v>
      </c>
      <c r="C877" s="37" t="n">
        <v>202512</v>
      </c>
      <c r="D877" s="37" t="s">
        <v>60</v>
      </c>
      <c r="E877" s="37" t="s">
        <v>103</v>
      </c>
      <c r="F877" s="37" t="s">
        <v>205</v>
      </c>
      <c r="G877" s="37" t="s">
        <v>358</v>
      </c>
      <c r="H877" s="37" t="s">
        <v>727</v>
      </c>
      <c r="I877" s="37" t="s">
        <v>728</v>
      </c>
      <c r="J877" s="37" t="s">
        <v>1067</v>
      </c>
      <c r="K877" s="45" t="n">
        <v>0</v>
      </c>
      <c r="L877" s="46" t="n">
        <v>51298.66</v>
      </c>
    </row>
    <row r="878" customFormat="false" ht="15" hidden="false" customHeight="false" outlineLevel="0" collapsed="false">
      <c r="A878" s="37" t="n">
        <v>501435</v>
      </c>
      <c r="B878" s="37" t="s">
        <v>1066</v>
      </c>
      <c r="C878" s="37" t="n">
        <v>202512</v>
      </c>
      <c r="D878" s="37" t="s">
        <v>62</v>
      </c>
      <c r="E878" s="37" t="s">
        <v>98</v>
      </c>
      <c r="F878" s="37" t="s">
        <v>196</v>
      </c>
      <c r="G878" s="37" t="s">
        <v>358</v>
      </c>
      <c r="H878" s="37" t="s">
        <v>359</v>
      </c>
      <c r="I878" s="37" t="s">
        <v>360</v>
      </c>
      <c r="J878" s="37" t="s">
        <v>1068</v>
      </c>
      <c r="K878" s="45" t="n">
        <v>0</v>
      </c>
      <c r="L878" s="46" t="n">
        <v>3327.34</v>
      </c>
    </row>
    <row r="879" customFormat="false" ht="15" hidden="false" customHeight="false" outlineLevel="0" collapsed="false">
      <c r="A879" s="37" t="n">
        <v>501985</v>
      </c>
      <c r="B879" s="37" t="s">
        <v>1069</v>
      </c>
      <c r="C879" s="37" t="n">
        <v>202512</v>
      </c>
      <c r="D879" s="37" t="s">
        <v>64</v>
      </c>
      <c r="E879" s="37" t="s">
        <v>102</v>
      </c>
      <c r="F879" s="37" t="s">
        <v>205</v>
      </c>
      <c r="G879" s="37" t="s">
        <v>358</v>
      </c>
      <c r="H879" s="37" t="s">
        <v>947</v>
      </c>
      <c r="I879" s="37" t="s">
        <v>811</v>
      </c>
      <c r="J879" s="37" t="s">
        <v>1070</v>
      </c>
      <c r="K879" s="45" t="n">
        <v>0</v>
      </c>
      <c r="L879" s="46" t="n">
        <v>13847.77</v>
      </c>
    </row>
    <row r="880" customFormat="false" ht="15" hidden="false" customHeight="false" outlineLevel="0" collapsed="false">
      <c r="A880" s="37" t="n">
        <v>502124</v>
      </c>
      <c r="B880" s="37" t="s">
        <v>1069</v>
      </c>
      <c r="C880" s="37" t="n">
        <v>202512</v>
      </c>
      <c r="D880" s="37" t="s">
        <v>65</v>
      </c>
      <c r="E880" s="37" t="s">
        <v>98</v>
      </c>
      <c r="F880" s="37" t="s">
        <v>196</v>
      </c>
      <c r="G880" s="37" t="s">
        <v>358</v>
      </c>
      <c r="H880" s="37" t="s">
        <v>359</v>
      </c>
      <c r="I880" s="37" t="s">
        <v>360</v>
      </c>
      <c r="J880" s="37" t="s">
        <v>1071</v>
      </c>
      <c r="K880" s="45" t="n">
        <v>0</v>
      </c>
      <c r="L880" s="46" t="n">
        <v>12023.75</v>
      </c>
    </row>
    <row r="881" customFormat="false" ht="15" hidden="false" customHeight="false" outlineLevel="0" collapsed="false">
      <c r="A881" s="37" t="n">
        <v>500551</v>
      </c>
      <c r="B881" s="37" t="s">
        <v>1072</v>
      </c>
      <c r="C881" s="37" t="n">
        <v>202512</v>
      </c>
      <c r="D881" s="37" t="s">
        <v>59</v>
      </c>
      <c r="E881" s="37" t="s">
        <v>98</v>
      </c>
      <c r="F881" s="37" t="s">
        <v>196</v>
      </c>
      <c r="G881" s="37" t="s">
        <v>358</v>
      </c>
      <c r="H881" s="37" t="s">
        <v>359</v>
      </c>
      <c r="I881" s="37" t="s">
        <v>360</v>
      </c>
      <c r="J881" s="37" t="s">
        <v>1073</v>
      </c>
      <c r="K881" s="45" t="n">
        <v>0</v>
      </c>
      <c r="L881" s="46" t="n">
        <v>22671.63</v>
      </c>
    </row>
    <row r="882" customFormat="false" ht="15" hidden="false" customHeight="false" outlineLevel="0" collapsed="false">
      <c r="A882" s="37" t="n">
        <v>501755</v>
      </c>
      <c r="B882" s="37" t="s">
        <v>1072</v>
      </c>
      <c r="C882" s="37" t="n">
        <v>202512</v>
      </c>
      <c r="D882" s="37" t="s">
        <v>63</v>
      </c>
      <c r="E882" s="37" t="s">
        <v>102</v>
      </c>
      <c r="F882" s="37" t="s">
        <v>205</v>
      </c>
      <c r="G882" s="37" t="s">
        <v>358</v>
      </c>
      <c r="H882" s="37" t="s">
        <v>891</v>
      </c>
      <c r="I882" s="37" t="s">
        <v>892</v>
      </c>
      <c r="J882" s="37" t="s">
        <v>1074</v>
      </c>
      <c r="K882" s="45" t="n">
        <v>0</v>
      </c>
      <c r="L882" s="46" t="n">
        <v>38053.65</v>
      </c>
    </row>
    <row r="883" customFormat="false" ht="15" hidden="false" customHeight="false" outlineLevel="0" collapsed="false">
      <c r="A883" s="37" t="n">
        <v>502002</v>
      </c>
      <c r="B883" s="37" t="s">
        <v>1072</v>
      </c>
      <c r="C883" s="37" t="n">
        <v>202512</v>
      </c>
      <c r="D883" s="37" t="s">
        <v>64</v>
      </c>
      <c r="E883" s="37" t="s">
        <v>103</v>
      </c>
      <c r="F883" s="37" t="s">
        <v>205</v>
      </c>
      <c r="G883" s="37" t="s">
        <v>358</v>
      </c>
      <c r="H883" s="37" t="s">
        <v>969</v>
      </c>
      <c r="I883" s="37" t="s">
        <v>898</v>
      </c>
      <c r="J883" s="37" t="s">
        <v>1075</v>
      </c>
      <c r="K883" s="45" t="n">
        <v>0</v>
      </c>
      <c r="L883" s="46" t="n">
        <v>23818.61</v>
      </c>
    </row>
    <row r="884" customFormat="false" ht="15" hidden="false" customHeight="false" outlineLevel="0" collapsed="false">
      <c r="A884" s="37" t="n">
        <v>500081</v>
      </c>
      <c r="B884" s="37" t="s">
        <v>1076</v>
      </c>
      <c r="C884" s="37" t="n">
        <v>202512</v>
      </c>
      <c r="D884" s="37" t="s">
        <v>58</v>
      </c>
      <c r="E884" s="37" t="s">
        <v>97</v>
      </c>
      <c r="F884" s="37" t="s">
        <v>194</v>
      </c>
      <c r="G884" s="37" t="s">
        <v>354</v>
      </c>
      <c r="H884" s="37"/>
      <c r="I884" s="37" t="s">
        <v>355</v>
      </c>
      <c r="J884" s="37" t="s">
        <v>1077</v>
      </c>
      <c r="K884" s="45" t="n">
        <v>135.6</v>
      </c>
      <c r="L884" s="46" t="n">
        <v>12476.74</v>
      </c>
    </row>
    <row r="885" customFormat="false" ht="15" hidden="false" customHeight="false" outlineLevel="0" collapsed="false">
      <c r="A885" s="37" t="n">
        <v>500355</v>
      </c>
      <c r="B885" s="37" t="s">
        <v>1076</v>
      </c>
      <c r="C885" s="37" t="n">
        <v>202512</v>
      </c>
      <c r="D885" s="37" t="s">
        <v>58</v>
      </c>
      <c r="E885" s="37" t="s">
        <v>106</v>
      </c>
      <c r="F885" s="37" t="s">
        <v>194</v>
      </c>
      <c r="G885" s="37" t="s">
        <v>354</v>
      </c>
      <c r="H885" s="37"/>
      <c r="I885" s="37" t="s">
        <v>355</v>
      </c>
      <c r="J885" s="37" t="s">
        <v>1077</v>
      </c>
      <c r="K885" s="45" t="n">
        <v>290.5</v>
      </c>
      <c r="L885" s="46" t="n">
        <v>20622.55</v>
      </c>
    </row>
    <row r="886" customFormat="false" ht="15" hidden="false" customHeight="false" outlineLevel="0" collapsed="false">
      <c r="A886" s="37" t="n">
        <v>500489</v>
      </c>
      <c r="B886" s="37" t="s">
        <v>1076</v>
      </c>
      <c r="C886" s="37" t="n">
        <v>202512</v>
      </c>
      <c r="D886" s="37" t="s">
        <v>59</v>
      </c>
      <c r="E886" s="37" t="s">
        <v>97</v>
      </c>
      <c r="F886" s="37" t="s">
        <v>194</v>
      </c>
      <c r="G886" s="37" t="s">
        <v>354</v>
      </c>
      <c r="H886" s="37"/>
      <c r="I886" s="37" t="s">
        <v>355</v>
      </c>
      <c r="J886" s="37" t="s">
        <v>1077</v>
      </c>
      <c r="K886" s="45" t="n">
        <v>465.2</v>
      </c>
      <c r="L886" s="46" t="n">
        <v>42801.27</v>
      </c>
    </row>
    <row r="887" customFormat="false" ht="15" hidden="false" customHeight="false" outlineLevel="0" collapsed="false">
      <c r="A887" s="37" t="n">
        <v>500633</v>
      </c>
      <c r="B887" s="37" t="s">
        <v>1076</v>
      </c>
      <c r="C887" s="37" t="n">
        <v>202512</v>
      </c>
      <c r="D887" s="37" t="s">
        <v>59</v>
      </c>
      <c r="E887" s="37" t="s">
        <v>101</v>
      </c>
      <c r="F887" s="37" t="s">
        <v>194</v>
      </c>
      <c r="G887" s="37" t="s">
        <v>354</v>
      </c>
      <c r="H887" s="37"/>
      <c r="I887" s="37" t="s">
        <v>355</v>
      </c>
      <c r="J887" s="37" t="s">
        <v>1077</v>
      </c>
      <c r="K887" s="45" t="n">
        <v>124.9</v>
      </c>
      <c r="L887" s="46" t="n">
        <v>9243.16</v>
      </c>
    </row>
    <row r="888" customFormat="false" ht="15" hidden="false" customHeight="false" outlineLevel="0" collapsed="false">
      <c r="A888" s="37" t="n">
        <v>500691</v>
      </c>
      <c r="B888" s="37" t="s">
        <v>1076</v>
      </c>
      <c r="C888" s="37" t="n">
        <v>202512</v>
      </c>
      <c r="D888" s="37" t="s">
        <v>59</v>
      </c>
      <c r="E888" s="37" t="s">
        <v>106</v>
      </c>
      <c r="F888" s="37" t="s">
        <v>194</v>
      </c>
      <c r="G888" s="37" t="s">
        <v>354</v>
      </c>
      <c r="H888" s="37"/>
      <c r="I888" s="37" t="s">
        <v>355</v>
      </c>
      <c r="J888" s="37" t="s">
        <v>1077</v>
      </c>
      <c r="K888" s="45" t="n">
        <v>53.1</v>
      </c>
      <c r="L888" s="46" t="n">
        <v>3769.19</v>
      </c>
    </row>
    <row r="889" customFormat="false" ht="15" hidden="false" customHeight="false" outlineLevel="0" collapsed="false">
      <c r="A889" s="37" t="n">
        <v>500818</v>
      </c>
      <c r="B889" s="37" t="s">
        <v>1076</v>
      </c>
      <c r="C889" s="37" t="n">
        <v>202512</v>
      </c>
      <c r="D889" s="37" t="s">
        <v>60</v>
      </c>
      <c r="E889" s="37" t="s">
        <v>97</v>
      </c>
      <c r="F889" s="37" t="s">
        <v>194</v>
      </c>
      <c r="G889" s="37" t="s">
        <v>354</v>
      </c>
      <c r="H889" s="37"/>
      <c r="I889" s="37" t="s">
        <v>355</v>
      </c>
      <c r="J889" s="37" t="s">
        <v>1077</v>
      </c>
      <c r="K889" s="45" t="n">
        <v>319.9</v>
      </c>
      <c r="L889" s="46" t="n">
        <v>29426.31</v>
      </c>
    </row>
    <row r="890" customFormat="false" ht="15" hidden="false" customHeight="false" outlineLevel="0" collapsed="false">
      <c r="A890" s="37" t="n">
        <v>500946</v>
      </c>
      <c r="B890" s="37" t="s">
        <v>1076</v>
      </c>
      <c r="C890" s="37" t="n">
        <v>202512</v>
      </c>
      <c r="D890" s="37" t="s">
        <v>60</v>
      </c>
      <c r="E890" s="37" t="s">
        <v>101</v>
      </c>
      <c r="F890" s="37" t="s">
        <v>194</v>
      </c>
      <c r="G890" s="37" t="s">
        <v>354</v>
      </c>
      <c r="H890" s="37"/>
      <c r="I890" s="37" t="s">
        <v>355</v>
      </c>
      <c r="J890" s="37" t="s">
        <v>1077</v>
      </c>
      <c r="K890" s="45" t="n">
        <v>227.9</v>
      </c>
      <c r="L890" s="46" t="n">
        <v>16863</v>
      </c>
    </row>
    <row r="891" customFormat="false" ht="15" hidden="false" customHeight="false" outlineLevel="0" collapsed="false">
      <c r="A891" s="37" t="n">
        <v>501125</v>
      </c>
      <c r="B891" s="37" t="s">
        <v>1076</v>
      </c>
      <c r="C891" s="37" t="n">
        <v>202512</v>
      </c>
      <c r="D891" s="37" t="s">
        <v>61</v>
      </c>
      <c r="E891" s="37" t="s">
        <v>97</v>
      </c>
      <c r="F891" s="37" t="s">
        <v>194</v>
      </c>
      <c r="G891" s="37" t="s">
        <v>354</v>
      </c>
      <c r="H891" s="37"/>
      <c r="I891" s="37" t="s">
        <v>355</v>
      </c>
      <c r="J891" s="37" t="s">
        <v>1077</v>
      </c>
      <c r="K891" s="45" t="n">
        <v>97.2</v>
      </c>
      <c r="L891" s="46" t="n">
        <v>8941.04</v>
      </c>
    </row>
    <row r="892" customFormat="false" ht="15" hidden="false" customHeight="false" outlineLevel="0" collapsed="false">
      <c r="A892" s="37" t="n">
        <v>501173</v>
      </c>
      <c r="B892" s="37" t="s">
        <v>1076</v>
      </c>
      <c r="C892" s="37" t="n">
        <v>202512</v>
      </c>
      <c r="D892" s="37" t="s">
        <v>61</v>
      </c>
      <c r="E892" s="37" t="s">
        <v>98</v>
      </c>
      <c r="F892" s="37" t="s">
        <v>196</v>
      </c>
      <c r="G892" s="37" t="s">
        <v>358</v>
      </c>
      <c r="H892" s="37" t="s">
        <v>359</v>
      </c>
      <c r="I892" s="37" t="s">
        <v>360</v>
      </c>
      <c r="J892" s="37" t="s">
        <v>1078</v>
      </c>
      <c r="K892" s="45" t="n">
        <v>0</v>
      </c>
      <c r="L892" s="46" t="n">
        <v>13244.7</v>
      </c>
    </row>
    <row r="893" customFormat="false" ht="15" hidden="false" customHeight="false" outlineLevel="0" collapsed="false">
      <c r="A893" s="37" t="n">
        <v>501174</v>
      </c>
      <c r="B893" s="37" t="s">
        <v>1076</v>
      </c>
      <c r="C893" s="37" t="n">
        <v>202512</v>
      </c>
      <c r="D893" s="37" t="s">
        <v>61</v>
      </c>
      <c r="E893" s="37" t="s">
        <v>98</v>
      </c>
      <c r="F893" s="37" t="s">
        <v>196</v>
      </c>
      <c r="G893" s="37" t="s">
        <v>358</v>
      </c>
      <c r="H893" s="37" t="s">
        <v>359</v>
      </c>
      <c r="I893" s="37" t="s">
        <v>360</v>
      </c>
      <c r="J893" s="37" t="s">
        <v>1079</v>
      </c>
      <c r="K893" s="45" t="n">
        <v>0</v>
      </c>
      <c r="L893" s="46" t="n">
        <v>9187.9</v>
      </c>
    </row>
    <row r="894" customFormat="false" ht="15" hidden="false" customHeight="false" outlineLevel="0" collapsed="false">
      <c r="A894" s="37" t="n">
        <v>501239</v>
      </c>
      <c r="B894" s="37" t="s">
        <v>1076</v>
      </c>
      <c r="C894" s="37" t="n">
        <v>202512</v>
      </c>
      <c r="D894" s="37" t="s">
        <v>61</v>
      </c>
      <c r="E894" s="37" t="s">
        <v>101</v>
      </c>
      <c r="F894" s="37" t="s">
        <v>194</v>
      </c>
      <c r="G894" s="37" t="s">
        <v>354</v>
      </c>
      <c r="H894" s="37"/>
      <c r="I894" s="37" t="s">
        <v>355</v>
      </c>
      <c r="J894" s="37" t="s">
        <v>1077</v>
      </c>
      <c r="K894" s="45" t="n">
        <v>230.4</v>
      </c>
      <c r="L894" s="46" t="n">
        <v>17051.24</v>
      </c>
    </row>
    <row r="895" customFormat="false" ht="15" hidden="false" customHeight="false" outlineLevel="0" collapsed="false">
      <c r="A895" s="37" t="n">
        <v>501285</v>
      </c>
      <c r="B895" s="37" t="s">
        <v>1076</v>
      </c>
      <c r="C895" s="37" t="n">
        <v>202512</v>
      </c>
      <c r="D895" s="37" t="s">
        <v>61</v>
      </c>
      <c r="E895" s="37" t="s">
        <v>106</v>
      </c>
      <c r="F895" s="37" t="s">
        <v>194</v>
      </c>
      <c r="G895" s="37" t="s">
        <v>354</v>
      </c>
      <c r="H895" s="37"/>
      <c r="I895" s="37" t="s">
        <v>355</v>
      </c>
      <c r="J895" s="37" t="s">
        <v>1077</v>
      </c>
      <c r="K895" s="45" t="n">
        <v>6.3</v>
      </c>
      <c r="L895" s="46" t="n">
        <v>449.62</v>
      </c>
    </row>
    <row r="896" customFormat="false" ht="15" hidden="false" customHeight="false" outlineLevel="0" collapsed="false">
      <c r="A896" s="37" t="n">
        <v>501386</v>
      </c>
      <c r="B896" s="37" t="s">
        <v>1076</v>
      </c>
      <c r="C896" s="37" t="n">
        <v>202512</v>
      </c>
      <c r="D896" s="37" t="s">
        <v>62</v>
      </c>
      <c r="E896" s="37" t="s">
        <v>97</v>
      </c>
      <c r="F896" s="37" t="s">
        <v>194</v>
      </c>
      <c r="G896" s="37" t="s">
        <v>354</v>
      </c>
      <c r="H896" s="37"/>
      <c r="I896" s="37" t="s">
        <v>355</v>
      </c>
      <c r="J896" s="37" t="s">
        <v>1077</v>
      </c>
      <c r="K896" s="45" t="n">
        <v>149.4</v>
      </c>
      <c r="L896" s="46" t="n">
        <v>13741.08</v>
      </c>
    </row>
    <row r="897" customFormat="false" ht="15" hidden="false" customHeight="false" outlineLevel="0" collapsed="false">
      <c r="A897" s="37" t="n">
        <v>501490</v>
      </c>
      <c r="B897" s="37" t="s">
        <v>1076</v>
      </c>
      <c r="C897" s="37" t="n">
        <v>202512</v>
      </c>
      <c r="D897" s="37" t="s">
        <v>62</v>
      </c>
      <c r="E897" s="37" t="s">
        <v>101</v>
      </c>
      <c r="F897" s="37" t="s">
        <v>194</v>
      </c>
      <c r="G897" s="37" t="s">
        <v>354</v>
      </c>
      <c r="H897" s="37"/>
      <c r="I897" s="37" t="s">
        <v>355</v>
      </c>
      <c r="J897" s="37" t="s">
        <v>1077</v>
      </c>
      <c r="K897" s="45" t="n">
        <v>470.9</v>
      </c>
      <c r="L897" s="46" t="n">
        <v>34844.79</v>
      </c>
    </row>
    <row r="898" customFormat="false" ht="15" hidden="false" customHeight="false" outlineLevel="0" collapsed="false">
      <c r="A898" s="37" t="n">
        <v>501632</v>
      </c>
      <c r="B898" s="37" t="s">
        <v>1076</v>
      </c>
      <c r="C898" s="37" t="n">
        <v>202512</v>
      </c>
      <c r="D898" s="37" t="s">
        <v>63</v>
      </c>
      <c r="E898" s="37" t="s">
        <v>97</v>
      </c>
      <c r="F898" s="37" t="s">
        <v>194</v>
      </c>
      <c r="G898" s="37" t="s">
        <v>354</v>
      </c>
      <c r="H898" s="37"/>
      <c r="I898" s="37" t="s">
        <v>355</v>
      </c>
      <c r="J898" s="37" t="s">
        <v>1077</v>
      </c>
      <c r="K898" s="45" t="n">
        <v>67.9</v>
      </c>
      <c r="L898" s="46" t="n">
        <v>6249.23</v>
      </c>
    </row>
    <row r="899" customFormat="false" ht="15" hidden="false" customHeight="false" outlineLevel="0" collapsed="false">
      <c r="A899" s="37" t="n">
        <v>501682</v>
      </c>
      <c r="B899" s="37" t="s">
        <v>1076</v>
      </c>
      <c r="C899" s="37" t="n">
        <v>202512</v>
      </c>
      <c r="D899" s="37" t="s">
        <v>63</v>
      </c>
      <c r="E899" s="37" t="s">
        <v>98</v>
      </c>
      <c r="F899" s="37" t="s">
        <v>196</v>
      </c>
      <c r="G899" s="37" t="s">
        <v>358</v>
      </c>
      <c r="H899" s="37" t="s">
        <v>359</v>
      </c>
      <c r="I899" s="37" t="s">
        <v>360</v>
      </c>
      <c r="J899" s="37" t="s">
        <v>1080</v>
      </c>
      <c r="K899" s="45" t="n">
        <v>0</v>
      </c>
      <c r="L899" s="46" t="n">
        <v>5756.09</v>
      </c>
    </row>
    <row r="900" customFormat="false" ht="15" hidden="false" customHeight="false" outlineLevel="0" collapsed="false">
      <c r="A900" s="37" t="n">
        <v>501736</v>
      </c>
      <c r="B900" s="37" t="s">
        <v>1076</v>
      </c>
      <c r="C900" s="37" t="n">
        <v>202512</v>
      </c>
      <c r="D900" s="37" t="s">
        <v>63</v>
      </c>
      <c r="E900" s="37" t="s">
        <v>101</v>
      </c>
      <c r="F900" s="37" t="s">
        <v>194</v>
      </c>
      <c r="G900" s="37" t="s">
        <v>354</v>
      </c>
      <c r="H900" s="37"/>
      <c r="I900" s="37" t="s">
        <v>355</v>
      </c>
      <c r="J900" s="37" t="s">
        <v>1077</v>
      </c>
      <c r="K900" s="45" t="n">
        <v>265.2</v>
      </c>
      <c r="L900" s="46" t="n">
        <v>19626.46</v>
      </c>
    </row>
    <row r="901" customFormat="false" ht="15" hidden="false" customHeight="false" outlineLevel="0" collapsed="false">
      <c r="A901" s="37" t="n">
        <v>501866</v>
      </c>
      <c r="B901" s="37" t="s">
        <v>1076</v>
      </c>
      <c r="C901" s="37" t="n">
        <v>202512</v>
      </c>
      <c r="D901" s="37" t="s">
        <v>64</v>
      </c>
      <c r="E901" s="37" t="s">
        <v>97</v>
      </c>
      <c r="F901" s="37" t="s">
        <v>194</v>
      </c>
      <c r="G901" s="37" t="s">
        <v>354</v>
      </c>
      <c r="H901" s="37"/>
      <c r="I901" s="37" t="s">
        <v>355</v>
      </c>
      <c r="J901" s="37" t="s">
        <v>1077</v>
      </c>
      <c r="K901" s="45" t="n">
        <v>58.4</v>
      </c>
      <c r="L901" s="46" t="n">
        <v>5376.84</v>
      </c>
    </row>
    <row r="902" customFormat="false" ht="15" hidden="false" customHeight="false" outlineLevel="0" collapsed="false">
      <c r="A902" s="37" t="n">
        <v>501956</v>
      </c>
      <c r="B902" s="37" t="s">
        <v>1076</v>
      </c>
      <c r="C902" s="37" t="n">
        <v>202512</v>
      </c>
      <c r="D902" s="37" t="s">
        <v>64</v>
      </c>
      <c r="E902" s="37" t="s">
        <v>101</v>
      </c>
      <c r="F902" s="37" t="s">
        <v>194</v>
      </c>
      <c r="G902" s="37" t="s">
        <v>354</v>
      </c>
      <c r="H902" s="37"/>
      <c r="I902" s="37" t="s">
        <v>355</v>
      </c>
      <c r="J902" s="37" t="s">
        <v>1077</v>
      </c>
      <c r="K902" s="45" t="n">
        <v>310.6</v>
      </c>
      <c r="L902" s="46" t="n">
        <v>22981.8</v>
      </c>
    </row>
    <row r="903" customFormat="false" ht="15" hidden="false" customHeight="false" outlineLevel="0" collapsed="false">
      <c r="A903" s="37" t="n">
        <v>502082</v>
      </c>
      <c r="B903" s="37" t="s">
        <v>1076</v>
      </c>
      <c r="C903" s="37" t="n">
        <v>202512</v>
      </c>
      <c r="D903" s="37" t="s">
        <v>65</v>
      </c>
      <c r="E903" s="37" t="s">
        <v>97</v>
      </c>
      <c r="F903" s="37" t="s">
        <v>194</v>
      </c>
      <c r="G903" s="37" t="s">
        <v>354</v>
      </c>
      <c r="H903" s="37"/>
      <c r="I903" s="37" t="s">
        <v>355</v>
      </c>
      <c r="J903" s="37" t="s">
        <v>1077</v>
      </c>
      <c r="K903" s="45" t="n">
        <v>93.8</v>
      </c>
      <c r="L903" s="46" t="n">
        <v>8633.6</v>
      </c>
    </row>
    <row r="904" customFormat="false" ht="15" hidden="false" customHeight="false" outlineLevel="0" collapsed="false">
      <c r="A904" s="37" t="n">
        <v>502161</v>
      </c>
      <c r="B904" s="37" t="s">
        <v>1076</v>
      </c>
      <c r="C904" s="37" t="n">
        <v>202512</v>
      </c>
      <c r="D904" s="37" t="s">
        <v>65</v>
      </c>
      <c r="E904" s="37" t="s">
        <v>101</v>
      </c>
      <c r="F904" s="37" t="s">
        <v>194</v>
      </c>
      <c r="G904" s="37" t="s">
        <v>354</v>
      </c>
      <c r="H904" s="37"/>
      <c r="I904" s="37" t="s">
        <v>355</v>
      </c>
      <c r="J904" s="37" t="s">
        <v>1077</v>
      </c>
      <c r="K904" s="45" t="n">
        <v>173.2</v>
      </c>
      <c r="L904" s="46" t="n">
        <v>12816.73</v>
      </c>
    </row>
    <row r="905" customFormat="false" ht="15" hidden="false" customHeight="false" outlineLevel="0" collapsed="false">
      <c r="A905" s="37" t="n">
        <v>501683</v>
      </c>
      <c r="B905" s="37" t="s">
        <v>1081</v>
      </c>
      <c r="C905" s="37" t="n">
        <v>202512</v>
      </c>
      <c r="D905" s="37" t="s">
        <v>63</v>
      </c>
      <c r="E905" s="37" t="s">
        <v>98</v>
      </c>
      <c r="F905" s="37" t="s">
        <v>196</v>
      </c>
      <c r="G905" s="37" t="s">
        <v>358</v>
      </c>
      <c r="H905" s="37" t="s">
        <v>359</v>
      </c>
      <c r="I905" s="37" t="s">
        <v>360</v>
      </c>
      <c r="J905" s="37" t="s">
        <v>1082</v>
      </c>
      <c r="K905" s="45" t="n">
        <v>0</v>
      </c>
      <c r="L905" s="46" t="n">
        <v>4592.59</v>
      </c>
    </row>
    <row r="906" customFormat="false" ht="15" hidden="false" customHeight="false" outlineLevel="0" collapsed="false">
      <c r="A906" s="37" t="n">
        <v>501987</v>
      </c>
      <c r="B906" s="37" t="s">
        <v>1081</v>
      </c>
      <c r="C906" s="37" t="n">
        <v>202512</v>
      </c>
      <c r="D906" s="37" t="s">
        <v>64</v>
      </c>
      <c r="E906" s="37" t="s">
        <v>102</v>
      </c>
      <c r="F906" s="37" t="s">
        <v>205</v>
      </c>
      <c r="G906" s="37" t="s">
        <v>358</v>
      </c>
      <c r="H906" s="37" t="s">
        <v>947</v>
      </c>
      <c r="I906" s="37" t="s">
        <v>811</v>
      </c>
      <c r="J906" s="37" t="s">
        <v>1083</v>
      </c>
      <c r="K906" s="45" t="n">
        <v>0</v>
      </c>
      <c r="L906" s="46" t="n">
        <v>19038.87</v>
      </c>
    </row>
    <row r="907" customFormat="false" ht="15" hidden="false" customHeight="false" outlineLevel="0" collapsed="false">
      <c r="A907" s="37" t="n">
        <v>500674</v>
      </c>
      <c r="B907" s="37" t="s">
        <v>1084</v>
      </c>
      <c r="C907" s="37" t="n">
        <v>202512</v>
      </c>
      <c r="D907" s="37" t="s">
        <v>59</v>
      </c>
      <c r="E907" s="37" t="s">
        <v>103</v>
      </c>
      <c r="F907" s="37" t="s">
        <v>205</v>
      </c>
      <c r="G907" s="37" t="s">
        <v>358</v>
      </c>
      <c r="H907" s="37" t="s">
        <v>622</v>
      </c>
      <c r="I907" s="37" t="s">
        <v>623</v>
      </c>
      <c r="J907" s="37" t="s">
        <v>1085</v>
      </c>
      <c r="K907" s="45" t="n">
        <v>0</v>
      </c>
      <c r="L907" s="46" t="n">
        <v>23980.41</v>
      </c>
    </row>
    <row r="908" customFormat="false" ht="15" hidden="false" customHeight="false" outlineLevel="0" collapsed="false">
      <c r="A908" s="37" t="n">
        <v>500970</v>
      </c>
      <c r="B908" s="37" t="s">
        <v>1086</v>
      </c>
      <c r="C908" s="37" t="n">
        <v>202512</v>
      </c>
      <c r="D908" s="37" t="s">
        <v>60</v>
      </c>
      <c r="E908" s="37" t="s">
        <v>102</v>
      </c>
      <c r="F908" s="37" t="s">
        <v>205</v>
      </c>
      <c r="G908" s="37" t="s">
        <v>358</v>
      </c>
      <c r="H908" s="37" t="s">
        <v>670</v>
      </c>
      <c r="I908" s="37" t="s">
        <v>671</v>
      </c>
      <c r="J908" s="37" t="s">
        <v>1087</v>
      </c>
      <c r="K908" s="45" t="n">
        <v>0</v>
      </c>
      <c r="L908" s="46" t="n">
        <v>30920.46</v>
      </c>
    </row>
    <row r="909" customFormat="false" ht="15" hidden="false" customHeight="false" outlineLevel="0" collapsed="false">
      <c r="A909" s="37" t="n">
        <v>501757</v>
      </c>
      <c r="B909" s="37" t="s">
        <v>1086</v>
      </c>
      <c r="C909" s="37" t="n">
        <v>202512</v>
      </c>
      <c r="D909" s="37" t="s">
        <v>63</v>
      </c>
      <c r="E909" s="37" t="s">
        <v>102</v>
      </c>
      <c r="F909" s="37" t="s">
        <v>205</v>
      </c>
      <c r="G909" s="37" t="s">
        <v>358</v>
      </c>
      <c r="H909" s="37" t="s">
        <v>891</v>
      </c>
      <c r="I909" s="37" t="s">
        <v>892</v>
      </c>
      <c r="J909" s="37" t="s">
        <v>1088</v>
      </c>
      <c r="K909" s="45" t="n">
        <v>0</v>
      </c>
      <c r="L909" s="46" t="n">
        <v>29733.09</v>
      </c>
    </row>
    <row r="910" customFormat="false" ht="15" hidden="false" customHeight="false" outlineLevel="0" collapsed="false">
      <c r="A910" s="37" t="n">
        <v>502001</v>
      </c>
      <c r="B910" s="37" t="s">
        <v>1086</v>
      </c>
      <c r="C910" s="37" t="n">
        <v>202512</v>
      </c>
      <c r="D910" s="37" t="s">
        <v>64</v>
      </c>
      <c r="E910" s="37" t="s">
        <v>103</v>
      </c>
      <c r="F910" s="37" t="s">
        <v>205</v>
      </c>
      <c r="G910" s="37" t="s">
        <v>358</v>
      </c>
      <c r="H910" s="37" t="s">
        <v>969</v>
      </c>
      <c r="I910" s="37" t="s">
        <v>898</v>
      </c>
      <c r="J910" s="37" t="s">
        <v>1089</v>
      </c>
      <c r="K910" s="45" t="n">
        <v>0</v>
      </c>
      <c r="L910" s="46" t="n">
        <v>7360.76</v>
      </c>
    </row>
    <row r="911" customFormat="false" ht="15" hidden="false" customHeight="false" outlineLevel="0" collapsed="false">
      <c r="A911" s="37" t="n">
        <v>501270</v>
      </c>
      <c r="B911" s="37" t="s">
        <v>1090</v>
      </c>
      <c r="C911" s="37" t="n">
        <v>202512</v>
      </c>
      <c r="D911" s="37" t="s">
        <v>61</v>
      </c>
      <c r="E911" s="37" t="s">
        <v>103</v>
      </c>
      <c r="F911" s="37" t="s">
        <v>205</v>
      </c>
      <c r="G911" s="37" t="s">
        <v>358</v>
      </c>
      <c r="H911" s="37" t="s">
        <v>711</v>
      </c>
      <c r="I911" s="37" t="s">
        <v>401</v>
      </c>
      <c r="J911" s="37" t="s">
        <v>1091</v>
      </c>
      <c r="K911" s="45" t="n">
        <v>0</v>
      </c>
      <c r="L911" s="46" t="n">
        <v>30834.53</v>
      </c>
    </row>
    <row r="912" customFormat="false" ht="15" hidden="false" customHeight="false" outlineLevel="0" collapsed="false">
      <c r="A912" s="37" t="n">
        <v>500376</v>
      </c>
      <c r="B912" s="37" t="s">
        <v>1092</v>
      </c>
      <c r="C912" s="37" t="n">
        <v>202512</v>
      </c>
      <c r="D912" s="37" t="s">
        <v>58</v>
      </c>
      <c r="E912" s="37" t="s">
        <v>107</v>
      </c>
      <c r="F912" s="37" t="s">
        <v>201</v>
      </c>
      <c r="G912" s="37" t="s">
        <v>358</v>
      </c>
      <c r="H912" s="37" t="s">
        <v>684</v>
      </c>
      <c r="I912" s="37" t="s">
        <v>685</v>
      </c>
      <c r="J912" s="37" t="s">
        <v>1093</v>
      </c>
      <c r="K912" s="45" t="n">
        <v>0</v>
      </c>
      <c r="L912" s="46" t="n">
        <v>40458.49</v>
      </c>
    </row>
    <row r="913" customFormat="false" ht="15" hidden="false" customHeight="false" outlineLevel="0" collapsed="false">
      <c r="A913" s="37" t="n">
        <v>500402</v>
      </c>
      <c r="B913" s="37" t="s">
        <v>1092</v>
      </c>
      <c r="C913" s="37" t="n">
        <v>202512</v>
      </c>
      <c r="D913" s="37" t="s">
        <v>58</v>
      </c>
      <c r="E913" s="37" t="s">
        <v>109</v>
      </c>
      <c r="F913" s="37" t="s">
        <v>201</v>
      </c>
      <c r="G913" s="37" t="s">
        <v>358</v>
      </c>
      <c r="H913" s="37" t="s">
        <v>928</v>
      </c>
      <c r="I913" s="37" t="s">
        <v>929</v>
      </c>
      <c r="J913" s="37" t="s">
        <v>1093</v>
      </c>
      <c r="K913" s="45" t="n">
        <v>0</v>
      </c>
      <c r="L913" s="46" t="n">
        <v>135265.51</v>
      </c>
    </row>
    <row r="914" customFormat="false" ht="15" hidden="false" customHeight="false" outlineLevel="0" collapsed="false">
      <c r="A914" s="37" t="n">
        <v>500420</v>
      </c>
      <c r="B914" s="37" t="s">
        <v>1092</v>
      </c>
      <c r="C914" s="37" t="n">
        <v>202512</v>
      </c>
      <c r="D914" s="37" t="s">
        <v>58</v>
      </c>
      <c r="E914" s="37" t="s">
        <v>110</v>
      </c>
      <c r="F914" s="37" t="s">
        <v>201</v>
      </c>
      <c r="G914" s="37" t="s">
        <v>358</v>
      </c>
      <c r="H914" s="37" t="s">
        <v>547</v>
      </c>
      <c r="I914" s="37" t="s">
        <v>548</v>
      </c>
      <c r="J914" s="37" t="s">
        <v>1093</v>
      </c>
      <c r="K914" s="45" t="n">
        <v>0</v>
      </c>
      <c r="L914" s="46" t="n">
        <v>263857.26</v>
      </c>
    </row>
    <row r="915" customFormat="false" ht="15" hidden="false" customHeight="false" outlineLevel="0" collapsed="false">
      <c r="A915" s="37" t="n">
        <v>500439</v>
      </c>
      <c r="B915" s="37" t="s">
        <v>1092</v>
      </c>
      <c r="C915" s="37" t="n">
        <v>202512</v>
      </c>
      <c r="D915" s="37" t="s">
        <v>58</v>
      </c>
      <c r="E915" s="37" t="s">
        <v>111</v>
      </c>
      <c r="F915" s="37" t="s">
        <v>201</v>
      </c>
      <c r="G915" s="37" t="s">
        <v>358</v>
      </c>
      <c r="H915" s="37" t="s">
        <v>549</v>
      </c>
      <c r="I915" s="37" t="s">
        <v>550</v>
      </c>
      <c r="J915" s="37" t="s">
        <v>1093</v>
      </c>
      <c r="K915" s="45" t="n">
        <v>0</v>
      </c>
      <c r="L915" s="46" t="n">
        <v>161637.43</v>
      </c>
    </row>
    <row r="916" customFormat="false" ht="15" hidden="false" customHeight="false" outlineLevel="0" collapsed="false">
      <c r="A916" s="37" t="n">
        <v>500675</v>
      </c>
      <c r="B916" s="37" t="s">
        <v>1092</v>
      </c>
      <c r="C916" s="37" t="n">
        <v>202512</v>
      </c>
      <c r="D916" s="37" t="s">
        <v>59</v>
      </c>
      <c r="E916" s="37" t="s">
        <v>103</v>
      </c>
      <c r="F916" s="37" t="s">
        <v>205</v>
      </c>
      <c r="G916" s="37" t="s">
        <v>358</v>
      </c>
      <c r="H916" s="37" t="s">
        <v>622</v>
      </c>
      <c r="I916" s="37" t="s">
        <v>623</v>
      </c>
      <c r="J916" s="37" t="s">
        <v>1094</v>
      </c>
      <c r="K916" s="45" t="n">
        <v>0</v>
      </c>
      <c r="L916" s="46" t="n">
        <v>44473.93</v>
      </c>
    </row>
    <row r="917" customFormat="false" ht="15" hidden="false" customHeight="false" outlineLevel="0" collapsed="false">
      <c r="A917" s="37" t="n">
        <v>500682</v>
      </c>
      <c r="B917" s="37" t="s">
        <v>1092</v>
      </c>
      <c r="C917" s="37" t="n">
        <v>202512</v>
      </c>
      <c r="D917" s="37" t="s">
        <v>59</v>
      </c>
      <c r="E917" s="37" t="s">
        <v>105</v>
      </c>
      <c r="F917" s="37" t="s">
        <v>201</v>
      </c>
      <c r="G917" s="37" t="s">
        <v>358</v>
      </c>
      <c r="H917" s="37" t="s">
        <v>795</v>
      </c>
      <c r="I917" s="37" t="s">
        <v>796</v>
      </c>
      <c r="J917" s="37" t="s">
        <v>1093</v>
      </c>
      <c r="K917" s="45" t="n">
        <v>0</v>
      </c>
      <c r="L917" s="46" t="n">
        <v>700925.61</v>
      </c>
    </row>
    <row r="918" customFormat="false" ht="15" hidden="false" customHeight="false" outlineLevel="0" collapsed="false">
      <c r="A918" s="37" t="n">
        <v>500732</v>
      </c>
      <c r="B918" s="37" t="s">
        <v>1092</v>
      </c>
      <c r="C918" s="37" t="n">
        <v>202512</v>
      </c>
      <c r="D918" s="37" t="s">
        <v>59</v>
      </c>
      <c r="E918" s="37" t="s">
        <v>107</v>
      </c>
      <c r="F918" s="37" t="s">
        <v>201</v>
      </c>
      <c r="G918" s="37" t="s">
        <v>358</v>
      </c>
      <c r="H918" s="37" t="s">
        <v>1095</v>
      </c>
      <c r="I918" s="37" t="s">
        <v>1096</v>
      </c>
      <c r="J918" s="37" t="s">
        <v>1093</v>
      </c>
      <c r="K918" s="45" t="n">
        <v>0</v>
      </c>
      <c r="L918" s="46" t="n">
        <v>14746.17</v>
      </c>
    </row>
    <row r="919" customFormat="false" ht="15" hidden="false" customHeight="false" outlineLevel="0" collapsed="false">
      <c r="A919" s="37" t="n">
        <v>500762</v>
      </c>
      <c r="B919" s="37" t="s">
        <v>1092</v>
      </c>
      <c r="C919" s="37" t="n">
        <v>202512</v>
      </c>
      <c r="D919" s="37" t="s">
        <v>59</v>
      </c>
      <c r="E919" s="37" t="s">
        <v>110</v>
      </c>
      <c r="F919" s="37" t="s">
        <v>201</v>
      </c>
      <c r="G919" s="37" t="s">
        <v>358</v>
      </c>
      <c r="H919" s="37" t="s">
        <v>849</v>
      </c>
      <c r="I919" s="37" t="s">
        <v>850</v>
      </c>
      <c r="J919" s="37" t="s">
        <v>1093</v>
      </c>
      <c r="K919" s="45" t="n">
        <v>0</v>
      </c>
      <c r="L919" s="46" t="n">
        <v>141759.57</v>
      </c>
    </row>
    <row r="920" customFormat="false" ht="15" hidden="false" customHeight="false" outlineLevel="0" collapsed="false">
      <c r="A920" s="37" t="n">
        <v>500775</v>
      </c>
      <c r="B920" s="37" t="s">
        <v>1092</v>
      </c>
      <c r="C920" s="37" t="n">
        <v>202512</v>
      </c>
      <c r="D920" s="37" t="s">
        <v>59</v>
      </c>
      <c r="E920" s="37" t="s">
        <v>111</v>
      </c>
      <c r="F920" s="37" t="s">
        <v>201</v>
      </c>
      <c r="G920" s="37" t="s">
        <v>358</v>
      </c>
      <c r="H920" s="37" t="s">
        <v>851</v>
      </c>
      <c r="I920" s="37" t="s">
        <v>852</v>
      </c>
      <c r="J920" s="37" t="s">
        <v>1093</v>
      </c>
      <c r="K920" s="45" t="n">
        <v>0</v>
      </c>
      <c r="L920" s="46" t="n">
        <v>183833.28</v>
      </c>
    </row>
    <row r="921" customFormat="false" ht="15" hidden="false" customHeight="false" outlineLevel="0" collapsed="false">
      <c r="A921" s="37" t="n">
        <v>500999</v>
      </c>
      <c r="B921" s="37" t="s">
        <v>1092</v>
      </c>
      <c r="C921" s="37" t="n">
        <v>202512</v>
      </c>
      <c r="D921" s="37" t="s">
        <v>60</v>
      </c>
      <c r="E921" s="37" t="s">
        <v>104</v>
      </c>
      <c r="F921" s="37" t="s">
        <v>201</v>
      </c>
      <c r="G921" s="37" t="s">
        <v>358</v>
      </c>
      <c r="H921" s="37" t="s">
        <v>1097</v>
      </c>
      <c r="I921" s="37" t="s">
        <v>1098</v>
      </c>
      <c r="J921" s="37" t="s">
        <v>1093</v>
      </c>
      <c r="K921" s="45" t="n">
        <v>0</v>
      </c>
      <c r="L921" s="46" t="n">
        <v>33592.57</v>
      </c>
    </row>
    <row r="922" customFormat="false" ht="15" hidden="false" customHeight="false" outlineLevel="0" collapsed="false">
      <c r="A922" s="37" t="n">
        <v>501008</v>
      </c>
      <c r="B922" s="37" t="s">
        <v>1092</v>
      </c>
      <c r="C922" s="37" t="n">
        <v>202512</v>
      </c>
      <c r="D922" s="37" t="s">
        <v>60</v>
      </c>
      <c r="E922" s="37" t="s">
        <v>105</v>
      </c>
      <c r="F922" s="37" t="s">
        <v>201</v>
      </c>
      <c r="G922" s="37" t="s">
        <v>358</v>
      </c>
      <c r="H922" s="37" t="s">
        <v>931</v>
      </c>
      <c r="I922" s="37" t="s">
        <v>932</v>
      </c>
      <c r="J922" s="37" t="s">
        <v>1093</v>
      </c>
      <c r="K922" s="45" t="n">
        <v>0</v>
      </c>
      <c r="L922" s="46" t="n">
        <v>259215.71</v>
      </c>
    </row>
    <row r="923" customFormat="false" ht="15" hidden="false" customHeight="false" outlineLevel="0" collapsed="false">
      <c r="A923" s="37" t="n">
        <v>501076</v>
      </c>
      <c r="B923" s="37" t="s">
        <v>1092</v>
      </c>
      <c r="C923" s="37" t="n">
        <v>202512</v>
      </c>
      <c r="D923" s="37" t="s">
        <v>60</v>
      </c>
      <c r="E923" s="37" t="s">
        <v>110</v>
      </c>
      <c r="F923" s="37" t="s">
        <v>201</v>
      </c>
      <c r="G923" s="37" t="s">
        <v>358</v>
      </c>
      <c r="H923" s="37" t="s">
        <v>1010</v>
      </c>
      <c r="I923" s="37" t="s">
        <v>548</v>
      </c>
      <c r="J923" s="37" t="s">
        <v>1093</v>
      </c>
      <c r="K923" s="45" t="n">
        <v>0</v>
      </c>
      <c r="L923" s="46" t="n">
        <v>74921.6</v>
      </c>
    </row>
    <row r="924" customFormat="false" ht="15" hidden="false" customHeight="false" outlineLevel="0" collapsed="false">
      <c r="A924" s="37" t="n">
        <v>501087</v>
      </c>
      <c r="B924" s="37" t="s">
        <v>1092</v>
      </c>
      <c r="C924" s="37" t="n">
        <v>202512</v>
      </c>
      <c r="D924" s="37" t="s">
        <v>60</v>
      </c>
      <c r="E924" s="37" t="s">
        <v>111</v>
      </c>
      <c r="F924" s="37" t="s">
        <v>201</v>
      </c>
      <c r="G924" s="37" t="s">
        <v>358</v>
      </c>
      <c r="H924" s="37" t="s">
        <v>1011</v>
      </c>
      <c r="I924" s="37" t="s">
        <v>1012</v>
      </c>
      <c r="J924" s="37" t="s">
        <v>1093</v>
      </c>
      <c r="K924" s="45" t="n">
        <v>0</v>
      </c>
      <c r="L924" s="46" t="n">
        <v>52540.21</v>
      </c>
    </row>
    <row r="925" customFormat="false" ht="15" hidden="false" customHeight="false" outlineLevel="0" collapsed="false">
      <c r="A925" s="37" t="n">
        <v>501271</v>
      </c>
      <c r="B925" s="37" t="s">
        <v>1092</v>
      </c>
      <c r="C925" s="37" t="n">
        <v>202512</v>
      </c>
      <c r="D925" s="37" t="s">
        <v>61</v>
      </c>
      <c r="E925" s="37" t="s">
        <v>103</v>
      </c>
      <c r="F925" s="37" t="s">
        <v>205</v>
      </c>
      <c r="G925" s="37" t="s">
        <v>358</v>
      </c>
      <c r="H925" s="37" t="s">
        <v>711</v>
      </c>
      <c r="I925" s="37" t="s">
        <v>401</v>
      </c>
      <c r="J925" s="37" t="s">
        <v>1099</v>
      </c>
      <c r="K925" s="45" t="n">
        <v>0</v>
      </c>
      <c r="L925" s="46" t="n">
        <v>51641.56</v>
      </c>
    </row>
    <row r="926" customFormat="false" ht="15" hidden="false" customHeight="false" outlineLevel="0" collapsed="false">
      <c r="A926" s="37" t="n">
        <v>501279</v>
      </c>
      <c r="B926" s="37" t="s">
        <v>1092</v>
      </c>
      <c r="C926" s="37" t="n">
        <v>202512</v>
      </c>
      <c r="D926" s="37" t="s">
        <v>61</v>
      </c>
      <c r="E926" s="37" t="s">
        <v>105</v>
      </c>
      <c r="F926" s="37" t="s">
        <v>201</v>
      </c>
      <c r="G926" s="37" t="s">
        <v>358</v>
      </c>
      <c r="H926" s="37" t="s">
        <v>933</v>
      </c>
      <c r="I926" s="37" t="s">
        <v>934</v>
      </c>
      <c r="J926" s="37" t="s">
        <v>1093</v>
      </c>
      <c r="K926" s="45" t="n">
        <v>0</v>
      </c>
      <c r="L926" s="46" t="n">
        <v>402187.63</v>
      </c>
    </row>
    <row r="927" customFormat="false" ht="15" hidden="false" customHeight="false" outlineLevel="0" collapsed="false">
      <c r="A927" s="37" t="n">
        <v>501345</v>
      </c>
      <c r="B927" s="37" t="s">
        <v>1092</v>
      </c>
      <c r="C927" s="37" t="n">
        <v>202512</v>
      </c>
      <c r="D927" s="37" t="s">
        <v>61</v>
      </c>
      <c r="E927" s="37" t="s">
        <v>110</v>
      </c>
      <c r="F927" s="37" t="s">
        <v>201</v>
      </c>
      <c r="G927" s="37" t="s">
        <v>358</v>
      </c>
      <c r="H927" s="37" t="s">
        <v>1014</v>
      </c>
      <c r="I927" s="37" t="s">
        <v>1015</v>
      </c>
      <c r="J927" s="37" t="s">
        <v>1093</v>
      </c>
      <c r="K927" s="45" t="n">
        <v>0</v>
      </c>
      <c r="L927" s="46" t="n">
        <v>54644.32</v>
      </c>
    </row>
    <row r="928" customFormat="false" ht="15" hidden="false" customHeight="false" outlineLevel="0" collapsed="false">
      <c r="A928" s="37" t="n">
        <v>501356</v>
      </c>
      <c r="B928" s="37" t="s">
        <v>1092</v>
      </c>
      <c r="C928" s="37" t="n">
        <v>202512</v>
      </c>
      <c r="D928" s="37" t="s">
        <v>61</v>
      </c>
      <c r="E928" s="37" t="s">
        <v>111</v>
      </c>
      <c r="F928" s="37" t="s">
        <v>201</v>
      </c>
      <c r="G928" s="37" t="s">
        <v>358</v>
      </c>
      <c r="H928" s="37" t="s">
        <v>1016</v>
      </c>
      <c r="I928" s="37" t="s">
        <v>1017</v>
      </c>
      <c r="J928" s="37" t="s">
        <v>1093</v>
      </c>
      <c r="K928" s="45" t="n">
        <v>0</v>
      </c>
      <c r="L928" s="46" t="n">
        <v>58119.46</v>
      </c>
    </row>
    <row r="929" customFormat="false" ht="15" hidden="false" customHeight="false" outlineLevel="0" collapsed="false">
      <c r="A929" s="37" t="n">
        <v>501473</v>
      </c>
      <c r="B929" s="37" t="s">
        <v>1092</v>
      </c>
      <c r="C929" s="37" t="n">
        <v>202512</v>
      </c>
      <c r="D929" s="37" t="s">
        <v>62</v>
      </c>
      <c r="E929" s="37" t="s">
        <v>100</v>
      </c>
      <c r="F929" s="37" t="s">
        <v>201</v>
      </c>
      <c r="G929" s="37" t="s">
        <v>358</v>
      </c>
      <c r="H929" s="37" t="s">
        <v>797</v>
      </c>
      <c r="I929" s="37" t="s">
        <v>646</v>
      </c>
      <c r="J929" s="37" t="s">
        <v>1093</v>
      </c>
      <c r="K929" s="45" t="n">
        <v>0</v>
      </c>
      <c r="L929" s="46" t="n">
        <v>151857.5</v>
      </c>
    </row>
    <row r="930" customFormat="false" ht="15" hidden="false" customHeight="false" outlineLevel="0" collapsed="false">
      <c r="A930" s="37" t="n">
        <v>501723</v>
      </c>
      <c r="B930" s="37" t="s">
        <v>1092</v>
      </c>
      <c r="C930" s="37" t="n">
        <v>202512</v>
      </c>
      <c r="D930" s="37" t="s">
        <v>63</v>
      </c>
      <c r="E930" s="37" t="s">
        <v>100</v>
      </c>
      <c r="F930" s="37" t="s">
        <v>201</v>
      </c>
      <c r="G930" s="37" t="s">
        <v>358</v>
      </c>
      <c r="H930" s="37" t="s">
        <v>853</v>
      </c>
      <c r="I930" s="37" t="s">
        <v>854</v>
      </c>
      <c r="J930" s="37" t="s">
        <v>1093</v>
      </c>
      <c r="K930" s="45" t="n">
        <v>0</v>
      </c>
      <c r="L930" s="46" t="n">
        <v>45672.4</v>
      </c>
    </row>
    <row r="931" customFormat="false" ht="15" hidden="false" customHeight="false" outlineLevel="0" collapsed="false">
      <c r="A931" s="37" t="n">
        <v>501787</v>
      </c>
      <c r="B931" s="37" t="s">
        <v>1092</v>
      </c>
      <c r="C931" s="37" t="n">
        <v>202512</v>
      </c>
      <c r="D931" s="37" t="s">
        <v>63</v>
      </c>
      <c r="E931" s="37" t="s">
        <v>105</v>
      </c>
      <c r="F931" s="37" t="s">
        <v>201</v>
      </c>
      <c r="G931" s="37" t="s">
        <v>358</v>
      </c>
      <c r="H931" s="37" t="s">
        <v>1100</v>
      </c>
      <c r="I931" s="37" t="s">
        <v>1101</v>
      </c>
      <c r="J931" s="37" t="s">
        <v>1093</v>
      </c>
      <c r="K931" s="45" t="n">
        <v>0</v>
      </c>
      <c r="L931" s="46" t="n">
        <v>3995.38</v>
      </c>
    </row>
    <row r="932" customFormat="false" ht="15" hidden="false" customHeight="false" outlineLevel="0" collapsed="false">
      <c r="A932" s="37" t="n">
        <v>501947</v>
      </c>
      <c r="B932" s="37" t="s">
        <v>1092</v>
      </c>
      <c r="C932" s="37" t="n">
        <v>202512</v>
      </c>
      <c r="D932" s="37" t="s">
        <v>64</v>
      </c>
      <c r="E932" s="37" t="s">
        <v>100</v>
      </c>
      <c r="F932" s="37" t="s">
        <v>201</v>
      </c>
      <c r="G932" s="37" t="s">
        <v>358</v>
      </c>
      <c r="H932" s="37" t="s">
        <v>935</v>
      </c>
      <c r="I932" s="37" t="s">
        <v>936</v>
      </c>
      <c r="J932" s="37" t="s">
        <v>1093</v>
      </c>
      <c r="K932" s="45" t="n">
        <v>0</v>
      </c>
      <c r="L932" s="46" t="n">
        <v>159312.84</v>
      </c>
    </row>
    <row r="933" customFormat="false" ht="15" hidden="false" customHeight="false" outlineLevel="0" collapsed="false">
      <c r="A933" s="37" t="n">
        <v>502155</v>
      </c>
      <c r="B933" s="37" t="s">
        <v>1092</v>
      </c>
      <c r="C933" s="37" t="n">
        <v>202512</v>
      </c>
      <c r="D933" s="37" t="s">
        <v>65</v>
      </c>
      <c r="E933" s="37" t="s">
        <v>100</v>
      </c>
      <c r="F933" s="37" t="s">
        <v>201</v>
      </c>
      <c r="G933" s="37" t="s">
        <v>358</v>
      </c>
      <c r="H933" s="37" t="s">
        <v>1019</v>
      </c>
      <c r="I933" s="37" t="s">
        <v>646</v>
      </c>
      <c r="J933" s="37" t="s">
        <v>1093</v>
      </c>
      <c r="K933" s="45" t="n">
        <v>0</v>
      </c>
      <c r="L933" s="46" t="n">
        <v>512003.35</v>
      </c>
    </row>
    <row r="934" customFormat="false" ht="15" hidden="false" customHeight="false" outlineLevel="0" collapsed="false">
      <c r="A934" s="37" t="n">
        <v>500082</v>
      </c>
      <c r="B934" s="37" t="s">
        <v>1102</v>
      </c>
      <c r="C934" s="37" t="n">
        <v>202512</v>
      </c>
      <c r="D934" s="37" t="s">
        <v>58</v>
      </c>
      <c r="E934" s="37" t="s">
        <v>97</v>
      </c>
      <c r="F934" s="37" t="s">
        <v>194</v>
      </c>
      <c r="G934" s="37" t="s">
        <v>354</v>
      </c>
      <c r="H934" s="37"/>
      <c r="I934" s="37" t="s">
        <v>355</v>
      </c>
      <c r="J934" s="37" t="s">
        <v>1103</v>
      </c>
      <c r="K934" s="45" t="n">
        <v>89.8</v>
      </c>
      <c r="L934" s="46" t="n">
        <v>8259.89</v>
      </c>
    </row>
    <row r="935" customFormat="false" ht="15" hidden="false" customHeight="false" outlineLevel="0" collapsed="false">
      <c r="A935" s="37" t="n">
        <v>500356</v>
      </c>
      <c r="B935" s="37" t="s">
        <v>1102</v>
      </c>
      <c r="C935" s="37" t="n">
        <v>202512</v>
      </c>
      <c r="D935" s="37" t="s">
        <v>58</v>
      </c>
      <c r="E935" s="37" t="s">
        <v>106</v>
      </c>
      <c r="F935" s="37" t="s">
        <v>194</v>
      </c>
      <c r="G935" s="37" t="s">
        <v>354</v>
      </c>
      <c r="H935" s="37"/>
      <c r="I935" s="37" t="s">
        <v>355</v>
      </c>
      <c r="J935" s="37" t="s">
        <v>1103</v>
      </c>
      <c r="K935" s="45" t="n">
        <v>122.6</v>
      </c>
      <c r="L935" s="46" t="n">
        <v>8703.09</v>
      </c>
    </row>
    <row r="936" customFormat="false" ht="15" hidden="false" customHeight="false" outlineLevel="0" collapsed="false">
      <c r="A936" s="37" t="n">
        <v>500490</v>
      </c>
      <c r="B936" s="37" t="s">
        <v>1102</v>
      </c>
      <c r="C936" s="37" t="n">
        <v>202512</v>
      </c>
      <c r="D936" s="37" t="s">
        <v>59</v>
      </c>
      <c r="E936" s="37" t="s">
        <v>97</v>
      </c>
      <c r="F936" s="37" t="s">
        <v>194</v>
      </c>
      <c r="G936" s="37" t="s">
        <v>354</v>
      </c>
      <c r="H936" s="37"/>
      <c r="I936" s="37" t="s">
        <v>355</v>
      </c>
      <c r="J936" s="37" t="s">
        <v>1103</v>
      </c>
      <c r="K936" s="45" t="n">
        <v>98</v>
      </c>
      <c r="L936" s="46" t="n">
        <v>9017.81</v>
      </c>
    </row>
    <row r="937" customFormat="false" ht="15" hidden="false" customHeight="false" outlineLevel="0" collapsed="false">
      <c r="A937" s="37" t="n">
        <v>500634</v>
      </c>
      <c r="B937" s="37" t="s">
        <v>1102</v>
      </c>
      <c r="C937" s="37" t="n">
        <v>202512</v>
      </c>
      <c r="D937" s="37" t="s">
        <v>59</v>
      </c>
      <c r="E937" s="37" t="s">
        <v>101</v>
      </c>
      <c r="F937" s="37" t="s">
        <v>194</v>
      </c>
      <c r="G937" s="37" t="s">
        <v>354</v>
      </c>
      <c r="H937" s="37"/>
      <c r="I937" s="37" t="s">
        <v>355</v>
      </c>
      <c r="J937" s="37" t="s">
        <v>1103</v>
      </c>
      <c r="K937" s="45" t="n">
        <v>151.4</v>
      </c>
      <c r="L937" s="46" t="n">
        <v>11203.24</v>
      </c>
    </row>
    <row r="938" customFormat="false" ht="15" hidden="false" customHeight="false" outlineLevel="0" collapsed="false">
      <c r="A938" s="37" t="n">
        <v>500692</v>
      </c>
      <c r="B938" s="37" t="s">
        <v>1102</v>
      </c>
      <c r="C938" s="37" t="n">
        <v>202512</v>
      </c>
      <c r="D938" s="37" t="s">
        <v>59</v>
      </c>
      <c r="E938" s="37" t="s">
        <v>106</v>
      </c>
      <c r="F938" s="37" t="s">
        <v>194</v>
      </c>
      <c r="G938" s="37" t="s">
        <v>354</v>
      </c>
      <c r="H938" s="37"/>
      <c r="I938" s="37" t="s">
        <v>355</v>
      </c>
      <c r="J938" s="37" t="s">
        <v>1103</v>
      </c>
      <c r="K938" s="45" t="n">
        <v>34.8</v>
      </c>
      <c r="L938" s="46" t="n">
        <v>2473.26</v>
      </c>
    </row>
    <row r="939" customFormat="false" ht="15" hidden="false" customHeight="false" outlineLevel="0" collapsed="false">
      <c r="A939" s="37" t="n">
        <v>500819</v>
      </c>
      <c r="B939" s="37" t="s">
        <v>1102</v>
      </c>
      <c r="C939" s="37" t="n">
        <v>202512</v>
      </c>
      <c r="D939" s="37" t="s">
        <v>60</v>
      </c>
      <c r="E939" s="37" t="s">
        <v>97</v>
      </c>
      <c r="F939" s="37" t="s">
        <v>194</v>
      </c>
      <c r="G939" s="37" t="s">
        <v>354</v>
      </c>
      <c r="H939" s="37"/>
      <c r="I939" s="37" t="s">
        <v>355</v>
      </c>
      <c r="J939" s="37" t="s">
        <v>1103</v>
      </c>
      <c r="K939" s="45" t="n">
        <v>180.2</v>
      </c>
      <c r="L939" s="46" t="n">
        <v>16582.98</v>
      </c>
    </row>
    <row r="940" customFormat="false" ht="15" hidden="false" customHeight="false" outlineLevel="0" collapsed="false">
      <c r="A940" s="37" t="n">
        <v>500947</v>
      </c>
      <c r="B940" s="37" t="s">
        <v>1102</v>
      </c>
      <c r="C940" s="37" t="n">
        <v>202512</v>
      </c>
      <c r="D940" s="37" t="s">
        <v>60</v>
      </c>
      <c r="E940" s="37" t="s">
        <v>101</v>
      </c>
      <c r="F940" s="37" t="s">
        <v>194</v>
      </c>
      <c r="G940" s="37" t="s">
        <v>354</v>
      </c>
      <c r="H940" s="37"/>
      <c r="I940" s="37" t="s">
        <v>355</v>
      </c>
      <c r="J940" s="37" t="s">
        <v>1103</v>
      </c>
      <c r="K940" s="45" t="n">
        <v>396.6</v>
      </c>
      <c r="L940" s="46" t="n">
        <v>29346.17</v>
      </c>
    </row>
    <row r="941" customFormat="false" ht="15" hidden="false" customHeight="false" outlineLevel="0" collapsed="false">
      <c r="A941" s="37" t="n">
        <v>501126</v>
      </c>
      <c r="B941" s="37" t="s">
        <v>1102</v>
      </c>
      <c r="C941" s="37" t="n">
        <v>202512</v>
      </c>
      <c r="D941" s="37" t="s">
        <v>61</v>
      </c>
      <c r="E941" s="37" t="s">
        <v>97</v>
      </c>
      <c r="F941" s="37" t="s">
        <v>194</v>
      </c>
      <c r="G941" s="37" t="s">
        <v>354</v>
      </c>
      <c r="H941" s="37"/>
      <c r="I941" s="37" t="s">
        <v>355</v>
      </c>
      <c r="J941" s="37" t="s">
        <v>1103</v>
      </c>
      <c r="K941" s="45" t="n">
        <v>376.2</v>
      </c>
      <c r="L941" s="46" t="n">
        <v>34608.91</v>
      </c>
    </row>
    <row r="942" customFormat="false" ht="15" hidden="false" customHeight="false" outlineLevel="0" collapsed="false">
      <c r="A942" s="37" t="n">
        <v>501240</v>
      </c>
      <c r="B942" s="37" t="s">
        <v>1102</v>
      </c>
      <c r="C942" s="37" t="n">
        <v>202512</v>
      </c>
      <c r="D942" s="37" t="s">
        <v>61</v>
      </c>
      <c r="E942" s="37" t="s">
        <v>101</v>
      </c>
      <c r="F942" s="37" t="s">
        <v>194</v>
      </c>
      <c r="G942" s="37" t="s">
        <v>354</v>
      </c>
      <c r="H942" s="37"/>
      <c r="I942" s="37" t="s">
        <v>355</v>
      </c>
      <c r="J942" s="37" t="s">
        <v>1103</v>
      </c>
      <c r="K942" s="45" t="n">
        <v>196</v>
      </c>
      <c r="L942" s="46" t="n">
        <v>14504.33</v>
      </c>
    </row>
    <row r="943" customFormat="false" ht="15" hidden="false" customHeight="false" outlineLevel="0" collapsed="false">
      <c r="A943" s="37" t="n">
        <v>501286</v>
      </c>
      <c r="B943" s="37" t="s">
        <v>1102</v>
      </c>
      <c r="C943" s="37" t="n">
        <v>202512</v>
      </c>
      <c r="D943" s="37" t="s">
        <v>61</v>
      </c>
      <c r="E943" s="37" t="s">
        <v>106</v>
      </c>
      <c r="F943" s="37" t="s">
        <v>194</v>
      </c>
      <c r="G943" s="37" t="s">
        <v>354</v>
      </c>
      <c r="H943" s="37"/>
      <c r="I943" s="37" t="s">
        <v>355</v>
      </c>
      <c r="J943" s="37" t="s">
        <v>1103</v>
      </c>
      <c r="K943" s="45" t="n">
        <v>8.7</v>
      </c>
      <c r="L943" s="46" t="n">
        <v>615.8</v>
      </c>
    </row>
    <row r="944" customFormat="false" ht="15" hidden="false" customHeight="false" outlineLevel="0" collapsed="false">
      <c r="A944" s="37" t="n">
        <v>501387</v>
      </c>
      <c r="B944" s="37" t="s">
        <v>1102</v>
      </c>
      <c r="C944" s="37" t="n">
        <v>202512</v>
      </c>
      <c r="D944" s="37" t="s">
        <v>62</v>
      </c>
      <c r="E944" s="37" t="s">
        <v>97</v>
      </c>
      <c r="F944" s="37" t="s">
        <v>194</v>
      </c>
      <c r="G944" s="37" t="s">
        <v>354</v>
      </c>
      <c r="H944" s="37"/>
      <c r="I944" s="37" t="s">
        <v>355</v>
      </c>
      <c r="J944" s="37" t="s">
        <v>1103</v>
      </c>
      <c r="K944" s="45" t="n">
        <v>205.9</v>
      </c>
      <c r="L944" s="46" t="n">
        <v>18939.38</v>
      </c>
    </row>
    <row r="945" customFormat="false" ht="15" hidden="false" customHeight="false" outlineLevel="0" collapsed="false">
      <c r="A945" s="37" t="n">
        <v>501491</v>
      </c>
      <c r="B945" s="37" t="s">
        <v>1102</v>
      </c>
      <c r="C945" s="37" t="n">
        <v>202512</v>
      </c>
      <c r="D945" s="37" t="s">
        <v>62</v>
      </c>
      <c r="E945" s="37" t="s">
        <v>101</v>
      </c>
      <c r="F945" s="37" t="s">
        <v>194</v>
      </c>
      <c r="G945" s="37" t="s">
        <v>354</v>
      </c>
      <c r="H945" s="37"/>
      <c r="I945" s="37" t="s">
        <v>355</v>
      </c>
      <c r="J945" s="37" t="s">
        <v>1103</v>
      </c>
      <c r="K945" s="45" t="n">
        <v>1048.4</v>
      </c>
      <c r="L945" s="46" t="n">
        <v>77580.45</v>
      </c>
    </row>
    <row r="946" customFormat="false" ht="15" hidden="false" customHeight="false" outlineLevel="0" collapsed="false">
      <c r="A946" s="37" t="n">
        <v>501633</v>
      </c>
      <c r="B946" s="37" t="s">
        <v>1102</v>
      </c>
      <c r="C946" s="37" t="n">
        <v>202512</v>
      </c>
      <c r="D946" s="37" t="s">
        <v>63</v>
      </c>
      <c r="E946" s="37" t="s">
        <v>97</v>
      </c>
      <c r="F946" s="37" t="s">
        <v>194</v>
      </c>
      <c r="G946" s="37" t="s">
        <v>354</v>
      </c>
      <c r="H946" s="37"/>
      <c r="I946" s="37" t="s">
        <v>355</v>
      </c>
      <c r="J946" s="37" t="s">
        <v>1103</v>
      </c>
      <c r="K946" s="45" t="n">
        <v>70.9</v>
      </c>
      <c r="L946" s="46" t="n">
        <v>6521.62</v>
      </c>
    </row>
    <row r="947" customFormat="false" ht="15" hidden="false" customHeight="false" outlineLevel="0" collapsed="false">
      <c r="A947" s="37" t="n">
        <v>501737</v>
      </c>
      <c r="B947" s="37" t="s">
        <v>1102</v>
      </c>
      <c r="C947" s="37" t="n">
        <v>202512</v>
      </c>
      <c r="D947" s="37" t="s">
        <v>63</v>
      </c>
      <c r="E947" s="37" t="s">
        <v>101</v>
      </c>
      <c r="F947" s="37" t="s">
        <v>194</v>
      </c>
      <c r="G947" s="37" t="s">
        <v>354</v>
      </c>
      <c r="H947" s="37"/>
      <c r="I947" s="37" t="s">
        <v>355</v>
      </c>
      <c r="J947" s="37" t="s">
        <v>1103</v>
      </c>
      <c r="K947" s="45" t="n">
        <v>457.7</v>
      </c>
      <c r="L947" s="46" t="n">
        <v>33867.74</v>
      </c>
    </row>
    <row r="948" customFormat="false" ht="15" hidden="false" customHeight="false" outlineLevel="0" collapsed="false">
      <c r="A948" s="37" t="n">
        <v>501867</v>
      </c>
      <c r="B948" s="37" t="s">
        <v>1102</v>
      </c>
      <c r="C948" s="37" t="n">
        <v>202512</v>
      </c>
      <c r="D948" s="37" t="s">
        <v>64</v>
      </c>
      <c r="E948" s="37" t="s">
        <v>97</v>
      </c>
      <c r="F948" s="37" t="s">
        <v>194</v>
      </c>
      <c r="G948" s="37" t="s">
        <v>354</v>
      </c>
      <c r="H948" s="37"/>
      <c r="I948" s="37" t="s">
        <v>355</v>
      </c>
      <c r="J948" s="37" t="s">
        <v>1103</v>
      </c>
      <c r="K948" s="45" t="n">
        <v>103.4</v>
      </c>
      <c r="L948" s="46" t="n">
        <v>9516.98</v>
      </c>
    </row>
    <row r="949" customFormat="false" ht="15" hidden="false" customHeight="false" outlineLevel="0" collapsed="false">
      <c r="A949" s="37" t="n">
        <v>501912</v>
      </c>
      <c r="B949" s="37" t="s">
        <v>1102</v>
      </c>
      <c r="C949" s="37" t="n">
        <v>202512</v>
      </c>
      <c r="D949" s="37" t="s">
        <v>64</v>
      </c>
      <c r="E949" s="37" t="s">
        <v>98</v>
      </c>
      <c r="F949" s="37" t="s">
        <v>196</v>
      </c>
      <c r="G949" s="37" t="s">
        <v>358</v>
      </c>
      <c r="H949" s="37" t="s">
        <v>359</v>
      </c>
      <c r="I949" s="37" t="s">
        <v>360</v>
      </c>
      <c r="J949" s="37" t="s">
        <v>1104</v>
      </c>
      <c r="K949" s="45" t="n">
        <v>0</v>
      </c>
      <c r="L949" s="46" t="n">
        <v>10546.43</v>
      </c>
    </row>
    <row r="950" customFormat="false" ht="15" hidden="false" customHeight="false" outlineLevel="0" collapsed="false">
      <c r="A950" s="37" t="n">
        <v>501957</v>
      </c>
      <c r="B950" s="37" t="s">
        <v>1102</v>
      </c>
      <c r="C950" s="37" t="n">
        <v>202512</v>
      </c>
      <c r="D950" s="37" t="s">
        <v>64</v>
      </c>
      <c r="E950" s="37" t="s">
        <v>101</v>
      </c>
      <c r="F950" s="37" t="s">
        <v>194</v>
      </c>
      <c r="G950" s="37" t="s">
        <v>354</v>
      </c>
      <c r="H950" s="37"/>
      <c r="I950" s="37" t="s">
        <v>355</v>
      </c>
      <c r="J950" s="37" t="s">
        <v>1103</v>
      </c>
      <c r="K950" s="45" t="n">
        <v>577.1</v>
      </c>
      <c r="L950" s="46" t="n">
        <v>42706.36</v>
      </c>
    </row>
    <row r="951" customFormat="false" ht="15" hidden="false" customHeight="false" outlineLevel="0" collapsed="false">
      <c r="A951" s="37" t="n">
        <v>502083</v>
      </c>
      <c r="B951" s="37" t="s">
        <v>1102</v>
      </c>
      <c r="C951" s="37" t="n">
        <v>202512</v>
      </c>
      <c r="D951" s="37" t="s">
        <v>65</v>
      </c>
      <c r="E951" s="37" t="s">
        <v>97</v>
      </c>
      <c r="F951" s="37" t="s">
        <v>194</v>
      </c>
      <c r="G951" s="37" t="s">
        <v>354</v>
      </c>
      <c r="H951" s="37"/>
      <c r="I951" s="37" t="s">
        <v>355</v>
      </c>
      <c r="J951" s="37" t="s">
        <v>1103</v>
      </c>
      <c r="K951" s="45" t="n">
        <v>91.4</v>
      </c>
      <c r="L951" s="46" t="n">
        <v>8408.2</v>
      </c>
    </row>
    <row r="952" customFormat="false" ht="15" hidden="false" customHeight="false" outlineLevel="0" collapsed="false">
      <c r="A952" s="37" t="n">
        <v>502162</v>
      </c>
      <c r="B952" s="37" t="s">
        <v>1102</v>
      </c>
      <c r="C952" s="37" t="n">
        <v>202512</v>
      </c>
      <c r="D952" s="37" t="s">
        <v>65</v>
      </c>
      <c r="E952" s="37" t="s">
        <v>101</v>
      </c>
      <c r="F952" s="37" t="s">
        <v>194</v>
      </c>
      <c r="G952" s="37" t="s">
        <v>354</v>
      </c>
      <c r="H952" s="37"/>
      <c r="I952" s="37" t="s">
        <v>355</v>
      </c>
      <c r="J952" s="37" t="s">
        <v>1103</v>
      </c>
      <c r="K952" s="45" t="n">
        <v>83.8</v>
      </c>
      <c r="L952" s="46" t="n">
        <v>6198.94</v>
      </c>
    </row>
    <row r="953" customFormat="false" ht="15" hidden="false" customHeight="false" outlineLevel="0" collapsed="false">
      <c r="A953" s="37" t="n">
        <v>500155</v>
      </c>
      <c r="B953" s="37" t="s">
        <v>1105</v>
      </c>
      <c r="C953" s="37" t="n">
        <v>202512</v>
      </c>
      <c r="D953" s="37" t="s">
        <v>58</v>
      </c>
      <c r="E953" s="37" t="s">
        <v>98</v>
      </c>
      <c r="F953" s="37" t="s">
        <v>196</v>
      </c>
      <c r="G953" s="37" t="s">
        <v>358</v>
      </c>
      <c r="H953" s="37" t="s">
        <v>359</v>
      </c>
      <c r="I953" s="37" t="s">
        <v>360</v>
      </c>
      <c r="J953" s="37" t="s">
        <v>1106</v>
      </c>
      <c r="K953" s="45" t="n">
        <v>0</v>
      </c>
      <c r="L953" s="46" t="n">
        <v>19022.79</v>
      </c>
    </row>
    <row r="954" customFormat="false" ht="15" hidden="false" customHeight="false" outlineLevel="0" collapsed="false">
      <c r="A954" s="37" t="n">
        <v>500988</v>
      </c>
      <c r="B954" s="37" t="s">
        <v>1105</v>
      </c>
      <c r="C954" s="37" t="n">
        <v>202512</v>
      </c>
      <c r="D954" s="37" t="s">
        <v>60</v>
      </c>
      <c r="E954" s="37" t="s">
        <v>103</v>
      </c>
      <c r="F954" s="37" t="s">
        <v>205</v>
      </c>
      <c r="G954" s="37" t="s">
        <v>358</v>
      </c>
      <c r="H954" s="37" t="s">
        <v>727</v>
      </c>
      <c r="I954" s="37" t="s">
        <v>728</v>
      </c>
      <c r="J954" s="37" t="s">
        <v>1107</v>
      </c>
      <c r="K954" s="45" t="n">
        <v>0</v>
      </c>
      <c r="L954" s="46" t="n">
        <v>39436.74</v>
      </c>
    </row>
    <row r="955" customFormat="false" ht="15" hidden="false" customHeight="false" outlineLevel="0" collapsed="false">
      <c r="A955" s="37" t="n">
        <v>500192</v>
      </c>
      <c r="B955" s="37" t="s">
        <v>1108</v>
      </c>
      <c r="C955" s="37" t="n">
        <v>202512</v>
      </c>
      <c r="D955" s="37" t="s">
        <v>58</v>
      </c>
      <c r="E955" s="37" t="s">
        <v>99</v>
      </c>
      <c r="F955" s="37" t="s">
        <v>198</v>
      </c>
      <c r="G955" s="37" t="s">
        <v>375</v>
      </c>
      <c r="H955" s="37"/>
      <c r="I955" s="37" t="s">
        <v>376</v>
      </c>
      <c r="J955" s="37" t="s">
        <v>377</v>
      </c>
      <c r="K955" s="45" t="n">
        <v>0</v>
      </c>
      <c r="L955" s="46" t="n">
        <v>15101.56</v>
      </c>
    </row>
    <row r="956" customFormat="false" ht="15" hidden="false" customHeight="false" outlineLevel="0" collapsed="false">
      <c r="A956" s="37" t="n">
        <v>500579</v>
      </c>
      <c r="B956" s="37" t="s">
        <v>1108</v>
      </c>
      <c r="C956" s="37" t="n">
        <v>202512</v>
      </c>
      <c r="D956" s="37" t="s">
        <v>59</v>
      </c>
      <c r="E956" s="37" t="s">
        <v>99</v>
      </c>
      <c r="F956" s="37" t="s">
        <v>198</v>
      </c>
      <c r="G956" s="37" t="s">
        <v>375</v>
      </c>
      <c r="H956" s="37"/>
      <c r="I956" s="37" t="s">
        <v>376</v>
      </c>
      <c r="J956" s="37" t="s">
        <v>377</v>
      </c>
      <c r="K956" s="45" t="n">
        <v>0</v>
      </c>
      <c r="L956" s="46" t="n">
        <v>81030.93</v>
      </c>
    </row>
    <row r="957" customFormat="false" ht="15" hidden="false" customHeight="false" outlineLevel="0" collapsed="false">
      <c r="A957" s="37" t="n">
        <v>500901</v>
      </c>
      <c r="B957" s="37" t="s">
        <v>1108</v>
      </c>
      <c r="C957" s="37" t="n">
        <v>202512</v>
      </c>
      <c r="D957" s="37" t="s">
        <v>60</v>
      </c>
      <c r="E957" s="37" t="s">
        <v>99</v>
      </c>
      <c r="F957" s="37" t="s">
        <v>198</v>
      </c>
      <c r="G957" s="37" t="s">
        <v>375</v>
      </c>
      <c r="H957" s="37"/>
      <c r="I957" s="37" t="s">
        <v>376</v>
      </c>
      <c r="J957" s="37" t="s">
        <v>377</v>
      </c>
      <c r="K957" s="45" t="n">
        <v>0</v>
      </c>
      <c r="L957" s="46" t="n">
        <v>34605.03</v>
      </c>
    </row>
    <row r="958" customFormat="false" ht="15" hidden="false" customHeight="false" outlineLevel="0" collapsed="false">
      <c r="A958" s="37" t="n">
        <v>501201</v>
      </c>
      <c r="B958" s="37" t="s">
        <v>1108</v>
      </c>
      <c r="C958" s="37" t="n">
        <v>202512</v>
      </c>
      <c r="D958" s="37" t="s">
        <v>61</v>
      </c>
      <c r="E958" s="37" t="s">
        <v>99</v>
      </c>
      <c r="F958" s="37" t="s">
        <v>198</v>
      </c>
      <c r="G958" s="37" t="s">
        <v>375</v>
      </c>
      <c r="H958" s="37"/>
      <c r="I958" s="37" t="s">
        <v>376</v>
      </c>
      <c r="J958" s="37" t="s">
        <v>377</v>
      </c>
      <c r="K958" s="45" t="n">
        <v>0</v>
      </c>
      <c r="L958" s="46" t="n">
        <v>43842.38</v>
      </c>
    </row>
    <row r="959" customFormat="false" ht="15" hidden="false" customHeight="false" outlineLevel="0" collapsed="false">
      <c r="A959" s="37" t="n">
        <v>501459</v>
      </c>
      <c r="B959" s="37" t="s">
        <v>1108</v>
      </c>
      <c r="C959" s="37" t="n">
        <v>202512</v>
      </c>
      <c r="D959" s="37" t="s">
        <v>62</v>
      </c>
      <c r="E959" s="37" t="s">
        <v>99</v>
      </c>
      <c r="F959" s="37" t="s">
        <v>198</v>
      </c>
      <c r="G959" s="37" t="s">
        <v>375</v>
      </c>
      <c r="H959" s="37"/>
      <c r="I959" s="37" t="s">
        <v>376</v>
      </c>
      <c r="J959" s="37" t="s">
        <v>377</v>
      </c>
      <c r="K959" s="45" t="n">
        <v>0</v>
      </c>
      <c r="L959" s="46" t="n">
        <v>26668.21</v>
      </c>
    </row>
    <row r="960" customFormat="false" ht="15" hidden="false" customHeight="false" outlineLevel="0" collapsed="false">
      <c r="A960" s="37" t="n">
        <v>501710</v>
      </c>
      <c r="B960" s="37" t="s">
        <v>1108</v>
      </c>
      <c r="C960" s="37" t="n">
        <v>202512</v>
      </c>
      <c r="D960" s="37" t="s">
        <v>63</v>
      </c>
      <c r="E960" s="37" t="s">
        <v>99</v>
      </c>
      <c r="F960" s="37" t="s">
        <v>198</v>
      </c>
      <c r="G960" s="37" t="s">
        <v>375</v>
      </c>
      <c r="H960" s="37"/>
      <c r="I960" s="37" t="s">
        <v>376</v>
      </c>
      <c r="J960" s="37" t="s">
        <v>377</v>
      </c>
      <c r="K960" s="45" t="n">
        <v>0</v>
      </c>
      <c r="L960" s="46" t="n">
        <v>19741.76</v>
      </c>
    </row>
    <row r="961" customFormat="false" ht="15" hidden="false" customHeight="false" outlineLevel="0" collapsed="false">
      <c r="A961" s="37" t="n">
        <v>501935</v>
      </c>
      <c r="B961" s="37" t="s">
        <v>1108</v>
      </c>
      <c r="C961" s="37" t="n">
        <v>202512</v>
      </c>
      <c r="D961" s="37" t="s">
        <v>64</v>
      </c>
      <c r="E961" s="37" t="s">
        <v>99</v>
      </c>
      <c r="F961" s="37" t="s">
        <v>198</v>
      </c>
      <c r="G961" s="37" t="s">
        <v>375</v>
      </c>
      <c r="H961" s="37"/>
      <c r="I961" s="37" t="s">
        <v>376</v>
      </c>
      <c r="J961" s="37" t="s">
        <v>377</v>
      </c>
      <c r="K961" s="45" t="n">
        <v>0</v>
      </c>
      <c r="L961" s="46" t="n">
        <v>11110.52</v>
      </c>
    </row>
    <row r="962" customFormat="false" ht="15" hidden="false" customHeight="false" outlineLevel="0" collapsed="false">
      <c r="A962" s="37" t="n">
        <v>502144</v>
      </c>
      <c r="B962" s="37" t="s">
        <v>1108</v>
      </c>
      <c r="C962" s="37" t="n">
        <v>202512</v>
      </c>
      <c r="D962" s="37" t="s">
        <v>65</v>
      </c>
      <c r="E962" s="37" t="s">
        <v>99</v>
      </c>
      <c r="F962" s="37" t="s">
        <v>198</v>
      </c>
      <c r="G962" s="37" t="s">
        <v>375</v>
      </c>
      <c r="H962" s="37"/>
      <c r="I962" s="37" t="s">
        <v>376</v>
      </c>
      <c r="J962" s="37" t="s">
        <v>377</v>
      </c>
      <c r="K962" s="45" t="n">
        <v>0</v>
      </c>
      <c r="L962" s="46" t="n">
        <v>23191.14</v>
      </c>
    </row>
    <row r="963" customFormat="false" ht="15" hidden="false" customHeight="false" outlineLevel="0" collapsed="false">
      <c r="A963" s="37" t="n">
        <v>500083</v>
      </c>
      <c r="B963" s="37" t="s">
        <v>1109</v>
      </c>
      <c r="C963" s="37" t="n">
        <v>202601</v>
      </c>
      <c r="D963" s="37" t="s">
        <v>58</v>
      </c>
      <c r="E963" s="37" t="s">
        <v>97</v>
      </c>
      <c r="F963" s="37" t="s">
        <v>194</v>
      </c>
      <c r="G963" s="37" t="s">
        <v>354</v>
      </c>
      <c r="H963" s="37"/>
      <c r="I963" s="37" t="s">
        <v>355</v>
      </c>
      <c r="J963" s="37" t="s">
        <v>1110</v>
      </c>
      <c r="K963" s="45" t="n">
        <v>109.6</v>
      </c>
      <c r="L963" s="46" t="n">
        <v>10084.03</v>
      </c>
    </row>
    <row r="964" customFormat="false" ht="15" hidden="false" customHeight="false" outlineLevel="0" collapsed="false">
      <c r="A964" s="37" t="n">
        <v>500357</v>
      </c>
      <c r="B964" s="37" t="s">
        <v>1109</v>
      </c>
      <c r="C964" s="37" t="n">
        <v>202601</v>
      </c>
      <c r="D964" s="37" t="s">
        <v>58</v>
      </c>
      <c r="E964" s="37" t="s">
        <v>106</v>
      </c>
      <c r="F964" s="37" t="s">
        <v>194</v>
      </c>
      <c r="G964" s="37" t="s">
        <v>354</v>
      </c>
      <c r="H964" s="37"/>
      <c r="I964" s="37" t="s">
        <v>355</v>
      </c>
      <c r="J964" s="37" t="s">
        <v>1110</v>
      </c>
      <c r="K964" s="45" t="n">
        <v>159.9</v>
      </c>
      <c r="L964" s="46" t="n">
        <v>11353.4</v>
      </c>
    </row>
    <row r="965" customFormat="false" ht="15" hidden="false" customHeight="false" outlineLevel="0" collapsed="false">
      <c r="A965" s="37" t="n">
        <v>500491</v>
      </c>
      <c r="B965" s="37" t="s">
        <v>1109</v>
      </c>
      <c r="C965" s="37" t="n">
        <v>202601</v>
      </c>
      <c r="D965" s="37" t="s">
        <v>59</v>
      </c>
      <c r="E965" s="37" t="s">
        <v>97</v>
      </c>
      <c r="F965" s="37" t="s">
        <v>194</v>
      </c>
      <c r="G965" s="37" t="s">
        <v>354</v>
      </c>
      <c r="H965" s="37"/>
      <c r="I965" s="37" t="s">
        <v>355</v>
      </c>
      <c r="J965" s="37" t="s">
        <v>1110</v>
      </c>
      <c r="K965" s="45" t="n">
        <v>281.9</v>
      </c>
      <c r="L965" s="46" t="n">
        <v>25934.55</v>
      </c>
    </row>
    <row r="966" customFormat="false" ht="15" hidden="false" customHeight="false" outlineLevel="0" collapsed="false">
      <c r="A966" s="37" t="n">
        <v>500693</v>
      </c>
      <c r="B966" s="37" t="s">
        <v>1109</v>
      </c>
      <c r="C966" s="37" t="n">
        <v>202601</v>
      </c>
      <c r="D966" s="37" t="s">
        <v>59</v>
      </c>
      <c r="E966" s="37" t="s">
        <v>106</v>
      </c>
      <c r="F966" s="37" t="s">
        <v>194</v>
      </c>
      <c r="G966" s="37" t="s">
        <v>354</v>
      </c>
      <c r="H966" s="37"/>
      <c r="I966" s="37" t="s">
        <v>355</v>
      </c>
      <c r="J966" s="37" t="s">
        <v>1110</v>
      </c>
      <c r="K966" s="45" t="n">
        <v>123.5</v>
      </c>
      <c r="L966" s="46" t="n">
        <v>8769.9</v>
      </c>
    </row>
    <row r="967" customFormat="false" ht="15" hidden="false" customHeight="false" outlineLevel="0" collapsed="false">
      <c r="A967" s="37" t="n">
        <v>500820</v>
      </c>
      <c r="B967" s="37" t="s">
        <v>1109</v>
      </c>
      <c r="C967" s="37" t="n">
        <v>202601</v>
      </c>
      <c r="D967" s="37" t="s">
        <v>60</v>
      </c>
      <c r="E967" s="37" t="s">
        <v>97</v>
      </c>
      <c r="F967" s="37" t="s">
        <v>194</v>
      </c>
      <c r="G967" s="37" t="s">
        <v>354</v>
      </c>
      <c r="H967" s="37"/>
      <c r="I967" s="37" t="s">
        <v>355</v>
      </c>
      <c r="J967" s="37" t="s">
        <v>1110</v>
      </c>
      <c r="K967" s="45" t="n">
        <v>227.6</v>
      </c>
      <c r="L967" s="46" t="n">
        <v>20939.62</v>
      </c>
    </row>
    <row r="968" customFormat="false" ht="15" hidden="false" customHeight="false" outlineLevel="0" collapsed="false">
      <c r="A968" s="37" t="n">
        <v>500948</v>
      </c>
      <c r="B968" s="37" t="s">
        <v>1109</v>
      </c>
      <c r="C968" s="37" t="n">
        <v>202601</v>
      </c>
      <c r="D968" s="37" t="s">
        <v>60</v>
      </c>
      <c r="E968" s="37" t="s">
        <v>101</v>
      </c>
      <c r="F968" s="37" t="s">
        <v>194</v>
      </c>
      <c r="G968" s="37" t="s">
        <v>354</v>
      </c>
      <c r="H968" s="37"/>
      <c r="I968" s="37" t="s">
        <v>355</v>
      </c>
      <c r="J968" s="37" t="s">
        <v>1110</v>
      </c>
      <c r="K968" s="45" t="n">
        <v>122.7</v>
      </c>
      <c r="L968" s="46" t="n">
        <v>9081.63</v>
      </c>
    </row>
    <row r="969" customFormat="false" ht="15" hidden="false" customHeight="false" outlineLevel="0" collapsed="false">
      <c r="A969" s="37" t="n">
        <v>501013</v>
      </c>
      <c r="B969" s="37" t="s">
        <v>1109</v>
      </c>
      <c r="C969" s="37" t="n">
        <v>202601</v>
      </c>
      <c r="D969" s="37" t="s">
        <v>60</v>
      </c>
      <c r="E969" s="37" t="s">
        <v>106</v>
      </c>
      <c r="F969" s="37" t="s">
        <v>194</v>
      </c>
      <c r="G969" s="37" t="s">
        <v>354</v>
      </c>
      <c r="H969" s="37"/>
      <c r="I969" s="37" t="s">
        <v>355</v>
      </c>
      <c r="J969" s="37" t="s">
        <v>1110</v>
      </c>
      <c r="K969" s="45" t="n">
        <v>19</v>
      </c>
      <c r="L969" s="46" t="n">
        <v>1345.7</v>
      </c>
    </row>
    <row r="970" customFormat="false" ht="15" hidden="false" customHeight="false" outlineLevel="0" collapsed="false">
      <c r="A970" s="37" t="n">
        <v>501127</v>
      </c>
      <c r="B970" s="37" t="s">
        <v>1109</v>
      </c>
      <c r="C970" s="37" t="n">
        <v>202601</v>
      </c>
      <c r="D970" s="37" t="s">
        <v>61</v>
      </c>
      <c r="E970" s="37" t="s">
        <v>97</v>
      </c>
      <c r="F970" s="37" t="s">
        <v>194</v>
      </c>
      <c r="G970" s="37" t="s">
        <v>354</v>
      </c>
      <c r="H970" s="37"/>
      <c r="I970" s="37" t="s">
        <v>355</v>
      </c>
      <c r="J970" s="37" t="s">
        <v>1110</v>
      </c>
      <c r="K970" s="45" t="n">
        <v>276.6</v>
      </c>
      <c r="L970" s="46" t="n">
        <v>25442.66</v>
      </c>
    </row>
    <row r="971" customFormat="false" ht="15" hidden="false" customHeight="false" outlineLevel="0" collapsed="false">
      <c r="A971" s="37" t="n">
        <v>501241</v>
      </c>
      <c r="B971" s="37" t="s">
        <v>1109</v>
      </c>
      <c r="C971" s="37" t="n">
        <v>202601</v>
      </c>
      <c r="D971" s="37" t="s">
        <v>61</v>
      </c>
      <c r="E971" s="37" t="s">
        <v>101</v>
      </c>
      <c r="F971" s="37" t="s">
        <v>194</v>
      </c>
      <c r="G971" s="37" t="s">
        <v>354</v>
      </c>
      <c r="H971" s="37"/>
      <c r="I971" s="37" t="s">
        <v>355</v>
      </c>
      <c r="J971" s="37" t="s">
        <v>1110</v>
      </c>
      <c r="K971" s="45" t="n">
        <v>45.7</v>
      </c>
      <c r="L971" s="46" t="n">
        <v>3379.39</v>
      </c>
    </row>
    <row r="972" customFormat="false" ht="15" hidden="false" customHeight="false" outlineLevel="0" collapsed="false">
      <c r="A972" s="37" t="n">
        <v>501287</v>
      </c>
      <c r="B972" s="37" t="s">
        <v>1109</v>
      </c>
      <c r="C972" s="37" t="n">
        <v>202601</v>
      </c>
      <c r="D972" s="37" t="s">
        <v>61</v>
      </c>
      <c r="E972" s="37" t="s">
        <v>106</v>
      </c>
      <c r="F972" s="37" t="s">
        <v>194</v>
      </c>
      <c r="G972" s="37" t="s">
        <v>354</v>
      </c>
      <c r="H972" s="37"/>
      <c r="I972" s="37" t="s">
        <v>355</v>
      </c>
      <c r="J972" s="37" t="s">
        <v>1110</v>
      </c>
      <c r="K972" s="45" t="n">
        <v>34.3</v>
      </c>
      <c r="L972" s="46" t="n">
        <v>2436.24</v>
      </c>
    </row>
    <row r="973" customFormat="false" ht="15" hidden="false" customHeight="false" outlineLevel="0" collapsed="false">
      <c r="A973" s="37" t="n">
        <v>501388</v>
      </c>
      <c r="B973" s="37" t="s">
        <v>1109</v>
      </c>
      <c r="C973" s="37" t="n">
        <v>202601</v>
      </c>
      <c r="D973" s="37" t="s">
        <v>62</v>
      </c>
      <c r="E973" s="37" t="s">
        <v>97</v>
      </c>
      <c r="F973" s="37" t="s">
        <v>194</v>
      </c>
      <c r="G973" s="37" t="s">
        <v>354</v>
      </c>
      <c r="H973" s="37"/>
      <c r="I973" s="37" t="s">
        <v>355</v>
      </c>
      <c r="J973" s="37" t="s">
        <v>1110</v>
      </c>
      <c r="K973" s="45" t="n">
        <v>160.1</v>
      </c>
      <c r="L973" s="46" t="n">
        <v>14725.41</v>
      </c>
    </row>
    <row r="974" customFormat="false" ht="15" hidden="false" customHeight="false" outlineLevel="0" collapsed="false">
      <c r="A974" s="37" t="n">
        <v>501492</v>
      </c>
      <c r="B974" s="37" t="s">
        <v>1109</v>
      </c>
      <c r="C974" s="37" t="n">
        <v>202601</v>
      </c>
      <c r="D974" s="37" t="s">
        <v>62</v>
      </c>
      <c r="E974" s="37" t="s">
        <v>101</v>
      </c>
      <c r="F974" s="37" t="s">
        <v>194</v>
      </c>
      <c r="G974" s="37" t="s">
        <v>354</v>
      </c>
      <c r="H974" s="37"/>
      <c r="I974" s="37" t="s">
        <v>355</v>
      </c>
      <c r="J974" s="37" t="s">
        <v>1110</v>
      </c>
      <c r="K974" s="45" t="n">
        <v>1178.5</v>
      </c>
      <c r="L974" s="46" t="n">
        <v>87205.69</v>
      </c>
    </row>
    <row r="975" customFormat="false" ht="15" hidden="false" customHeight="false" outlineLevel="0" collapsed="false">
      <c r="A975" s="37" t="n">
        <v>501634</v>
      </c>
      <c r="B975" s="37" t="s">
        <v>1109</v>
      </c>
      <c r="C975" s="37" t="n">
        <v>202601</v>
      </c>
      <c r="D975" s="37" t="s">
        <v>63</v>
      </c>
      <c r="E975" s="37" t="s">
        <v>97</v>
      </c>
      <c r="F975" s="37" t="s">
        <v>194</v>
      </c>
      <c r="G975" s="37" t="s">
        <v>354</v>
      </c>
      <c r="H975" s="37"/>
      <c r="I975" s="37" t="s">
        <v>355</v>
      </c>
      <c r="J975" s="37" t="s">
        <v>1110</v>
      </c>
      <c r="K975" s="45" t="n">
        <v>266.6</v>
      </c>
      <c r="L975" s="46" t="n">
        <v>24526.49</v>
      </c>
    </row>
    <row r="976" customFormat="false" ht="15" hidden="false" customHeight="false" outlineLevel="0" collapsed="false">
      <c r="A976" s="37" t="n">
        <v>501738</v>
      </c>
      <c r="B976" s="37" t="s">
        <v>1109</v>
      </c>
      <c r="C976" s="37" t="n">
        <v>202601</v>
      </c>
      <c r="D976" s="37" t="s">
        <v>63</v>
      </c>
      <c r="E976" s="37" t="s">
        <v>101</v>
      </c>
      <c r="F976" s="37" t="s">
        <v>194</v>
      </c>
      <c r="G976" s="37" t="s">
        <v>354</v>
      </c>
      <c r="H976" s="37"/>
      <c r="I976" s="37" t="s">
        <v>355</v>
      </c>
      <c r="J976" s="37" t="s">
        <v>1110</v>
      </c>
      <c r="K976" s="45" t="n">
        <v>664.4</v>
      </c>
      <c r="L976" s="46" t="n">
        <v>49169.24</v>
      </c>
    </row>
    <row r="977" customFormat="false" ht="15" hidden="false" customHeight="false" outlineLevel="0" collapsed="false">
      <c r="A977" s="37" t="n">
        <v>501868</v>
      </c>
      <c r="B977" s="37" t="s">
        <v>1109</v>
      </c>
      <c r="C977" s="37" t="n">
        <v>202601</v>
      </c>
      <c r="D977" s="37" t="s">
        <v>64</v>
      </c>
      <c r="E977" s="37" t="s">
        <v>97</v>
      </c>
      <c r="F977" s="37" t="s">
        <v>194</v>
      </c>
      <c r="G977" s="37" t="s">
        <v>354</v>
      </c>
      <c r="H977" s="37"/>
      <c r="I977" s="37" t="s">
        <v>355</v>
      </c>
      <c r="J977" s="37" t="s">
        <v>1110</v>
      </c>
      <c r="K977" s="45" t="n">
        <v>113.9</v>
      </c>
      <c r="L977" s="46" t="n">
        <v>10482.26</v>
      </c>
    </row>
    <row r="978" customFormat="false" ht="15" hidden="false" customHeight="false" outlineLevel="0" collapsed="false">
      <c r="A978" s="37" t="n">
        <v>501958</v>
      </c>
      <c r="B978" s="37" t="s">
        <v>1109</v>
      </c>
      <c r="C978" s="37" t="n">
        <v>202601</v>
      </c>
      <c r="D978" s="37" t="s">
        <v>64</v>
      </c>
      <c r="E978" s="37" t="s">
        <v>101</v>
      </c>
      <c r="F978" s="37" t="s">
        <v>194</v>
      </c>
      <c r="G978" s="37" t="s">
        <v>354</v>
      </c>
      <c r="H978" s="37"/>
      <c r="I978" s="37" t="s">
        <v>355</v>
      </c>
      <c r="J978" s="37" t="s">
        <v>1110</v>
      </c>
      <c r="K978" s="45" t="n">
        <v>346.6</v>
      </c>
      <c r="L978" s="46" t="n">
        <v>25645.19</v>
      </c>
    </row>
    <row r="979" customFormat="false" ht="15" hidden="false" customHeight="false" outlineLevel="0" collapsed="false">
      <c r="A979" s="37" t="n">
        <v>502084</v>
      </c>
      <c r="B979" s="37" t="s">
        <v>1109</v>
      </c>
      <c r="C979" s="37" t="n">
        <v>202601</v>
      </c>
      <c r="D979" s="37" t="s">
        <v>65</v>
      </c>
      <c r="E979" s="37" t="s">
        <v>97</v>
      </c>
      <c r="F979" s="37" t="s">
        <v>194</v>
      </c>
      <c r="G979" s="37" t="s">
        <v>354</v>
      </c>
      <c r="H979" s="37"/>
      <c r="I979" s="37" t="s">
        <v>355</v>
      </c>
      <c r="J979" s="37" t="s">
        <v>1110</v>
      </c>
      <c r="K979" s="45" t="n">
        <v>151.1</v>
      </c>
      <c r="L979" s="46" t="n">
        <v>13897.53</v>
      </c>
    </row>
    <row r="980" customFormat="false" ht="15" hidden="false" customHeight="false" outlineLevel="0" collapsed="false">
      <c r="A980" s="37" t="n">
        <v>502163</v>
      </c>
      <c r="B980" s="37" t="s">
        <v>1109</v>
      </c>
      <c r="C980" s="37" t="n">
        <v>202601</v>
      </c>
      <c r="D980" s="37" t="s">
        <v>65</v>
      </c>
      <c r="E980" s="37" t="s">
        <v>101</v>
      </c>
      <c r="F980" s="37" t="s">
        <v>194</v>
      </c>
      <c r="G980" s="37" t="s">
        <v>354</v>
      </c>
      <c r="H980" s="37"/>
      <c r="I980" s="37" t="s">
        <v>355</v>
      </c>
      <c r="J980" s="37" t="s">
        <v>1110</v>
      </c>
      <c r="K980" s="45" t="n">
        <v>126.4</v>
      </c>
      <c r="L980" s="46" t="n">
        <v>9351.06</v>
      </c>
    </row>
    <row r="981" customFormat="false" ht="15" hidden="false" customHeight="false" outlineLevel="0" collapsed="false">
      <c r="A981" s="37" t="n">
        <v>502267</v>
      </c>
      <c r="B981" s="37" t="s">
        <v>1109</v>
      </c>
      <c r="C981" s="37" t="n">
        <v>202601</v>
      </c>
      <c r="D981" s="37" t="s">
        <v>66</v>
      </c>
      <c r="E981" s="37" t="s">
        <v>97</v>
      </c>
      <c r="F981" s="37" t="s">
        <v>194</v>
      </c>
      <c r="G981" s="37" t="s">
        <v>354</v>
      </c>
      <c r="H981" s="37"/>
      <c r="I981" s="37" t="s">
        <v>355</v>
      </c>
      <c r="J981" s="37" t="s">
        <v>1110</v>
      </c>
      <c r="K981" s="45" t="n">
        <v>34.5</v>
      </c>
      <c r="L981" s="46" t="n">
        <v>3172.45</v>
      </c>
    </row>
    <row r="982" customFormat="false" ht="15" hidden="false" customHeight="false" outlineLevel="0" collapsed="false">
      <c r="A982" s="37" t="n">
        <v>500553</v>
      </c>
      <c r="B982" s="37" t="s">
        <v>1111</v>
      </c>
      <c r="C982" s="37" t="n">
        <v>202601</v>
      </c>
      <c r="D982" s="37" t="s">
        <v>59</v>
      </c>
      <c r="E982" s="37" t="s">
        <v>98</v>
      </c>
      <c r="F982" s="37" t="s">
        <v>196</v>
      </c>
      <c r="G982" s="37" t="s">
        <v>358</v>
      </c>
      <c r="H982" s="37" t="s">
        <v>359</v>
      </c>
      <c r="I982" s="37" t="s">
        <v>360</v>
      </c>
      <c r="J982" s="37" t="s">
        <v>1112</v>
      </c>
      <c r="K982" s="45" t="n">
        <v>0</v>
      </c>
      <c r="L982" s="46" t="n">
        <v>78143.2</v>
      </c>
    </row>
    <row r="983" customFormat="false" ht="15" hidden="false" customHeight="false" outlineLevel="0" collapsed="false">
      <c r="A983" s="37" t="n">
        <v>501175</v>
      </c>
      <c r="B983" s="37" t="s">
        <v>1111</v>
      </c>
      <c r="C983" s="37" t="n">
        <v>202601</v>
      </c>
      <c r="D983" s="37" t="s">
        <v>61</v>
      </c>
      <c r="E983" s="37" t="s">
        <v>98</v>
      </c>
      <c r="F983" s="37" t="s">
        <v>196</v>
      </c>
      <c r="G983" s="37" t="s">
        <v>358</v>
      </c>
      <c r="H983" s="37" t="s">
        <v>359</v>
      </c>
      <c r="I983" s="37" t="s">
        <v>360</v>
      </c>
      <c r="J983" s="37" t="s">
        <v>1113</v>
      </c>
      <c r="K983" s="45" t="n">
        <v>0</v>
      </c>
      <c r="L983" s="46" t="n">
        <v>27016.73</v>
      </c>
    </row>
    <row r="984" customFormat="false" ht="15" hidden="false" customHeight="false" outlineLevel="0" collapsed="false">
      <c r="A984" s="37" t="n">
        <v>501758</v>
      </c>
      <c r="B984" s="37" t="s">
        <v>1111</v>
      </c>
      <c r="C984" s="37" t="n">
        <v>202601</v>
      </c>
      <c r="D984" s="37" t="s">
        <v>63</v>
      </c>
      <c r="E984" s="37" t="s">
        <v>102</v>
      </c>
      <c r="F984" s="37" t="s">
        <v>205</v>
      </c>
      <c r="G984" s="37" t="s">
        <v>358</v>
      </c>
      <c r="H984" s="37" t="s">
        <v>891</v>
      </c>
      <c r="I984" s="37" t="s">
        <v>892</v>
      </c>
      <c r="J984" s="37" t="s">
        <v>1114</v>
      </c>
      <c r="K984" s="45" t="n">
        <v>0</v>
      </c>
      <c r="L984" s="46" t="n">
        <v>13843.31</v>
      </c>
    </row>
    <row r="985" customFormat="false" ht="15" hidden="false" customHeight="false" outlineLevel="0" collapsed="false">
      <c r="A985" s="37" t="n">
        <v>501272</v>
      </c>
      <c r="B985" s="37" t="s">
        <v>1115</v>
      </c>
      <c r="C985" s="37" t="n">
        <v>202601</v>
      </c>
      <c r="D985" s="37" t="s">
        <v>61</v>
      </c>
      <c r="E985" s="37" t="s">
        <v>103</v>
      </c>
      <c r="F985" s="37" t="s">
        <v>205</v>
      </c>
      <c r="G985" s="37" t="s">
        <v>358</v>
      </c>
      <c r="H985" s="37" t="s">
        <v>711</v>
      </c>
      <c r="I985" s="37" t="s">
        <v>401</v>
      </c>
      <c r="J985" s="37" t="s">
        <v>1116</v>
      </c>
      <c r="K985" s="45" t="n">
        <v>0</v>
      </c>
      <c r="L985" s="46" t="n">
        <v>26909.96</v>
      </c>
    </row>
    <row r="986" customFormat="false" ht="15" hidden="false" customHeight="false" outlineLevel="0" collapsed="false">
      <c r="A986" s="37" t="n">
        <v>501439</v>
      </c>
      <c r="B986" s="37" t="s">
        <v>1115</v>
      </c>
      <c r="C986" s="37" t="n">
        <v>202601</v>
      </c>
      <c r="D986" s="37" t="s">
        <v>62</v>
      </c>
      <c r="E986" s="37" t="s">
        <v>98</v>
      </c>
      <c r="F986" s="37" t="s">
        <v>196</v>
      </c>
      <c r="G986" s="37" t="s">
        <v>358</v>
      </c>
      <c r="H986" s="37" t="s">
        <v>359</v>
      </c>
      <c r="I986" s="37" t="s">
        <v>360</v>
      </c>
      <c r="J986" s="37" t="s">
        <v>1117</v>
      </c>
      <c r="K986" s="45" t="n">
        <v>0</v>
      </c>
      <c r="L986" s="46" t="n">
        <v>10011.53</v>
      </c>
    </row>
    <row r="987" customFormat="false" ht="15" hidden="false" customHeight="false" outlineLevel="0" collapsed="false">
      <c r="A987" s="37" t="n">
        <v>500877</v>
      </c>
      <c r="B987" s="37" t="s">
        <v>1118</v>
      </c>
      <c r="C987" s="37" t="n">
        <v>202601</v>
      </c>
      <c r="D987" s="37" t="s">
        <v>60</v>
      </c>
      <c r="E987" s="37" t="s">
        <v>98</v>
      </c>
      <c r="F987" s="37" t="s">
        <v>196</v>
      </c>
      <c r="G987" s="37" t="s">
        <v>358</v>
      </c>
      <c r="H987" s="37" t="s">
        <v>359</v>
      </c>
      <c r="I987" s="37" t="s">
        <v>360</v>
      </c>
      <c r="J987" s="37" t="s">
        <v>1119</v>
      </c>
      <c r="K987" s="45" t="n">
        <v>0</v>
      </c>
      <c r="L987" s="46" t="n">
        <v>20818.91</v>
      </c>
    </row>
    <row r="988" customFormat="false" ht="15" hidden="false" customHeight="false" outlineLevel="0" collapsed="false">
      <c r="A988" s="37" t="n">
        <v>502306</v>
      </c>
      <c r="B988" s="37" t="s">
        <v>1118</v>
      </c>
      <c r="C988" s="37" t="n">
        <v>202601</v>
      </c>
      <c r="D988" s="37" t="s">
        <v>66</v>
      </c>
      <c r="E988" s="37" t="s">
        <v>98</v>
      </c>
      <c r="F988" s="37" t="s">
        <v>196</v>
      </c>
      <c r="G988" s="37" t="s">
        <v>358</v>
      </c>
      <c r="H988" s="37" t="s">
        <v>359</v>
      </c>
      <c r="I988" s="37" t="s">
        <v>360</v>
      </c>
      <c r="J988" s="37" t="s">
        <v>1120</v>
      </c>
      <c r="K988" s="45" t="n">
        <v>0</v>
      </c>
      <c r="L988" s="46" t="n">
        <v>3312.03</v>
      </c>
    </row>
    <row r="989" customFormat="false" ht="15" hidden="false" customHeight="false" outlineLevel="0" collapsed="false">
      <c r="A989" s="37" t="n">
        <v>502205</v>
      </c>
      <c r="B989" s="37" t="s">
        <v>1121</v>
      </c>
      <c r="C989" s="37" t="n">
        <v>202601</v>
      </c>
      <c r="D989" s="37" t="s">
        <v>65</v>
      </c>
      <c r="E989" s="37" t="s">
        <v>103</v>
      </c>
      <c r="F989" s="37" t="s">
        <v>205</v>
      </c>
      <c r="G989" s="37" t="s">
        <v>358</v>
      </c>
      <c r="H989" s="37" t="s">
        <v>1051</v>
      </c>
      <c r="I989" s="37" t="s">
        <v>898</v>
      </c>
      <c r="J989" s="37" t="s">
        <v>1122</v>
      </c>
      <c r="K989" s="45" t="n">
        <v>0</v>
      </c>
      <c r="L989" s="46" t="n">
        <v>45927.14</v>
      </c>
    </row>
    <row r="990" customFormat="false" ht="15" hidden="false" customHeight="false" outlineLevel="0" collapsed="false">
      <c r="A990" s="37" t="n">
        <v>500084</v>
      </c>
      <c r="B990" s="37" t="s">
        <v>1123</v>
      </c>
      <c r="C990" s="37" t="n">
        <v>202601</v>
      </c>
      <c r="D990" s="37" t="s">
        <v>58</v>
      </c>
      <c r="E990" s="37" t="s">
        <v>97</v>
      </c>
      <c r="F990" s="37" t="s">
        <v>194</v>
      </c>
      <c r="G990" s="37" t="s">
        <v>354</v>
      </c>
      <c r="H990" s="37"/>
      <c r="I990" s="37" t="s">
        <v>355</v>
      </c>
      <c r="J990" s="37" t="s">
        <v>1124</v>
      </c>
      <c r="K990" s="45" t="n">
        <v>61.7</v>
      </c>
      <c r="L990" s="46" t="n">
        <v>5679.04</v>
      </c>
    </row>
    <row r="991" customFormat="false" ht="15" hidden="false" customHeight="false" outlineLevel="0" collapsed="false">
      <c r="A991" s="37" t="n">
        <v>500358</v>
      </c>
      <c r="B991" s="37" t="s">
        <v>1123</v>
      </c>
      <c r="C991" s="37" t="n">
        <v>202601</v>
      </c>
      <c r="D991" s="37" t="s">
        <v>58</v>
      </c>
      <c r="E991" s="37" t="s">
        <v>106</v>
      </c>
      <c r="F991" s="37" t="s">
        <v>194</v>
      </c>
      <c r="G991" s="37" t="s">
        <v>354</v>
      </c>
      <c r="H991" s="37"/>
      <c r="I991" s="37" t="s">
        <v>355</v>
      </c>
      <c r="J991" s="37" t="s">
        <v>1124</v>
      </c>
      <c r="K991" s="45" t="n">
        <v>80.4</v>
      </c>
      <c r="L991" s="46" t="n">
        <v>5711.94</v>
      </c>
    </row>
    <row r="992" customFormat="false" ht="15" hidden="false" customHeight="false" outlineLevel="0" collapsed="false">
      <c r="A992" s="37" t="n">
        <v>500492</v>
      </c>
      <c r="B992" s="37" t="s">
        <v>1123</v>
      </c>
      <c r="C992" s="37" t="n">
        <v>202601</v>
      </c>
      <c r="D992" s="37" t="s">
        <v>59</v>
      </c>
      <c r="E992" s="37" t="s">
        <v>97</v>
      </c>
      <c r="F992" s="37" t="s">
        <v>194</v>
      </c>
      <c r="G992" s="37" t="s">
        <v>354</v>
      </c>
      <c r="H992" s="37"/>
      <c r="I992" s="37" t="s">
        <v>355</v>
      </c>
      <c r="J992" s="37" t="s">
        <v>1124</v>
      </c>
      <c r="K992" s="45" t="n">
        <v>178.8</v>
      </c>
      <c r="L992" s="46" t="n">
        <v>16446.09</v>
      </c>
    </row>
    <row r="993" customFormat="false" ht="15" hidden="false" customHeight="false" outlineLevel="0" collapsed="false">
      <c r="A993" s="37" t="n">
        <v>500694</v>
      </c>
      <c r="B993" s="37" t="s">
        <v>1123</v>
      </c>
      <c r="C993" s="37" t="n">
        <v>202601</v>
      </c>
      <c r="D993" s="37" t="s">
        <v>59</v>
      </c>
      <c r="E993" s="37" t="s">
        <v>106</v>
      </c>
      <c r="F993" s="37" t="s">
        <v>194</v>
      </c>
      <c r="G993" s="37" t="s">
        <v>354</v>
      </c>
      <c r="H993" s="37"/>
      <c r="I993" s="37" t="s">
        <v>355</v>
      </c>
      <c r="J993" s="37" t="s">
        <v>1124</v>
      </c>
      <c r="K993" s="45" t="n">
        <v>42</v>
      </c>
      <c r="L993" s="46" t="n">
        <v>2981.13</v>
      </c>
    </row>
    <row r="994" customFormat="false" ht="15" hidden="false" customHeight="false" outlineLevel="0" collapsed="false">
      <c r="A994" s="37" t="n">
        <v>500821</v>
      </c>
      <c r="B994" s="37" t="s">
        <v>1123</v>
      </c>
      <c r="C994" s="37" t="n">
        <v>202601</v>
      </c>
      <c r="D994" s="37" t="s">
        <v>60</v>
      </c>
      <c r="E994" s="37" t="s">
        <v>97</v>
      </c>
      <c r="F994" s="37" t="s">
        <v>194</v>
      </c>
      <c r="G994" s="37" t="s">
        <v>354</v>
      </c>
      <c r="H994" s="37"/>
      <c r="I994" s="37" t="s">
        <v>355</v>
      </c>
      <c r="J994" s="37" t="s">
        <v>1124</v>
      </c>
      <c r="K994" s="45" t="n">
        <v>161.5</v>
      </c>
      <c r="L994" s="46" t="n">
        <v>14858.76</v>
      </c>
    </row>
    <row r="995" customFormat="false" ht="15" hidden="false" customHeight="false" outlineLevel="0" collapsed="false">
      <c r="A995" s="37" t="n">
        <v>500949</v>
      </c>
      <c r="B995" s="37" t="s">
        <v>1123</v>
      </c>
      <c r="C995" s="37" t="n">
        <v>202601</v>
      </c>
      <c r="D995" s="37" t="s">
        <v>60</v>
      </c>
      <c r="E995" s="37" t="s">
        <v>101</v>
      </c>
      <c r="F995" s="37" t="s">
        <v>194</v>
      </c>
      <c r="G995" s="37" t="s">
        <v>354</v>
      </c>
      <c r="H995" s="37"/>
      <c r="I995" s="37" t="s">
        <v>355</v>
      </c>
      <c r="J995" s="37" t="s">
        <v>1124</v>
      </c>
      <c r="K995" s="45" t="n">
        <v>91.5</v>
      </c>
      <c r="L995" s="46" t="n">
        <v>6770.99</v>
      </c>
    </row>
    <row r="996" customFormat="false" ht="15" hidden="false" customHeight="false" outlineLevel="0" collapsed="false">
      <c r="A996" s="37" t="n">
        <v>501014</v>
      </c>
      <c r="B996" s="37" t="s">
        <v>1123</v>
      </c>
      <c r="C996" s="37" t="n">
        <v>202601</v>
      </c>
      <c r="D996" s="37" t="s">
        <v>60</v>
      </c>
      <c r="E996" s="37" t="s">
        <v>106</v>
      </c>
      <c r="F996" s="37" t="s">
        <v>194</v>
      </c>
      <c r="G996" s="37" t="s">
        <v>354</v>
      </c>
      <c r="H996" s="37"/>
      <c r="I996" s="37" t="s">
        <v>355</v>
      </c>
      <c r="J996" s="37" t="s">
        <v>1124</v>
      </c>
      <c r="K996" s="45" t="n">
        <v>24.8</v>
      </c>
      <c r="L996" s="46" t="n">
        <v>1759</v>
      </c>
    </row>
    <row r="997" customFormat="false" ht="15" hidden="false" customHeight="false" outlineLevel="0" collapsed="false">
      <c r="A997" s="37" t="n">
        <v>501128</v>
      </c>
      <c r="B997" s="37" t="s">
        <v>1123</v>
      </c>
      <c r="C997" s="37" t="n">
        <v>202601</v>
      </c>
      <c r="D997" s="37" t="s">
        <v>61</v>
      </c>
      <c r="E997" s="37" t="s">
        <v>97</v>
      </c>
      <c r="F997" s="37" t="s">
        <v>194</v>
      </c>
      <c r="G997" s="37" t="s">
        <v>354</v>
      </c>
      <c r="H997" s="37"/>
      <c r="I997" s="37" t="s">
        <v>355</v>
      </c>
      <c r="J997" s="37" t="s">
        <v>1124</v>
      </c>
      <c r="K997" s="45" t="n">
        <v>329.4</v>
      </c>
      <c r="L997" s="46" t="n">
        <v>30300.41</v>
      </c>
    </row>
    <row r="998" customFormat="false" ht="15" hidden="false" customHeight="false" outlineLevel="0" collapsed="false">
      <c r="A998" s="37" t="n">
        <v>501242</v>
      </c>
      <c r="B998" s="37" t="s">
        <v>1123</v>
      </c>
      <c r="C998" s="37" t="n">
        <v>202601</v>
      </c>
      <c r="D998" s="37" t="s">
        <v>61</v>
      </c>
      <c r="E998" s="37" t="s">
        <v>101</v>
      </c>
      <c r="F998" s="37" t="s">
        <v>194</v>
      </c>
      <c r="G998" s="37" t="s">
        <v>354</v>
      </c>
      <c r="H998" s="37"/>
      <c r="I998" s="37" t="s">
        <v>355</v>
      </c>
      <c r="J998" s="37" t="s">
        <v>1124</v>
      </c>
      <c r="K998" s="45" t="n">
        <v>78.2</v>
      </c>
      <c r="L998" s="46" t="n">
        <v>5783.95</v>
      </c>
    </row>
    <row r="999" customFormat="false" ht="15" hidden="false" customHeight="false" outlineLevel="0" collapsed="false">
      <c r="A999" s="37" t="n">
        <v>501259</v>
      </c>
      <c r="B999" s="37" t="s">
        <v>1123</v>
      </c>
      <c r="C999" s="37" t="n">
        <v>202601</v>
      </c>
      <c r="D999" s="37" t="s">
        <v>61</v>
      </c>
      <c r="E999" s="37" t="s">
        <v>102</v>
      </c>
      <c r="F999" s="37" t="s">
        <v>205</v>
      </c>
      <c r="G999" s="37" t="s">
        <v>358</v>
      </c>
      <c r="H999" s="37" t="s">
        <v>714</v>
      </c>
      <c r="I999" s="37" t="s">
        <v>715</v>
      </c>
      <c r="J999" s="37" t="s">
        <v>1125</v>
      </c>
      <c r="K999" s="45" t="n">
        <v>0</v>
      </c>
      <c r="L999" s="46" t="n">
        <v>1251.74</v>
      </c>
    </row>
    <row r="1000" customFormat="false" ht="15" hidden="false" customHeight="false" outlineLevel="0" collapsed="false">
      <c r="A1000" s="37" t="n">
        <v>501273</v>
      </c>
      <c r="B1000" s="37" t="s">
        <v>1123</v>
      </c>
      <c r="C1000" s="37" t="n">
        <v>202601</v>
      </c>
      <c r="D1000" s="37" t="s">
        <v>61</v>
      </c>
      <c r="E1000" s="37" t="s">
        <v>103</v>
      </c>
      <c r="F1000" s="37" t="s">
        <v>205</v>
      </c>
      <c r="G1000" s="37" t="s">
        <v>358</v>
      </c>
      <c r="H1000" s="37" t="s">
        <v>711</v>
      </c>
      <c r="I1000" s="37" t="s">
        <v>401</v>
      </c>
      <c r="J1000" s="37" t="s">
        <v>1126</v>
      </c>
      <c r="K1000" s="45" t="n">
        <v>0</v>
      </c>
      <c r="L1000" s="46" t="n">
        <v>16496.92</v>
      </c>
    </row>
    <row r="1001" customFormat="false" ht="15" hidden="false" customHeight="false" outlineLevel="0" collapsed="false">
      <c r="A1001" s="37" t="n">
        <v>501288</v>
      </c>
      <c r="B1001" s="37" t="s">
        <v>1123</v>
      </c>
      <c r="C1001" s="37" t="n">
        <v>202601</v>
      </c>
      <c r="D1001" s="37" t="s">
        <v>61</v>
      </c>
      <c r="E1001" s="37" t="s">
        <v>106</v>
      </c>
      <c r="F1001" s="37" t="s">
        <v>194</v>
      </c>
      <c r="G1001" s="37" t="s">
        <v>354</v>
      </c>
      <c r="H1001" s="37"/>
      <c r="I1001" s="37" t="s">
        <v>355</v>
      </c>
      <c r="J1001" s="37" t="s">
        <v>1124</v>
      </c>
      <c r="K1001" s="45" t="n">
        <v>42.9</v>
      </c>
      <c r="L1001" s="46" t="n">
        <v>3046.06</v>
      </c>
    </row>
    <row r="1002" customFormat="false" ht="15" hidden="false" customHeight="false" outlineLevel="0" collapsed="false">
      <c r="A1002" s="37" t="n">
        <v>501389</v>
      </c>
      <c r="B1002" s="37" t="s">
        <v>1123</v>
      </c>
      <c r="C1002" s="37" t="n">
        <v>202601</v>
      </c>
      <c r="D1002" s="37" t="s">
        <v>62</v>
      </c>
      <c r="E1002" s="37" t="s">
        <v>97</v>
      </c>
      <c r="F1002" s="37" t="s">
        <v>194</v>
      </c>
      <c r="G1002" s="37" t="s">
        <v>354</v>
      </c>
      <c r="H1002" s="37"/>
      <c r="I1002" s="37" t="s">
        <v>355</v>
      </c>
      <c r="J1002" s="37" t="s">
        <v>1124</v>
      </c>
      <c r="K1002" s="45" t="n">
        <v>376.2</v>
      </c>
      <c r="L1002" s="46" t="n">
        <v>34605.89</v>
      </c>
    </row>
    <row r="1003" customFormat="false" ht="15" hidden="false" customHeight="false" outlineLevel="0" collapsed="false">
      <c r="A1003" s="37" t="n">
        <v>501493</v>
      </c>
      <c r="B1003" s="37" t="s">
        <v>1123</v>
      </c>
      <c r="C1003" s="37" t="n">
        <v>202601</v>
      </c>
      <c r="D1003" s="37" t="s">
        <v>62</v>
      </c>
      <c r="E1003" s="37" t="s">
        <v>101</v>
      </c>
      <c r="F1003" s="37" t="s">
        <v>194</v>
      </c>
      <c r="G1003" s="37" t="s">
        <v>354</v>
      </c>
      <c r="H1003" s="37"/>
      <c r="I1003" s="37" t="s">
        <v>355</v>
      </c>
      <c r="J1003" s="37" t="s">
        <v>1124</v>
      </c>
      <c r="K1003" s="45" t="n">
        <v>398.9</v>
      </c>
      <c r="L1003" s="46" t="n">
        <v>29517.37</v>
      </c>
    </row>
    <row r="1004" customFormat="false" ht="15" hidden="false" customHeight="false" outlineLevel="0" collapsed="false">
      <c r="A1004" s="37" t="n">
        <v>501635</v>
      </c>
      <c r="B1004" s="37" t="s">
        <v>1123</v>
      </c>
      <c r="C1004" s="37" t="n">
        <v>202601</v>
      </c>
      <c r="D1004" s="37" t="s">
        <v>63</v>
      </c>
      <c r="E1004" s="37" t="s">
        <v>97</v>
      </c>
      <c r="F1004" s="37" t="s">
        <v>194</v>
      </c>
      <c r="G1004" s="37" t="s">
        <v>354</v>
      </c>
      <c r="H1004" s="37"/>
      <c r="I1004" s="37" t="s">
        <v>355</v>
      </c>
      <c r="J1004" s="37" t="s">
        <v>1124</v>
      </c>
      <c r="K1004" s="45" t="n">
        <v>104.5</v>
      </c>
      <c r="L1004" s="46" t="n">
        <v>9613.11</v>
      </c>
    </row>
    <row r="1005" customFormat="false" ht="15" hidden="false" customHeight="false" outlineLevel="0" collapsed="false">
      <c r="A1005" s="37" t="n">
        <v>501739</v>
      </c>
      <c r="B1005" s="37" t="s">
        <v>1123</v>
      </c>
      <c r="C1005" s="37" t="n">
        <v>202601</v>
      </c>
      <c r="D1005" s="37" t="s">
        <v>63</v>
      </c>
      <c r="E1005" s="37" t="s">
        <v>101</v>
      </c>
      <c r="F1005" s="37" t="s">
        <v>194</v>
      </c>
      <c r="G1005" s="37" t="s">
        <v>354</v>
      </c>
      <c r="H1005" s="37"/>
      <c r="I1005" s="37" t="s">
        <v>355</v>
      </c>
      <c r="J1005" s="37" t="s">
        <v>1124</v>
      </c>
      <c r="K1005" s="45" t="n">
        <v>564.7</v>
      </c>
      <c r="L1005" s="46" t="n">
        <v>41791.44</v>
      </c>
    </row>
    <row r="1006" customFormat="false" ht="15" hidden="false" customHeight="false" outlineLevel="0" collapsed="false">
      <c r="A1006" s="37" t="n">
        <v>501869</v>
      </c>
      <c r="B1006" s="37" t="s">
        <v>1123</v>
      </c>
      <c r="C1006" s="37" t="n">
        <v>202601</v>
      </c>
      <c r="D1006" s="37" t="s">
        <v>64</v>
      </c>
      <c r="E1006" s="37" t="s">
        <v>97</v>
      </c>
      <c r="F1006" s="37" t="s">
        <v>194</v>
      </c>
      <c r="G1006" s="37" t="s">
        <v>354</v>
      </c>
      <c r="H1006" s="37"/>
      <c r="I1006" s="37" t="s">
        <v>355</v>
      </c>
      <c r="J1006" s="37" t="s">
        <v>1124</v>
      </c>
      <c r="K1006" s="45" t="n">
        <v>72.9</v>
      </c>
      <c r="L1006" s="46" t="n">
        <v>6707.31</v>
      </c>
    </row>
    <row r="1007" customFormat="false" ht="15" hidden="false" customHeight="false" outlineLevel="0" collapsed="false">
      <c r="A1007" s="37" t="n">
        <v>501959</v>
      </c>
      <c r="B1007" s="37" t="s">
        <v>1123</v>
      </c>
      <c r="C1007" s="37" t="n">
        <v>202601</v>
      </c>
      <c r="D1007" s="37" t="s">
        <v>64</v>
      </c>
      <c r="E1007" s="37" t="s">
        <v>101</v>
      </c>
      <c r="F1007" s="37" t="s">
        <v>194</v>
      </c>
      <c r="G1007" s="37" t="s">
        <v>354</v>
      </c>
      <c r="H1007" s="37"/>
      <c r="I1007" s="37" t="s">
        <v>355</v>
      </c>
      <c r="J1007" s="37" t="s">
        <v>1124</v>
      </c>
      <c r="K1007" s="45" t="n">
        <v>535.5</v>
      </c>
      <c r="L1007" s="46" t="n">
        <v>39623.81</v>
      </c>
    </row>
    <row r="1008" customFormat="false" ht="15" hidden="false" customHeight="false" outlineLevel="0" collapsed="false">
      <c r="A1008" s="37" t="n">
        <v>502085</v>
      </c>
      <c r="B1008" s="37" t="s">
        <v>1123</v>
      </c>
      <c r="C1008" s="37" t="n">
        <v>202601</v>
      </c>
      <c r="D1008" s="37" t="s">
        <v>65</v>
      </c>
      <c r="E1008" s="37" t="s">
        <v>97</v>
      </c>
      <c r="F1008" s="37" t="s">
        <v>194</v>
      </c>
      <c r="G1008" s="37" t="s">
        <v>354</v>
      </c>
      <c r="H1008" s="37"/>
      <c r="I1008" s="37" t="s">
        <v>355</v>
      </c>
      <c r="J1008" s="37" t="s">
        <v>1124</v>
      </c>
      <c r="K1008" s="45" t="n">
        <v>169.5</v>
      </c>
      <c r="L1008" s="46" t="n">
        <v>15593.12</v>
      </c>
    </row>
    <row r="1009" customFormat="false" ht="15" hidden="false" customHeight="false" outlineLevel="0" collapsed="false">
      <c r="A1009" s="37" t="n">
        <v>502164</v>
      </c>
      <c r="B1009" s="37" t="s">
        <v>1123</v>
      </c>
      <c r="C1009" s="37" t="n">
        <v>202601</v>
      </c>
      <c r="D1009" s="37" t="s">
        <v>65</v>
      </c>
      <c r="E1009" s="37" t="s">
        <v>101</v>
      </c>
      <c r="F1009" s="37" t="s">
        <v>194</v>
      </c>
      <c r="G1009" s="37" t="s">
        <v>354</v>
      </c>
      <c r="H1009" s="37"/>
      <c r="I1009" s="37" t="s">
        <v>355</v>
      </c>
      <c r="J1009" s="37" t="s">
        <v>1124</v>
      </c>
      <c r="K1009" s="45" t="n">
        <v>181.4</v>
      </c>
      <c r="L1009" s="46" t="n">
        <v>13424.24</v>
      </c>
    </row>
    <row r="1010" customFormat="false" ht="15" hidden="false" customHeight="false" outlineLevel="0" collapsed="false">
      <c r="A1010" s="37" t="n">
        <v>502268</v>
      </c>
      <c r="B1010" s="37" t="s">
        <v>1123</v>
      </c>
      <c r="C1010" s="37" t="n">
        <v>202601</v>
      </c>
      <c r="D1010" s="37" t="s">
        <v>66</v>
      </c>
      <c r="E1010" s="37" t="s">
        <v>97</v>
      </c>
      <c r="F1010" s="37" t="s">
        <v>194</v>
      </c>
      <c r="G1010" s="37" t="s">
        <v>354</v>
      </c>
      <c r="H1010" s="37"/>
      <c r="I1010" s="37" t="s">
        <v>355</v>
      </c>
      <c r="J1010" s="37" t="s">
        <v>1124</v>
      </c>
      <c r="K1010" s="45" t="n">
        <v>32.7</v>
      </c>
      <c r="L1010" s="46" t="n">
        <v>3007.41</v>
      </c>
    </row>
    <row r="1011" customFormat="false" ht="15" hidden="false" customHeight="false" outlineLevel="0" collapsed="false">
      <c r="A1011" s="37" t="n">
        <v>500876</v>
      </c>
      <c r="B1011" s="37" t="s">
        <v>1127</v>
      </c>
      <c r="C1011" s="37" t="n">
        <v>202601</v>
      </c>
      <c r="D1011" s="37" t="s">
        <v>60</v>
      </c>
      <c r="E1011" s="37" t="s">
        <v>98</v>
      </c>
      <c r="F1011" s="37" t="s">
        <v>196</v>
      </c>
      <c r="G1011" s="37" t="s">
        <v>358</v>
      </c>
      <c r="H1011" s="37" t="s">
        <v>359</v>
      </c>
      <c r="I1011" s="37" t="s">
        <v>360</v>
      </c>
      <c r="J1011" s="37" t="s">
        <v>1128</v>
      </c>
      <c r="K1011" s="45" t="n">
        <v>0</v>
      </c>
      <c r="L1011" s="46" t="n">
        <v>12336.11</v>
      </c>
    </row>
    <row r="1012" customFormat="false" ht="15" hidden="false" customHeight="false" outlineLevel="0" collapsed="false">
      <c r="A1012" s="37" t="n">
        <v>500971</v>
      </c>
      <c r="B1012" s="37" t="s">
        <v>1129</v>
      </c>
      <c r="C1012" s="37" t="n">
        <v>202601</v>
      </c>
      <c r="D1012" s="37" t="s">
        <v>60</v>
      </c>
      <c r="E1012" s="37" t="s">
        <v>102</v>
      </c>
      <c r="F1012" s="37" t="s">
        <v>205</v>
      </c>
      <c r="G1012" s="37" t="s">
        <v>358</v>
      </c>
      <c r="H1012" s="37" t="s">
        <v>670</v>
      </c>
      <c r="I1012" s="37" t="s">
        <v>671</v>
      </c>
      <c r="J1012" s="37" t="s">
        <v>1130</v>
      </c>
      <c r="K1012" s="45" t="n">
        <v>0</v>
      </c>
      <c r="L1012" s="46" t="n">
        <v>21241.35</v>
      </c>
    </row>
    <row r="1013" customFormat="false" ht="15" hidden="false" customHeight="false" outlineLevel="0" collapsed="false">
      <c r="A1013" s="37" t="n">
        <v>501684</v>
      </c>
      <c r="B1013" s="37" t="s">
        <v>1129</v>
      </c>
      <c r="C1013" s="37" t="n">
        <v>202601</v>
      </c>
      <c r="D1013" s="37" t="s">
        <v>63</v>
      </c>
      <c r="E1013" s="37" t="s">
        <v>98</v>
      </c>
      <c r="F1013" s="37" t="s">
        <v>196</v>
      </c>
      <c r="G1013" s="37" t="s">
        <v>358</v>
      </c>
      <c r="H1013" s="37" t="s">
        <v>359</v>
      </c>
      <c r="I1013" s="37" t="s">
        <v>360</v>
      </c>
      <c r="J1013" s="37" t="s">
        <v>1131</v>
      </c>
      <c r="K1013" s="45" t="n">
        <v>0</v>
      </c>
      <c r="L1013" s="46" t="n">
        <v>5063.75</v>
      </c>
    </row>
    <row r="1014" customFormat="false" ht="15" hidden="false" customHeight="false" outlineLevel="0" collapsed="false">
      <c r="A1014" s="37" t="n">
        <v>502003</v>
      </c>
      <c r="B1014" s="37" t="s">
        <v>1129</v>
      </c>
      <c r="C1014" s="37" t="n">
        <v>202601</v>
      </c>
      <c r="D1014" s="37" t="s">
        <v>64</v>
      </c>
      <c r="E1014" s="37" t="s">
        <v>103</v>
      </c>
      <c r="F1014" s="37" t="s">
        <v>205</v>
      </c>
      <c r="G1014" s="37" t="s">
        <v>358</v>
      </c>
      <c r="H1014" s="37" t="s">
        <v>969</v>
      </c>
      <c r="I1014" s="37" t="s">
        <v>898</v>
      </c>
      <c r="J1014" s="37" t="s">
        <v>1132</v>
      </c>
      <c r="K1014" s="45" t="n">
        <v>0</v>
      </c>
      <c r="L1014" s="46" t="n">
        <v>17163.61</v>
      </c>
    </row>
    <row r="1015" customFormat="false" ht="15" hidden="false" customHeight="false" outlineLevel="0" collapsed="false">
      <c r="A1015" s="37" t="n">
        <v>502204</v>
      </c>
      <c r="B1015" s="37" t="s">
        <v>1129</v>
      </c>
      <c r="C1015" s="37" t="n">
        <v>202601</v>
      </c>
      <c r="D1015" s="37" t="s">
        <v>65</v>
      </c>
      <c r="E1015" s="37" t="s">
        <v>103</v>
      </c>
      <c r="F1015" s="37" t="s">
        <v>205</v>
      </c>
      <c r="G1015" s="37" t="s">
        <v>358</v>
      </c>
      <c r="H1015" s="37" t="s">
        <v>1051</v>
      </c>
      <c r="I1015" s="37" t="s">
        <v>898</v>
      </c>
      <c r="J1015" s="37" t="s">
        <v>1133</v>
      </c>
      <c r="K1015" s="45" t="n">
        <v>0</v>
      </c>
      <c r="L1015" s="46" t="n">
        <v>55843.05</v>
      </c>
    </row>
    <row r="1016" customFormat="false" ht="15" hidden="false" customHeight="false" outlineLevel="0" collapsed="false">
      <c r="A1016" s="37" t="n">
        <v>501258</v>
      </c>
      <c r="B1016" s="37" t="s">
        <v>177</v>
      </c>
      <c r="C1016" s="37" t="n">
        <v>202601</v>
      </c>
      <c r="D1016" s="37" t="s">
        <v>61</v>
      </c>
      <c r="E1016" s="37" t="s">
        <v>102</v>
      </c>
      <c r="F1016" s="37" t="s">
        <v>205</v>
      </c>
      <c r="G1016" s="37" t="s">
        <v>358</v>
      </c>
      <c r="H1016" s="37" t="s">
        <v>714</v>
      </c>
      <c r="I1016" s="37" t="s">
        <v>715</v>
      </c>
      <c r="J1016" s="37" t="s">
        <v>1134</v>
      </c>
      <c r="K1016" s="45" t="n">
        <v>0</v>
      </c>
      <c r="L1016" s="46" t="n">
        <v>2352.92</v>
      </c>
    </row>
    <row r="1017" customFormat="false" ht="15" hidden="false" customHeight="false" outlineLevel="0" collapsed="false">
      <c r="A1017" s="37" t="n">
        <v>501770</v>
      </c>
      <c r="B1017" s="37" t="s">
        <v>177</v>
      </c>
      <c r="C1017" s="37" t="n">
        <v>202601</v>
      </c>
      <c r="D1017" s="37" t="s">
        <v>63</v>
      </c>
      <c r="E1017" s="37" t="s">
        <v>103</v>
      </c>
      <c r="F1017" s="37" t="s">
        <v>205</v>
      </c>
      <c r="G1017" s="37" t="s">
        <v>358</v>
      </c>
      <c r="H1017" s="37" t="s">
        <v>921</v>
      </c>
      <c r="I1017" s="37" t="s">
        <v>728</v>
      </c>
      <c r="J1017" s="37" t="s">
        <v>1135</v>
      </c>
      <c r="K1017" s="45" t="n">
        <v>0</v>
      </c>
      <c r="L1017" s="46" t="n">
        <v>69258.33</v>
      </c>
    </row>
    <row r="1018" customFormat="false" ht="15" hidden="false" customHeight="false" outlineLevel="0" collapsed="false">
      <c r="A1018" s="37" t="n">
        <v>501438</v>
      </c>
      <c r="B1018" s="37" t="s">
        <v>1136</v>
      </c>
      <c r="C1018" s="37" t="n">
        <v>202601</v>
      </c>
      <c r="D1018" s="37" t="s">
        <v>62</v>
      </c>
      <c r="E1018" s="37" t="s">
        <v>98</v>
      </c>
      <c r="F1018" s="37" t="s">
        <v>196</v>
      </c>
      <c r="G1018" s="37" t="s">
        <v>358</v>
      </c>
      <c r="H1018" s="37" t="s">
        <v>359</v>
      </c>
      <c r="I1018" s="37" t="s">
        <v>360</v>
      </c>
      <c r="J1018" s="37" t="s">
        <v>1137</v>
      </c>
      <c r="K1018" s="45" t="n">
        <v>0</v>
      </c>
      <c r="L1018" s="46" t="n">
        <v>17354.65</v>
      </c>
    </row>
    <row r="1019" customFormat="false" ht="15" hidden="false" customHeight="false" outlineLevel="0" collapsed="false">
      <c r="A1019" s="37" t="n">
        <v>500992</v>
      </c>
      <c r="B1019" s="37" t="s">
        <v>1138</v>
      </c>
      <c r="C1019" s="37" t="n">
        <v>202601</v>
      </c>
      <c r="D1019" s="37" t="s">
        <v>60</v>
      </c>
      <c r="E1019" s="37" t="s">
        <v>103</v>
      </c>
      <c r="F1019" s="37" t="s">
        <v>205</v>
      </c>
      <c r="G1019" s="37" t="s">
        <v>358</v>
      </c>
      <c r="H1019" s="37" t="s">
        <v>727</v>
      </c>
      <c r="I1019" s="37" t="s">
        <v>728</v>
      </c>
      <c r="J1019" s="37" t="s">
        <v>1139</v>
      </c>
      <c r="K1019" s="45" t="n">
        <v>0</v>
      </c>
      <c r="L1019" s="46" t="n">
        <v>65353.18</v>
      </c>
    </row>
    <row r="1020" customFormat="false" ht="15" hidden="false" customHeight="false" outlineLevel="0" collapsed="false">
      <c r="A1020" s="37" t="n">
        <v>501759</v>
      </c>
      <c r="B1020" s="37" t="s">
        <v>1138</v>
      </c>
      <c r="C1020" s="37" t="n">
        <v>202601</v>
      </c>
      <c r="D1020" s="37" t="s">
        <v>63</v>
      </c>
      <c r="E1020" s="37" t="s">
        <v>102</v>
      </c>
      <c r="F1020" s="37" t="s">
        <v>205</v>
      </c>
      <c r="G1020" s="37" t="s">
        <v>358</v>
      </c>
      <c r="H1020" s="37" t="s">
        <v>891</v>
      </c>
      <c r="I1020" s="37" t="s">
        <v>892</v>
      </c>
      <c r="J1020" s="37" t="s">
        <v>1140</v>
      </c>
      <c r="K1020" s="45" t="n">
        <v>0</v>
      </c>
      <c r="L1020" s="46" t="n">
        <v>48701.54</v>
      </c>
    </row>
    <row r="1021" customFormat="false" ht="15" hidden="false" customHeight="false" outlineLevel="0" collapsed="false">
      <c r="A1021" s="37" t="n">
        <v>501914</v>
      </c>
      <c r="B1021" s="37" t="s">
        <v>1138</v>
      </c>
      <c r="C1021" s="37" t="n">
        <v>202601</v>
      </c>
      <c r="D1021" s="37" t="s">
        <v>64</v>
      </c>
      <c r="E1021" s="37" t="s">
        <v>98</v>
      </c>
      <c r="F1021" s="37" t="s">
        <v>196</v>
      </c>
      <c r="G1021" s="37" t="s">
        <v>358</v>
      </c>
      <c r="H1021" s="37" t="s">
        <v>359</v>
      </c>
      <c r="I1021" s="37" t="s">
        <v>360</v>
      </c>
      <c r="J1021" s="37" t="s">
        <v>1141</v>
      </c>
      <c r="K1021" s="45" t="n">
        <v>0</v>
      </c>
      <c r="L1021" s="46" t="n">
        <v>10562.19</v>
      </c>
    </row>
    <row r="1022" customFormat="false" ht="15" hidden="false" customHeight="false" outlineLevel="0" collapsed="false">
      <c r="A1022" s="37" t="n">
        <v>502004</v>
      </c>
      <c r="B1022" s="37" t="s">
        <v>1138</v>
      </c>
      <c r="C1022" s="37" t="n">
        <v>202601</v>
      </c>
      <c r="D1022" s="37" t="s">
        <v>64</v>
      </c>
      <c r="E1022" s="37" t="s">
        <v>103</v>
      </c>
      <c r="F1022" s="37" t="s">
        <v>205</v>
      </c>
      <c r="G1022" s="37" t="s">
        <v>358</v>
      </c>
      <c r="H1022" s="37" t="s">
        <v>969</v>
      </c>
      <c r="I1022" s="37" t="s">
        <v>898</v>
      </c>
      <c r="J1022" s="37" t="s">
        <v>1142</v>
      </c>
      <c r="K1022" s="45" t="n">
        <v>0</v>
      </c>
      <c r="L1022" s="46" t="n">
        <v>24844.65</v>
      </c>
    </row>
    <row r="1023" customFormat="false" ht="15" hidden="false" customHeight="false" outlineLevel="0" collapsed="false">
      <c r="A1023" s="37" t="n">
        <v>502127</v>
      </c>
      <c r="B1023" s="37" t="s">
        <v>1138</v>
      </c>
      <c r="C1023" s="37" t="n">
        <v>202601</v>
      </c>
      <c r="D1023" s="37" t="s">
        <v>65</v>
      </c>
      <c r="E1023" s="37" t="s">
        <v>98</v>
      </c>
      <c r="F1023" s="37" t="s">
        <v>196</v>
      </c>
      <c r="G1023" s="37" t="s">
        <v>358</v>
      </c>
      <c r="H1023" s="37" t="s">
        <v>359</v>
      </c>
      <c r="I1023" s="37" t="s">
        <v>360</v>
      </c>
      <c r="J1023" s="37" t="s">
        <v>1143</v>
      </c>
      <c r="K1023" s="45" t="n">
        <v>0</v>
      </c>
      <c r="L1023" s="46" t="n">
        <v>5997.52</v>
      </c>
    </row>
    <row r="1024" customFormat="false" ht="15" hidden="false" customHeight="false" outlineLevel="0" collapsed="false">
      <c r="A1024" s="37" t="n">
        <v>502307</v>
      </c>
      <c r="B1024" s="37" t="s">
        <v>1144</v>
      </c>
      <c r="C1024" s="37" t="n">
        <v>202601</v>
      </c>
      <c r="D1024" s="37" t="s">
        <v>66</v>
      </c>
      <c r="E1024" s="37" t="s">
        <v>98</v>
      </c>
      <c r="F1024" s="37" t="s">
        <v>196</v>
      </c>
      <c r="G1024" s="37" t="s">
        <v>358</v>
      </c>
      <c r="H1024" s="37" t="s">
        <v>359</v>
      </c>
      <c r="I1024" s="37" t="s">
        <v>360</v>
      </c>
      <c r="J1024" s="37" t="s">
        <v>1145</v>
      </c>
      <c r="K1024" s="45" t="n">
        <v>0</v>
      </c>
      <c r="L1024" s="46" t="n">
        <v>3594.02</v>
      </c>
    </row>
    <row r="1025" customFormat="false" ht="15" hidden="false" customHeight="false" outlineLevel="0" collapsed="false">
      <c r="A1025" s="37" t="n">
        <v>500085</v>
      </c>
      <c r="B1025" s="37" t="s">
        <v>1146</v>
      </c>
      <c r="C1025" s="37" t="n">
        <v>202601</v>
      </c>
      <c r="D1025" s="37" t="s">
        <v>58</v>
      </c>
      <c r="E1025" s="37" t="s">
        <v>97</v>
      </c>
      <c r="F1025" s="37" t="s">
        <v>194</v>
      </c>
      <c r="G1025" s="37" t="s">
        <v>354</v>
      </c>
      <c r="H1025" s="37"/>
      <c r="I1025" s="37" t="s">
        <v>355</v>
      </c>
      <c r="J1025" s="37" t="s">
        <v>1147</v>
      </c>
      <c r="K1025" s="45" t="n">
        <v>121.8</v>
      </c>
      <c r="L1025" s="46" t="n">
        <v>11201.97</v>
      </c>
    </row>
    <row r="1026" customFormat="false" ht="15" hidden="false" customHeight="false" outlineLevel="0" collapsed="false">
      <c r="A1026" s="37" t="n">
        <v>500359</v>
      </c>
      <c r="B1026" s="37" t="s">
        <v>1146</v>
      </c>
      <c r="C1026" s="37" t="n">
        <v>202601</v>
      </c>
      <c r="D1026" s="37" t="s">
        <v>58</v>
      </c>
      <c r="E1026" s="37" t="s">
        <v>106</v>
      </c>
      <c r="F1026" s="37" t="s">
        <v>194</v>
      </c>
      <c r="G1026" s="37" t="s">
        <v>354</v>
      </c>
      <c r="H1026" s="37"/>
      <c r="I1026" s="37" t="s">
        <v>355</v>
      </c>
      <c r="J1026" s="37" t="s">
        <v>1147</v>
      </c>
      <c r="K1026" s="45" t="n">
        <v>102.4</v>
      </c>
      <c r="L1026" s="46" t="n">
        <v>7273.14</v>
      </c>
    </row>
    <row r="1027" customFormat="false" ht="15" hidden="false" customHeight="false" outlineLevel="0" collapsed="false">
      <c r="A1027" s="37" t="n">
        <v>500493</v>
      </c>
      <c r="B1027" s="37" t="s">
        <v>1146</v>
      </c>
      <c r="C1027" s="37" t="n">
        <v>202601</v>
      </c>
      <c r="D1027" s="37" t="s">
        <v>59</v>
      </c>
      <c r="E1027" s="37" t="s">
        <v>97</v>
      </c>
      <c r="F1027" s="37" t="s">
        <v>194</v>
      </c>
      <c r="G1027" s="37" t="s">
        <v>354</v>
      </c>
      <c r="H1027" s="37"/>
      <c r="I1027" s="37" t="s">
        <v>355</v>
      </c>
      <c r="J1027" s="37" t="s">
        <v>1147</v>
      </c>
      <c r="K1027" s="45" t="n">
        <v>172.6</v>
      </c>
      <c r="L1027" s="46" t="n">
        <v>15874.96</v>
      </c>
    </row>
    <row r="1028" customFormat="false" ht="15" hidden="false" customHeight="false" outlineLevel="0" collapsed="false">
      <c r="A1028" s="37" t="n">
        <v>500676</v>
      </c>
      <c r="B1028" s="37" t="s">
        <v>1146</v>
      </c>
      <c r="C1028" s="37" t="n">
        <v>202601</v>
      </c>
      <c r="D1028" s="37" t="s">
        <v>59</v>
      </c>
      <c r="E1028" s="37" t="s">
        <v>103</v>
      </c>
      <c r="F1028" s="37" t="s">
        <v>205</v>
      </c>
      <c r="G1028" s="37" t="s">
        <v>358</v>
      </c>
      <c r="H1028" s="37" t="s">
        <v>622</v>
      </c>
      <c r="I1028" s="37" t="s">
        <v>623</v>
      </c>
      <c r="J1028" s="37" t="s">
        <v>1148</v>
      </c>
      <c r="K1028" s="45" t="n">
        <v>0</v>
      </c>
      <c r="L1028" s="46" t="n">
        <v>7283.84</v>
      </c>
    </row>
    <row r="1029" customFormat="false" ht="15" hidden="false" customHeight="false" outlineLevel="0" collapsed="false">
      <c r="A1029" s="37" t="n">
        <v>500695</v>
      </c>
      <c r="B1029" s="37" t="s">
        <v>1146</v>
      </c>
      <c r="C1029" s="37" t="n">
        <v>202601</v>
      </c>
      <c r="D1029" s="37" t="s">
        <v>59</v>
      </c>
      <c r="E1029" s="37" t="s">
        <v>106</v>
      </c>
      <c r="F1029" s="37" t="s">
        <v>194</v>
      </c>
      <c r="G1029" s="37" t="s">
        <v>354</v>
      </c>
      <c r="H1029" s="37"/>
      <c r="I1029" s="37" t="s">
        <v>355</v>
      </c>
      <c r="J1029" s="37" t="s">
        <v>1147</v>
      </c>
      <c r="K1029" s="45" t="n">
        <v>87.7</v>
      </c>
      <c r="L1029" s="46" t="n">
        <v>6226.24</v>
      </c>
    </row>
    <row r="1030" customFormat="false" ht="15" hidden="false" customHeight="false" outlineLevel="0" collapsed="false">
      <c r="A1030" s="37" t="n">
        <v>500822</v>
      </c>
      <c r="B1030" s="37" t="s">
        <v>1146</v>
      </c>
      <c r="C1030" s="37" t="n">
        <v>202601</v>
      </c>
      <c r="D1030" s="37" t="s">
        <v>60</v>
      </c>
      <c r="E1030" s="37" t="s">
        <v>97</v>
      </c>
      <c r="F1030" s="37" t="s">
        <v>194</v>
      </c>
      <c r="G1030" s="37" t="s">
        <v>354</v>
      </c>
      <c r="H1030" s="37"/>
      <c r="I1030" s="37" t="s">
        <v>355</v>
      </c>
      <c r="J1030" s="37" t="s">
        <v>1147</v>
      </c>
      <c r="K1030" s="45" t="n">
        <v>85.4</v>
      </c>
      <c r="L1030" s="46" t="n">
        <v>7860.49</v>
      </c>
    </row>
    <row r="1031" customFormat="false" ht="15" hidden="false" customHeight="false" outlineLevel="0" collapsed="false">
      <c r="A1031" s="37" t="n">
        <v>500950</v>
      </c>
      <c r="B1031" s="37" t="s">
        <v>1146</v>
      </c>
      <c r="C1031" s="37" t="n">
        <v>202601</v>
      </c>
      <c r="D1031" s="37" t="s">
        <v>60</v>
      </c>
      <c r="E1031" s="37" t="s">
        <v>101</v>
      </c>
      <c r="F1031" s="37" t="s">
        <v>194</v>
      </c>
      <c r="G1031" s="37" t="s">
        <v>354</v>
      </c>
      <c r="H1031" s="37"/>
      <c r="I1031" s="37" t="s">
        <v>355</v>
      </c>
      <c r="J1031" s="37" t="s">
        <v>1147</v>
      </c>
      <c r="K1031" s="45" t="n">
        <v>50.5</v>
      </c>
      <c r="L1031" s="46" t="n">
        <v>3740.26</v>
      </c>
    </row>
    <row r="1032" customFormat="false" ht="15" hidden="false" customHeight="false" outlineLevel="0" collapsed="false">
      <c r="A1032" s="37" t="n">
        <v>501015</v>
      </c>
      <c r="B1032" s="37" t="s">
        <v>1146</v>
      </c>
      <c r="C1032" s="37" t="n">
        <v>202601</v>
      </c>
      <c r="D1032" s="37" t="s">
        <v>60</v>
      </c>
      <c r="E1032" s="37" t="s">
        <v>106</v>
      </c>
      <c r="F1032" s="37" t="s">
        <v>194</v>
      </c>
      <c r="G1032" s="37" t="s">
        <v>354</v>
      </c>
      <c r="H1032" s="37"/>
      <c r="I1032" s="37" t="s">
        <v>355</v>
      </c>
      <c r="J1032" s="37" t="s">
        <v>1147</v>
      </c>
      <c r="K1032" s="45" t="n">
        <v>62.7</v>
      </c>
      <c r="L1032" s="46" t="n">
        <v>4449.81</v>
      </c>
    </row>
    <row r="1033" customFormat="false" ht="15" hidden="false" customHeight="false" outlineLevel="0" collapsed="false">
      <c r="A1033" s="37" t="n">
        <v>501129</v>
      </c>
      <c r="B1033" s="37" t="s">
        <v>1146</v>
      </c>
      <c r="C1033" s="37" t="n">
        <v>202601</v>
      </c>
      <c r="D1033" s="37" t="s">
        <v>61</v>
      </c>
      <c r="E1033" s="37" t="s">
        <v>97</v>
      </c>
      <c r="F1033" s="37" t="s">
        <v>194</v>
      </c>
      <c r="G1033" s="37" t="s">
        <v>354</v>
      </c>
      <c r="H1033" s="37"/>
      <c r="I1033" s="37" t="s">
        <v>355</v>
      </c>
      <c r="J1033" s="37" t="s">
        <v>1147</v>
      </c>
      <c r="K1033" s="45" t="n">
        <v>175.9</v>
      </c>
      <c r="L1033" s="46" t="n">
        <v>16181.07</v>
      </c>
    </row>
    <row r="1034" customFormat="false" ht="15" hidden="false" customHeight="false" outlineLevel="0" collapsed="false">
      <c r="A1034" s="37" t="n">
        <v>501243</v>
      </c>
      <c r="B1034" s="37" t="s">
        <v>1146</v>
      </c>
      <c r="C1034" s="37" t="n">
        <v>202601</v>
      </c>
      <c r="D1034" s="37" t="s">
        <v>61</v>
      </c>
      <c r="E1034" s="37" t="s">
        <v>101</v>
      </c>
      <c r="F1034" s="37" t="s">
        <v>194</v>
      </c>
      <c r="G1034" s="37" t="s">
        <v>354</v>
      </c>
      <c r="H1034" s="37"/>
      <c r="I1034" s="37" t="s">
        <v>355</v>
      </c>
      <c r="J1034" s="37" t="s">
        <v>1147</v>
      </c>
      <c r="K1034" s="45" t="n">
        <v>80.1</v>
      </c>
      <c r="L1034" s="46" t="n">
        <v>5929.31</v>
      </c>
    </row>
    <row r="1035" customFormat="false" ht="15" hidden="false" customHeight="false" outlineLevel="0" collapsed="false">
      <c r="A1035" s="37" t="n">
        <v>501289</v>
      </c>
      <c r="B1035" s="37" t="s">
        <v>1146</v>
      </c>
      <c r="C1035" s="37" t="n">
        <v>202601</v>
      </c>
      <c r="D1035" s="37" t="s">
        <v>61</v>
      </c>
      <c r="E1035" s="37" t="s">
        <v>106</v>
      </c>
      <c r="F1035" s="37" t="s">
        <v>194</v>
      </c>
      <c r="G1035" s="37" t="s">
        <v>354</v>
      </c>
      <c r="H1035" s="37"/>
      <c r="I1035" s="37" t="s">
        <v>355</v>
      </c>
      <c r="J1035" s="37" t="s">
        <v>1147</v>
      </c>
      <c r="K1035" s="45" t="n">
        <v>27</v>
      </c>
      <c r="L1035" s="46" t="n">
        <v>1914.66</v>
      </c>
    </row>
    <row r="1036" customFormat="false" ht="15" hidden="false" customHeight="false" outlineLevel="0" collapsed="false">
      <c r="A1036" s="37" t="n">
        <v>501390</v>
      </c>
      <c r="B1036" s="37" t="s">
        <v>1146</v>
      </c>
      <c r="C1036" s="37" t="n">
        <v>202601</v>
      </c>
      <c r="D1036" s="37" t="s">
        <v>62</v>
      </c>
      <c r="E1036" s="37" t="s">
        <v>97</v>
      </c>
      <c r="F1036" s="37" t="s">
        <v>194</v>
      </c>
      <c r="G1036" s="37" t="s">
        <v>354</v>
      </c>
      <c r="H1036" s="37"/>
      <c r="I1036" s="37" t="s">
        <v>355</v>
      </c>
      <c r="J1036" s="37" t="s">
        <v>1147</v>
      </c>
      <c r="K1036" s="45" t="n">
        <v>89.3</v>
      </c>
      <c r="L1036" s="46" t="n">
        <v>8219.69</v>
      </c>
    </row>
    <row r="1037" customFormat="false" ht="15" hidden="false" customHeight="false" outlineLevel="0" collapsed="false">
      <c r="A1037" s="37" t="n">
        <v>501494</v>
      </c>
      <c r="B1037" s="37" t="s">
        <v>1146</v>
      </c>
      <c r="C1037" s="37" t="n">
        <v>202601</v>
      </c>
      <c r="D1037" s="37" t="s">
        <v>62</v>
      </c>
      <c r="E1037" s="37" t="s">
        <v>101</v>
      </c>
      <c r="F1037" s="37" t="s">
        <v>194</v>
      </c>
      <c r="G1037" s="37" t="s">
        <v>354</v>
      </c>
      <c r="H1037" s="37"/>
      <c r="I1037" s="37" t="s">
        <v>355</v>
      </c>
      <c r="J1037" s="37" t="s">
        <v>1147</v>
      </c>
      <c r="K1037" s="45" t="n">
        <v>875.8</v>
      </c>
      <c r="L1037" s="46" t="n">
        <v>64807.54</v>
      </c>
    </row>
    <row r="1038" customFormat="false" ht="15" hidden="false" customHeight="false" outlineLevel="0" collapsed="false">
      <c r="A1038" s="37" t="n">
        <v>501636</v>
      </c>
      <c r="B1038" s="37" t="s">
        <v>1146</v>
      </c>
      <c r="C1038" s="37" t="n">
        <v>202601</v>
      </c>
      <c r="D1038" s="37" t="s">
        <v>63</v>
      </c>
      <c r="E1038" s="37" t="s">
        <v>97</v>
      </c>
      <c r="F1038" s="37" t="s">
        <v>194</v>
      </c>
      <c r="G1038" s="37" t="s">
        <v>354</v>
      </c>
      <c r="H1038" s="37"/>
      <c r="I1038" s="37" t="s">
        <v>355</v>
      </c>
      <c r="J1038" s="37" t="s">
        <v>1147</v>
      </c>
      <c r="K1038" s="45" t="n">
        <v>65.1</v>
      </c>
      <c r="L1038" s="46" t="n">
        <v>5987.89</v>
      </c>
    </row>
    <row r="1039" customFormat="false" ht="15" hidden="false" customHeight="false" outlineLevel="0" collapsed="false">
      <c r="A1039" s="37" t="n">
        <v>501740</v>
      </c>
      <c r="B1039" s="37" t="s">
        <v>1146</v>
      </c>
      <c r="C1039" s="37" t="n">
        <v>202601</v>
      </c>
      <c r="D1039" s="37" t="s">
        <v>63</v>
      </c>
      <c r="E1039" s="37" t="s">
        <v>101</v>
      </c>
      <c r="F1039" s="37" t="s">
        <v>194</v>
      </c>
      <c r="G1039" s="37" t="s">
        <v>354</v>
      </c>
      <c r="H1039" s="37"/>
      <c r="I1039" s="37" t="s">
        <v>355</v>
      </c>
      <c r="J1039" s="37" t="s">
        <v>1147</v>
      </c>
      <c r="K1039" s="45" t="n">
        <v>220.5</v>
      </c>
      <c r="L1039" s="46" t="n">
        <v>16316.51</v>
      </c>
    </row>
    <row r="1040" customFormat="false" ht="15" hidden="false" customHeight="false" outlineLevel="0" collapsed="false">
      <c r="A1040" s="37" t="n">
        <v>501772</v>
      </c>
      <c r="B1040" s="37" t="s">
        <v>1146</v>
      </c>
      <c r="C1040" s="37" t="n">
        <v>202601</v>
      </c>
      <c r="D1040" s="37" t="s">
        <v>63</v>
      </c>
      <c r="E1040" s="37" t="s">
        <v>103</v>
      </c>
      <c r="F1040" s="37" t="s">
        <v>205</v>
      </c>
      <c r="G1040" s="37" t="s">
        <v>358</v>
      </c>
      <c r="H1040" s="37" t="s">
        <v>921</v>
      </c>
      <c r="I1040" s="37" t="s">
        <v>728</v>
      </c>
      <c r="J1040" s="37" t="s">
        <v>1149</v>
      </c>
      <c r="K1040" s="45" t="n">
        <v>0</v>
      </c>
      <c r="L1040" s="46" t="n">
        <v>72873.18</v>
      </c>
    </row>
    <row r="1041" customFormat="false" ht="15" hidden="false" customHeight="false" outlineLevel="0" collapsed="false">
      <c r="A1041" s="37" t="n">
        <v>501870</v>
      </c>
      <c r="B1041" s="37" t="s">
        <v>1146</v>
      </c>
      <c r="C1041" s="37" t="n">
        <v>202601</v>
      </c>
      <c r="D1041" s="37" t="s">
        <v>64</v>
      </c>
      <c r="E1041" s="37" t="s">
        <v>97</v>
      </c>
      <c r="F1041" s="37" t="s">
        <v>194</v>
      </c>
      <c r="G1041" s="37" t="s">
        <v>354</v>
      </c>
      <c r="H1041" s="37"/>
      <c r="I1041" s="37" t="s">
        <v>355</v>
      </c>
      <c r="J1041" s="37" t="s">
        <v>1147</v>
      </c>
      <c r="K1041" s="45" t="n">
        <v>33.5</v>
      </c>
      <c r="L1041" s="46" t="n">
        <v>3082.87</v>
      </c>
    </row>
    <row r="1042" customFormat="false" ht="15" hidden="false" customHeight="false" outlineLevel="0" collapsed="false">
      <c r="A1042" s="37" t="n">
        <v>501960</v>
      </c>
      <c r="B1042" s="37" t="s">
        <v>1146</v>
      </c>
      <c r="C1042" s="37" t="n">
        <v>202601</v>
      </c>
      <c r="D1042" s="37" t="s">
        <v>64</v>
      </c>
      <c r="E1042" s="37" t="s">
        <v>101</v>
      </c>
      <c r="F1042" s="37" t="s">
        <v>194</v>
      </c>
      <c r="G1042" s="37" t="s">
        <v>354</v>
      </c>
      <c r="H1042" s="37"/>
      <c r="I1042" s="37" t="s">
        <v>355</v>
      </c>
      <c r="J1042" s="37" t="s">
        <v>1147</v>
      </c>
      <c r="K1042" s="45" t="n">
        <v>254.5</v>
      </c>
      <c r="L1042" s="46" t="n">
        <v>18834.77</v>
      </c>
    </row>
    <row r="1043" customFormat="false" ht="15" hidden="false" customHeight="false" outlineLevel="0" collapsed="false">
      <c r="A1043" s="37" t="n">
        <v>501989</v>
      </c>
      <c r="B1043" s="37" t="s">
        <v>1146</v>
      </c>
      <c r="C1043" s="37" t="n">
        <v>202601</v>
      </c>
      <c r="D1043" s="37" t="s">
        <v>64</v>
      </c>
      <c r="E1043" s="37" t="s">
        <v>102</v>
      </c>
      <c r="F1043" s="37" t="s">
        <v>205</v>
      </c>
      <c r="G1043" s="37" t="s">
        <v>358</v>
      </c>
      <c r="H1043" s="37" t="s">
        <v>947</v>
      </c>
      <c r="I1043" s="37" t="s">
        <v>811</v>
      </c>
      <c r="J1043" s="37" t="s">
        <v>1150</v>
      </c>
      <c r="K1043" s="45" t="n">
        <v>0</v>
      </c>
      <c r="L1043" s="46" t="n">
        <v>31521.73</v>
      </c>
    </row>
    <row r="1044" customFormat="false" ht="15" hidden="false" customHeight="false" outlineLevel="0" collapsed="false">
      <c r="A1044" s="37" t="n">
        <v>502086</v>
      </c>
      <c r="B1044" s="37" t="s">
        <v>1146</v>
      </c>
      <c r="C1044" s="37" t="n">
        <v>202601</v>
      </c>
      <c r="D1044" s="37" t="s">
        <v>65</v>
      </c>
      <c r="E1044" s="37" t="s">
        <v>97</v>
      </c>
      <c r="F1044" s="37" t="s">
        <v>194</v>
      </c>
      <c r="G1044" s="37" t="s">
        <v>354</v>
      </c>
      <c r="H1044" s="37"/>
      <c r="I1044" s="37" t="s">
        <v>355</v>
      </c>
      <c r="J1044" s="37" t="s">
        <v>1147</v>
      </c>
      <c r="K1044" s="45" t="n">
        <v>47.3</v>
      </c>
      <c r="L1044" s="46" t="n">
        <v>4351.59</v>
      </c>
    </row>
    <row r="1045" customFormat="false" ht="15" hidden="false" customHeight="false" outlineLevel="0" collapsed="false">
      <c r="A1045" s="37" t="n">
        <v>502165</v>
      </c>
      <c r="B1045" s="37" t="s">
        <v>1146</v>
      </c>
      <c r="C1045" s="37" t="n">
        <v>202601</v>
      </c>
      <c r="D1045" s="37" t="s">
        <v>65</v>
      </c>
      <c r="E1045" s="37" t="s">
        <v>101</v>
      </c>
      <c r="F1045" s="37" t="s">
        <v>194</v>
      </c>
      <c r="G1045" s="37" t="s">
        <v>354</v>
      </c>
      <c r="H1045" s="37"/>
      <c r="I1045" s="37" t="s">
        <v>355</v>
      </c>
      <c r="J1045" s="37" t="s">
        <v>1147</v>
      </c>
      <c r="K1045" s="45" t="n">
        <v>524.9</v>
      </c>
      <c r="L1045" s="46" t="n">
        <v>38842.38</v>
      </c>
    </row>
    <row r="1046" customFormat="false" ht="15" hidden="false" customHeight="false" outlineLevel="0" collapsed="false">
      <c r="A1046" s="37" t="n">
        <v>502269</v>
      </c>
      <c r="B1046" s="37" t="s">
        <v>1146</v>
      </c>
      <c r="C1046" s="37" t="n">
        <v>202601</v>
      </c>
      <c r="D1046" s="37" t="s">
        <v>66</v>
      </c>
      <c r="E1046" s="37" t="s">
        <v>97</v>
      </c>
      <c r="F1046" s="37" t="s">
        <v>194</v>
      </c>
      <c r="G1046" s="37" t="s">
        <v>354</v>
      </c>
      <c r="H1046" s="37"/>
      <c r="I1046" s="37" t="s">
        <v>355</v>
      </c>
      <c r="J1046" s="37" t="s">
        <v>1147</v>
      </c>
      <c r="K1046" s="45" t="n">
        <v>8.3</v>
      </c>
      <c r="L1046" s="46" t="n">
        <v>766.55</v>
      </c>
    </row>
    <row r="1047" customFormat="false" ht="15" hidden="false" customHeight="false" outlineLevel="0" collapsed="false">
      <c r="A1047" s="37" t="n">
        <v>501539</v>
      </c>
      <c r="B1047" s="37" t="s">
        <v>1151</v>
      </c>
      <c r="C1047" s="37" t="n">
        <v>202601</v>
      </c>
      <c r="D1047" s="37" t="s">
        <v>62</v>
      </c>
      <c r="E1047" s="37" t="s">
        <v>103</v>
      </c>
      <c r="F1047" s="37" t="s">
        <v>205</v>
      </c>
      <c r="G1047" s="37" t="s">
        <v>358</v>
      </c>
      <c r="H1047" s="37" t="s">
        <v>897</v>
      </c>
      <c r="I1047" s="37" t="s">
        <v>898</v>
      </c>
      <c r="J1047" s="37" t="s">
        <v>1152</v>
      </c>
      <c r="K1047" s="45" t="n">
        <v>0</v>
      </c>
      <c r="L1047" s="46" t="n">
        <v>67232.89</v>
      </c>
    </row>
    <row r="1048" customFormat="false" ht="15" hidden="false" customHeight="false" outlineLevel="0" collapsed="false">
      <c r="A1048" s="37" t="n">
        <v>501760</v>
      </c>
      <c r="B1048" s="37" t="s">
        <v>1151</v>
      </c>
      <c r="C1048" s="37" t="n">
        <v>202601</v>
      </c>
      <c r="D1048" s="37" t="s">
        <v>63</v>
      </c>
      <c r="E1048" s="37" t="s">
        <v>102</v>
      </c>
      <c r="F1048" s="37" t="s">
        <v>205</v>
      </c>
      <c r="G1048" s="37" t="s">
        <v>358</v>
      </c>
      <c r="H1048" s="37" t="s">
        <v>891</v>
      </c>
      <c r="I1048" s="37" t="s">
        <v>892</v>
      </c>
      <c r="J1048" s="37" t="s">
        <v>1153</v>
      </c>
      <c r="K1048" s="45" t="n">
        <v>0</v>
      </c>
      <c r="L1048" s="46" t="n">
        <v>17310.4</v>
      </c>
    </row>
    <row r="1049" customFormat="false" ht="15" hidden="false" customHeight="false" outlineLevel="0" collapsed="false">
      <c r="A1049" s="37" t="n">
        <v>502126</v>
      </c>
      <c r="B1049" s="37" t="s">
        <v>1151</v>
      </c>
      <c r="C1049" s="37" t="n">
        <v>202601</v>
      </c>
      <c r="D1049" s="37" t="s">
        <v>65</v>
      </c>
      <c r="E1049" s="37" t="s">
        <v>98</v>
      </c>
      <c r="F1049" s="37" t="s">
        <v>196</v>
      </c>
      <c r="G1049" s="37" t="s">
        <v>358</v>
      </c>
      <c r="H1049" s="37" t="s">
        <v>359</v>
      </c>
      <c r="I1049" s="37" t="s">
        <v>360</v>
      </c>
      <c r="J1049" s="37" t="s">
        <v>1154</v>
      </c>
      <c r="K1049" s="45" t="n">
        <v>0</v>
      </c>
      <c r="L1049" s="46" t="n">
        <v>3944.26</v>
      </c>
    </row>
    <row r="1050" customFormat="false" ht="15" hidden="false" customHeight="false" outlineLevel="0" collapsed="false">
      <c r="A1050" s="37" t="n">
        <v>500156</v>
      </c>
      <c r="B1050" s="37" t="s">
        <v>1155</v>
      </c>
      <c r="C1050" s="37" t="n">
        <v>202601</v>
      </c>
      <c r="D1050" s="37" t="s">
        <v>58</v>
      </c>
      <c r="E1050" s="37" t="s">
        <v>98</v>
      </c>
      <c r="F1050" s="37" t="s">
        <v>196</v>
      </c>
      <c r="G1050" s="37" t="s">
        <v>358</v>
      </c>
      <c r="H1050" s="37" t="s">
        <v>359</v>
      </c>
      <c r="I1050" s="37" t="s">
        <v>360</v>
      </c>
      <c r="J1050" s="37" t="s">
        <v>1156</v>
      </c>
      <c r="K1050" s="45" t="n">
        <v>0</v>
      </c>
      <c r="L1050" s="46" t="n">
        <v>17117.44</v>
      </c>
    </row>
    <row r="1051" customFormat="false" ht="15" hidden="false" customHeight="false" outlineLevel="0" collapsed="false">
      <c r="A1051" s="37" t="n">
        <v>500386</v>
      </c>
      <c r="B1051" s="37" t="s">
        <v>1155</v>
      </c>
      <c r="C1051" s="37" t="n">
        <v>202601</v>
      </c>
      <c r="D1051" s="37" t="s">
        <v>58</v>
      </c>
      <c r="E1051" s="37" t="s">
        <v>108</v>
      </c>
      <c r="F1051" s="37" t="s">
        <v>205</v>
      </c>
      <c r="G1051" s="37" t="s">
        <v>358</v>
      </c>
      <c r="H1051" s="37" t="s">
        <v>885</v>
      </c>
      <c r="I1051" s="37" t="s">
        <v>886</v>
      </c>
      <c r="J1051" s="37" t="s">
        <v>1157</v>
      </c>
      <c r="K1051" s="45" t="n">
        <v>0</v>
      </c>
      <c r="L1051" s="46" t="n">
        <v>195316.39</v>
      </c>
    </row>
    <row r="1052" customFormat="false" ht="15" hidden="false" customHeight="false" outlineLevel="0" collapsed="false">
      <c r="A1052" s="37" t="n">
        <v>500677</v>
      </c>
      <c r="B1052" s="37" t="s">
        <v>1158</v>
      </c>
      <c r="C1052" s="37" t="n">
        <v>202601</v>
      </c>
      <c r="D1052" s="37" t="s">
        <v>59</v>
      </c>
      <c r="E1052" s="37" t="s">
        <v>103</v>
      </c>
      <c r="F1052" s="37" t="s">
        <v>205</v>
      </c>
      <c r="G1052" s="37" t="s">
        <v>358</v>
      </c>
      <c r="H1052" s="37" t="s">
        <v>622</v>
      </c>
      <c r="I1052" s="37" t="s">
        <v>623</v>
      </c>
      <c r="J1052" s="37" t="s">
        <v>1159</v>
      </c>
      <c r="K1052" s="45" t="n">
        <v>0</v>
      </c>
      <c r="L1052" s="46" t="n">
        <v>11246.41</v>
      </c>
    </row>
    <row r="1053" customFormat="false" ht="15" hidden="false" customHeight="false" outlineLevel="0" collapsed="false">
      <c r="A1053" s="37" t="n">
        <v>501988</v>
      </c>
      <c r="B1053" s="37" t="s">
        <v>1158</v>
      </c>
      <c r="C1053" s="37" t="n">
        <v>202601</v>
      </c>
      <c r="D1053" s="37" t="s">
        <v>64</v>
      </c>
      <c r="E1053" s="37" t="s">
        <v>102</v>
      </c>
      <c r="F1053" s="37" t="s">
        <v>205</v>
      </c>
      <c r="G1053" s="37" t="s">
        <v>358</v>
      </c>
      <c r="H1053" s="37" t="s">
        <v>947</v>
      </c>
      <c r="I1053" s="37" t="s">
        <v>811</v>
      </c>
      <c r="J1053" s="37" t="s">
        <v>1160</v>
      </c>
      <c r="K1053" s="45" t="n">
        <v>0</v>
      </c>
      <c r="L1053" s="46" t="n">
        <v>69994.85</v>
      </c>
    </row>
    <row r="1054" customFormat="false" ht="15" hidden="false" customHeight="false" outlineLevel="0" collapsed="false">
      <c r="A1054" s="37" t="n">
        <v>502206</v>
      </c>
      <c r="B1054" s="37" t="s">
        <v>1161</v>
      </c>
      <c r="C1054" s="37" t="n">
        <v>202601</v>
      </c>
      <c r="D1054" s="37" t="s">
        <v>65</v>
      </c>
      <c r="E1054" s="37" t="s">
        <v>103</v>
      </c>
      <c r="F1054" s="37" t="s">
        <v>205</v>
      </c>
      <c r="G1054" s="37" t="s">
        <v>358</v>
      </c>
      <c r="H1054" s="37" t="s">
        <v>1051</v>
      </c>
      <c r="I1054" s="37" t="s">
        <v>898</v>
      </c>
      <c r="J1054" s="37" t="s">
        <v>1162</v>
      </c>
      <c r="K1054" s="45" t="n">
        <v>0</v>
      </c>
      <c r="L1054" s="46" t="n">
        <v>16329.64</v>
      </c>
    </row>
    <row r="1055" customFormat="false" ht="15" hidden="false" customHeight="false" outlineLevel="0" collapsed="false">
      <c r="A1055" s="37" t="n">
        <v>501440</v>
      </c>
      <c r="B1055" s="37" t="s">
        <v>1163</v>
      </c>
      <c r="C1055" s="37" t="n">
        <v>202601</v>
      </c>
      <c r="D1055" s="37" t="s">
        <v>62</v>
      </c>
      <c r="E1055" s="37" t="s">
        <v>98</v>
      </c>
      <c r="F1055" s="37" t="s">
        <v>196</v>
      </c>
      <c r="G1055" s="37" t="s">
        <v>358</v>
      </c>
      <c r="H1055" s="37" t="s">
        <v>359</v>
      </c>
      <c r="I1055" s="37" t="s">
        <v>360</v>
      </c>
      <c r="J1055" s="37" t="s">
        <v>1164</v>
      </c>
      <c r="K1055" s="45" t="n">
        <v>0</v>
      </c>
      <c r="L1055" s="46" t="n">
        <v>13595.22</v>
      </c>
    </row>
    <row r="1056" customFormat="false" ht="15" hidden="false" customHeight="false" outlineLevel="0" collapsed="false">
      <c r="A1056" s="37" t="n">
        <v>501771</v>
      </c>
      <c r="B1056" s="37" t="s">
        <v>1163</v>
      </c>
      <c r="C1056" s="37" t="n">
        <v>202601</v>
      </c>
      <c r="D1056" s="37" t="s">
        <v>63</v>
      </c>
      <c r="E1056" s="37" t="s">
        <v>103</v>
      </c>
      <c r="F1056" s="37" t="s">
        <v>205</v>
      </c>
      <c r="G1056" s="37" t="s">
        <v>358</v>
      </c>
      <c r="H1056" s="37" t="s">
        <v>921</v>
      </c>
      <c r="I1056" s="37" t="s">
        <v>728</v>
      </c>
      <c r="J1056" s="37" t="s">
        <v>1165</v>
      </c>
      <c r="K1056" s="45" t="n">
        <v>0</v>
      </c>
      <c r="L1056" s="46" t="n">
        <v>16723.14</v>
      </c>
    </row>
    <row r="1057" customFormat="false" ht="15" hidden="false" customHeight="false" outlineLevel="0" collapsed="false">
      <c r="A1057" s="37" t="n">
        <v>500086</v>
      </c>
      <c r="B1057" s="37" t="s">
        <v>1166</v>
      </c>
      <c r="C1057" s="37" t="n">
        <v>202601</v>
      </c>
      <c r="D1057" s="37" t="s">
        <v>58</v>
      </c>
      <c r="E1057" s="37" t="s">
        <v>97</v>
      </c>
      <c r="F1057" s="37" t="s">
        <v>194</v>
      </c>
      <c r="G1057" s="37" t="s">
        <v>354</v>
      </c>
      <c r="H1057" s="37"/>
      <c r="I1057" s="37" t="s">
        <v>355</v>
      </c>
      <c r="J1057" s="37" t="s">
        <v>1167</v>
      </c>
      <c r="K1057" s="45" t="n">
        <v>82.6</v>
      </c>
      <c r="L1057" s="46" t="n">
        <v>7599.22</v>
      </c>
    </row>
    <row r="1058" customFormat="false" ht="15" hidden="false" customHeight="false" outlineLevel="0" collapsed="false">
      <c r="A1058" s="37" t="n">
        <v>500360</v>
      </c>
      <c r="B1058" s="37" t="s">
        <v>1166</v>
      </c>
      <c r="C1058" s="37" t="n">
        <v>202601</v>
      </c>
      <c r="D1058" s="37" t="s">
        <v>58</v>
      </c>
      <c r="E1058" s="37" t="s">
        <v>106</v>
      </c>
      <c r="F1058" s="37" t="s">
        <v>194</v>
      </c>
      <c r="G1058" s="37" t="s">
        <v>354</v>
      </c>
      <c r="H1058" s="37"/>
      <c r="I1058" s="37" t="s">
        <v>355</v>
      </c>
      <c r="J1058" s="37" t="s">
        <v>1167</v>
      </c>
      <c r="K1058" s="45" t="n">
        <v>32.6</v>
      </c>
      <c r="L1058" s="46" t="n">
        <v>2313.41</v>
      </c>
    </row>
    <row r="1059" customFormat="false" ht="15" hidden="false" customHeight="false" outlineLevel="0" collapsed="false">
      <c r="A1059" s="37" t="n">
        <v>500494</v>
      </c>
      <c r="B1059" s="37" t="s">
        <v>1166</v>
      </c>
      <c r="C1059" s="37" t="n">
        <v>202601</v>
      </c>
      <c r="D1059" s="37" t="s">
        <v>59</v>
      </c>
      <c r="E1059" s="37" t="s">
        <v>97</v>
      </c>
      <c r="F1059" s="37" t="s">
        <v>194</v>
      </c>
      <c r="G1059" s="37" t="s">
        <v>354</v>
      </c>
      <c r="H1059" s="37"/>
      <c r="I1059" s="37" t="s">
        <v>355</v>
      </c>
      <c r="J1059" s="37" t="s">
        <v>1167</v>
      </c>
      <c r="K1059" s="45" t="n">
        <v>365.9</v>
      </c>
      <c r="L1059" s="46" t="n">
        <v>33664.76</v>
      </c>
    </row>
    <row r="1060" customFormat="false" ht="15" hidden="false" customHeight="false" outlineLevel="0" collapsed="false">
      <c r="A1060" s="37" t="n">
        <v>500696</v>
      </c>
      <c r="B1060" s="37" t="s">
        <v>1166</v>
      </c>
      <c r="C1060" s="37" t="n">
        <v>202601</v>
      </c>
      <c r="D1060" s="37" t="s">
        <v>59</v>
      </c>
      <c r="E1060" s="37" t="s">
        <v>106</v>
      </c>
      <c r="F1060" s="37" t="s">
        <v>194</v>
      </c>
      <c r="G1060" s="37" t="s">
        <v>354</v>
      </c>
      <c r="H1060" s="37"/>
      <c r="I1060" s="37" t="s">
        <v>355</v>
      </c>
      <c r="J1060" s="37" t="s">
        <v>1167</v>
      </c>
      <c r="K1060" s="45" t="n">
        <v>77.5</v>
      </c>
      <c r="L1060" s="46" t="n">
        <v>5502.73</v>
      </c>
    </row>
    <row r="1061" customFormat="false" ht="15" hidden="false" customHeight="false" outlineLevel="0" collapsed="false">
      <c r="A1061" s="37" t="n">
        <v>500823</v>
      </c>
      <c r="B1061" s="37" t="s">
        <v>1166</v>
      </c>
      <c r="C1061" s="37" t="n">
        <v>202601</v>
      </c>
      <c r="D1061" s="37" t="s">
        <v>60</v>
      </c>
      <c r="E1061" s="37" t="s">
        <v>97</v>
      </c>
      <c r="F1061" s="37" t="s">
        <v>194</v>
      </c>
      <c r="G1061" s="37" t="s">
        <v>354</v>
      </c>
      <c r="H1061" s="37"/>
      <c r="I1061" s="37" t="s">
        <v>355</v>
      </c>
      <c r="J1061" s="37" t="s">
        <v>1167</v>
      </c>
      <c r="K1061" s="45" t="n">
        <v>255.3</v>
      </c>
      <c r="L1061" s="46" t="n">
        <v>23483.53</v>
      </c>
    </row>
    <row r="1062" customFormat="false" ht="15" hidden="false" customHeight="false" outlineLevel="0" collapsed="false">
      <c r="A1062" s="37" t="n">
        <v>500951</v>
      </c>
      <c r="B1062" s="37" t="s">
        <v>1166</v>
      </c>
      <c r="C1062" s="37" t="n">
        <v>202601</v>
      </c>
      <c r="D1062" s="37" t="s">
        <v>60</v>
      </c>
      <c r="E1062" s="37" t="s">
        <v>101</v>
      </c>
      <c r="F1062" s="37" t="s">
        <v>194</v>
      </c>
      <c r="G1062" s="37" t="s">
        <v>354</v>
      </c>
      <c r="H1062" s="37"/>
      <c r="I1062" s="37" t="s">
        <v>355</v>
      </c>
      <c r="J1062" s="37" t="s">
        <v>1167</v>
      </c>
      <c r="K1062" s="45" t="n">
        <v>296.9</v>
      </c>
      <c r="L1062" s="46" t="n">
        <v>21972.55</v>
      </c>
    </row>
    <row r="1063" customFormat="false" ht="15" hidden="false" customHeight="false" outlineLevel="0" collapsed="false">
      <c r="A1063" s="37" t="n">
        <v>501016</v>
      </c>
      <c r="B1063" s="37" t="s">
        <v>1166</v>
      </c>
      <c r="C1063" s="37" t="n">
        <v>202601</v>
      </c>
      <c r="D1063" s="37" t="s">
        <v>60</v>
      </c>
      <c r="E1063" s="37" t="s">
        <v>106</v>
      </c>
      <c r="F1063" s="37" t="s">
        <v>194</v>
      </c>
      <c r="G1063" s="37" t="s">
        <v>354</v>
      </c>
      <c r="H1063" s="37"/>
      <c r="I1063" s="37" t="s">
        <v>355</v>
      </c>
      <c r="J1063" s="37" t="s">
        <v>1167</v>
      </c>
      <c r="K1063" s="45" t="n">
        <v>47.8</v>
      </c>
      <c r="L1063" s="46" t="n">
        <v>3396.2</v>
      </c>
    </row>
    <row r="1064" customFormat="false" ht="15" hidden="false" customHeight="false" outlineLevel="0" collapsed="false">
      <c r="A1064" s="37" t="n">
        <v>501130</v>
      </c>
      <c r="B1064" s="37" t="s">
        <v>1166</v>
      </c>
      <c r="C1064" s="37" t="n">
        <v>202601</v>
      </c>
      <c r="D1064" s="37" t="s">
        <v>61</v>
      </c>
      <c r="E1064" s="37" t="s">
        <v>97</v>
      </c>
      <c r="F1064" s="37" t="s">
        <v>194</v>
      </c>
      <c r="G1064" s="37" t="s">
        <v>354</v>
      </c>
      <c r="H1064" s="37"/>
      <c r="I1064" s="37" t="s">
        <v>355</v>
      </c>
      <c r="J1064" s="37" t="s">
        <v>1167</v>
      </c>
      <c r="K1064" s="45" t="n">
        <v>148.7</v>
      </c>
      <c r="L1064" s="46" t="n">
        <v>13681.83</v>
      </c>
    </row>
    <row r="1065" customFormat="false" ht="15" hidden="false" customHeight="false" outlineLevel="0" collapsed="false">
      <c r="A1065" s="37" t="n">
        <v>501244</v>
      </c>
      <c r="B1065" s="37" t="s">
        <v>1166</v>
      </c>
      <c r="C1065" s="37" t="n">
        <v>202601</v>
      </c>
      <c r="D1065" s="37" t="s">
        <v>61</v>
      </c>
      <c r="E1065" s="37" t="s">
        <v>101</v>
      </c>
      <c r="F1065" s="37" t="s">
        <v>194</v>
      </c>
      <c r="G1065" s="37" t="s">
        <v>354</v>
      </c>
      <c r="H1065" s="37"/>
      <c r="I1065" s="37" t="s">
        <v>355</v>
      </c>
      <c r="J1065" s="37" t="s">
        <v>1167</v>
      </c>
      <c r="K1065" s="45" t="n">
        <v>34.4</v>
      </c>
      <c r="L1065" s="46" t="n">
        <v>2542.86</v>
      </c>
    </row>
    <row r="1066" customFormat="false" ht="15" hidden="false" customHeight="false" outlineLevel="0" collapsed="false">
      <c r="A1066" s="37" t="n">
        <v>501290</v>
      </c>
      <c r="B1066" s="37" t="s">
        <v>1166</v>
      </c>
      <c r="C1066" s="37" t="n">
        <v>202601</v>
      </c>
      <c r="D1066" s="37" t="s">
        <v>61</v>
      </c>
      <c r="E1066" s="37" t="s">
        <v>106</v>
      </c>
      <c r="F1066" s="37" t="s">
        <v>194</v>
      </c>
      <c r="G1066" s="37" t="s">
        <v>354</v>
      </c>
      <c r="H1066" s="37"/>
      <c r="I1066" s="37" t="s">
        <v>355</v>
      </c>
      <c r="J1066" s="37" t="s">
        <v>1167</v>
      </c>
      <c r="K1066" s="45" t="n">
        <v>27.2</v>
      </c>
      <c r="L1066" s="46" t="n">
        <v>1930.96</v>
      </c>
    </row>
    <row r="1067" customFormat="false" ht="15" hidden="false" customHeight="false" outlineLevel="0" collapsed="false">
      <c r="A1067" s="37" t="n">
        <v>501391</v>
      </c>
      <c r="B1067" s="37" t="s">
        <v>1166</v>
      </c>
      <c r="C1067" s="37" t="n">
        <v>202601</v>
      </c>
      <c r="D1067" s="37" t="s">
        <v>62</v>
      </c>
      <c r="E1067" s="37" t="s">
        <v>97</v>
      </c>
      <c r="F1067" s="37" t="s">
        <v>194</v>
      </c>
      <c r="G1067" s="37" t="s">
        <v>354</v>
      </c>
      <c r="H1067" s="37"/>
      <c r="I1067" s="37" t="s">
        <v>355</v>
      </c>
      <c r="J1067" s="37" t="s">
        <v>1167</v>
      </c>
      <c r="K1067" s="45" t="n">
        <v>149.1</v>
      </c>
      <c r="L1067" s="46" t="n">
        <v>13721.2</v>
      </c>
    </row>
    <row r="1068" customFormat="false" ht="15" hidden="false" customHeight="false" outlineLevel="0" collapsed="false">
      <c r="A1068" s="37" t="n">
        <v>501495</v>
      </c>
      <c r="B1068" s="37" t="s">
        <v>1166</v>
      </c>
      <c r="C1068" s="37" t="n">
        <v>202601</v>
      </c>
      <c r="D1068" s="37" t="s">
        <v>62</v>
      </c>
      <c r="E1068" s="37" t="s">
        <v>101</v>
      </c>
      <c r="F1068" s="37" t="s">
        <v>194</v>
      </c>
      <c r="G1068" s="37" t="s">
        <v>354</v>
      </c>
      <c r="H1068" s="37"/>
      <c r="I1068" s="37" t="s">
        <v>355</v>
      </c>
      <c r="J1068" s="37" t="s">
        <v>1167</v>
      </c>
      <c r="K1068" s="45" t="n">
        <v>575</v>
      </c>
      <c r="L1068" s="46" t="n">
        <v>42549.29</v>
      </c>
    </row>
    <row r="1069" customFormat="false" ht="15" hidden="false" customHeight="false" outlineLevel="0" collapsed="false">
      <c r="A1069" s="37" t="n">
        <v>501541</v>
      </c>
      <c r="B1069" s="37" t="s">
        <v>1166</v>
      </c>
      <c r="C1069" s="37" t="n">
        <v>202601</v>
      </c>
      <c r="D1069" s="37" t="s">
        <v>62</v>
      </c>
      <c r="E1069" s="37" t="s">
        <v>103</v>
      </c>
      <c r="F1069" s="37" t="s">
        <v>205</v>
      </c>
      <c r="G1069" s="37" t="s">
        <v>358</v>
      </c>
      <c r="H1069" s="37" t="s">
        <v>897</v>
      </c>
      <c r="I1069" s="37" t="s">
        <v>898</v>
      </c>
      <c r="J1069" s="37" t="s">
        <v>1168</v>
      </c>
      <c r="K1069" s="45" t="n">
        <v>0</v>
      </c>
      <c r="L1069" s="46" t="n">
        <v>114218.9</v>
      </c>
    </row>
    <row r="1070" customFormat="false" ht="15" hidden="false" customHeight="false" outlineLevel="0" collapsed="false">
      <c r="A1070" s="37" t="n">
        <v>501637</v>
      </c>
      <c r="B1070" s="37" t="s">
        <v>1166</v>
      </c>
      <c r="C1070" s="37" t="n">
        <v>202601</v>
      </c>
      <c r="D1070" s="37" t="s">
        <v>63</v>
      </c>
      <c r="E1070" s="37" t="s">
        <v>97</v>
      </c>
      <c r="F1070" s="37" t="s">
        <v>194</v>
      </c>
      <c r="G1070" s="37" t="s">
        <v>354</v>
      </c>
      <c r="H1070" s="37"/>
      <c r="I1070" s="37" t="s">
        <v>355</v>
      </c>
      <c r="J1070" s="37" t="s">
        <v>1167</v>
      </c>
      <c r="K1070" s="45" t="n">
        <v>65.2</v>
      </c>
      <c r="L1070" s="46" t="n">
        <v>6002.16</v>
      </c>
    </row>
    <row r="1071" customFormat="false" ht="15" hidden="false" customHeight="false" outlineLevel="0" collapsed="false">
      <c r="A1071" s="37" t="n">
        <v>501741</v>
      </c>
      <c r="B1071" s="37" t="s">
        <v>1166</v>
      </c>
      <c r="C1071" s="37" t="n">
        <v>202601</v>
      </c>
      <c r="D1071" s="37" t="s">
        <v>63</v>
      </c>
      <c r="E1071" s="37" t="s">
        <v>101</v>
      </c>
      <c r="F1071" s="37" t="s">
        <v>194</v>
      </c>
      <c r="G1071" s="37" t="s">
        <v>354</v>
      </c>
      <c r="H1071" s="37"/>
      <c r="I1071" s="37" t="s">
        <v>355</v>
      </c>
      <c r="J1071" s="37" t="s">
        <v>1167</v>
      </c>
      <c r="K1071" s="45" t="n">
        <v>270.3</v>
      </c>
      <c r="L1071" s="46" t="n">
        <v>20002.9</v>
      </c>
    </row>
    <row r="1072" customFormat="false" ht="15" hidden="false" customHeight="false" outlineLevel="0" collapsed="false">
      <c r="A1072" s="37" t="n">
        <v>501871</v>
      </c>
      <c r="B1072" s="37" t="s">
        <v>1166</v>
      </c>
      <c r="C1072" s="37" t="n">
        <v>202601</v>
      </c>
      <c r="D1072" s="37" t="s">
        <v>64</v>
      </c>
      <c r="E1072" s="37" t="s">
        <v>97</v>
      </c>
      <c r="F1072" s="37" t="s">
        <v>194</v>
      </c>
      <c r="G1072" s="37" t="s">
        <v>354</v>
      </c>
      <c r="H1072" s="37"/>
      <c r="I1072" s="37" t="s">
        <v>355</v>
      </c>
      <c r="J1072" s="37" t="s">
        <v>1167</v>
      </c>
      <c r="K1072" s="45" t="n">
        <v>108.6</v>
      </c>
      <c r="L1072" s="46" t="n">
        <v>9990.72</v>
      </c>
    </row>
    <row r="1073" customFormat="false" ht="15" hidden="false" customHeight="false" outlineLevel="0" collapsed="false">
      <c r="A1073" s="37" t="n">
        <v>501961</v>
      </c>
      <c r="B1073" s="37" t="s">
        <v>1166</v>
      </c>
      <c r="C1073" s="37" t="n">
        <v>202601</v>
      </c>
      <c r="D1073" s="37" t="s">
        <v>64</v>
      </c>
      <c r="E1073" s="37" t="s">
        <v>101</v>
      </c>
      <c r="F1073" s="37" t="s">
        <v>194</v>
      </c>
      <c r="G1073" s="37" t="s">
        <v>354</v>
      </c>
      <c r="H1073" s="37"/>
      <c r="I1073" s="37" t="s">
        <v>355</v>
      </c>
      <c r="J1073" s="37" t="s">
        <v>1167</v>
      </c>
      <c r="K1073" s="45" t="n">
        <v>405.7</v>
      </c>
      <c r="L1073" s="46" t="n">
        <v>30021.07</v>
      </c>
    </row>
    <row r="1074" customFormat="false" ht="15" hidden="false" customHeight="false" outlineLevel="0" collapsed="false">
      <c r="A1074" s="37" t="n">
        <v>502087</v>
      </c>
      <c r="B1074" s="37" t="s">
        <v>1166</v>
      </c>
      <c r="C1074" s="37" t="n">
        <v>202601</v>
      </c>
      <c r="D1074" s="37" t="s">
        <v>65</v>
      </c>
      <c r="E1074" s="37" t="s">
        <v>97</v>
      </c>
      <c r="F1074" s="37" t="s">
        <v>194</v>
      </c>
      <c r="G1074" s="37" t="s">
        <v>354</v>
      </c>
      <c r="H1074" s="37"/>
      <c r="I1074" s="37" t="s">
        <v>355</v>
      </c>
      <c r="J1074" s="37" t="s">
        <v>1167</v>
      </c>
      <c r="K1074" s="45" t="n">
        <v>111.8</v>
      </c>
      <c r="L1074" s="46" t="n">
        <v>10284.4</v>
      </c>
    </row>
    <row r="1075" customFormat="false" ht="15" hidden="false" customHeight="false" outlineLevel="0" collapsed="false">
      <c r="A1075" s="37" t="n">
        <v>502166</v>
      </c>
      <c r="B1075" s="37" t="s">
        <v>1166</v>
      </c>
      <c r="C1075" s="37" t="n">
        <v>202601</v>
      </c>
      <c r="D1075" s="37" t="s">
        <v>65</v>
      </c>
      <c r="E1075" s="37" t="s">
        <v>101</v>
      </c>
      <c r="F1075" s="37" t="s">
        <v>194</v>
      </c>
      <c r="G1075" s="37" t="s">
        <v>354</v>
      </c>
      <c r="H1075" s="37"/>
      <c r="I1075" s="37" t="s">
        <v>355</v>
      </c>
      <c r="J1075" s="37" t="s">
        <v>1167</v>
      </c>
      <c r="K1075" s="45" t="n">
        <v>248.9</v>
      </c>
      <c r="L1075" s="46" t="n">
        <v>18420.62</v>
      </c>
    </row>
    <row r="1076" customFormat="false" ht="15" hidden="false" customHeight="false" outlineLevel="0" collapsed="false">
      <c r="A1076" s="37" t="n">
        <v>502270</v>
      </c>
      <c r="B1076" s="37" t="s">
        <v>1166</v>
      </c>
      <c r="C1076" s="37" t="n">
        <v>202601</v>
      </c>
      <c r="D1076" s="37" t="s">
        <v>66</v>
      </c>
      <c r="E1076" s="37" t="s">
        <v>97</v>
      </c>
      <c r="F1076" s="37" t="s">
        <v>194</v>
      </c>
      <c r="G1076" s="37" t="s">
        <v>354</v>
      </c>
      <c r="H1076" s="37"/>
      <c r="I1076" s="37" t="s">
        <v>355</v>
      </c>
      <c r="J1076" s="37" t="s">
        <v>1167</v>
      </c>
      <c r="K1076" s="45" t="n">
        <v>32.6</v>
      </c>
      <c r="L1076" s="46" t="n">
        <v>2998.44</v>
      </c>
    </row>
    <row r="1077" customFormat="false" ht="15" hidden="false" customHeight="false" outlineLevel="0" collapsed="false">
      <c r="A1077" s="37" t="n">
        <v>500875</v>
      </c>
      <c r="B1077" s="37" t="s">
        <v>1169</v>
      </c>
      <c r="C1077" s="37" t="n">
        <v>202601</v>
      </c>
      <c r="D1077" s="37" t="s">
        <v>60</v>
      </c>
      <c r="E1077" s="37" t="s">
        <v>98</v>
      </c>
      <c r="F1077" s="37" t="s">
        <v>196</v>
      </c>
      <c r="G1077" s="37" t="s">
        <v>358</v>
      </c>
      <c r="H1077" s="37" t="s">
        <v>359</v>
      </c>
      <c r="I1077" s="37" t="s">
        <v>360</v>
      </c>
      <c r="J1077" s="37" t="s">
        <v>1170</v>
      </c>
      <c r="K1077" s="45" t="n">
        <v>0</v>
      </c>
      <c r="L1077" s="46" t="n">
        <v>4487.48</v>
      </c>
    </row>
    <row r="1078" customFormat="false" ht="15" hidden="false" customHeight="false" outlineLevel="0" collapsed="false">
      <c r="A1078" s="37" t="n">
        <v>501540</v>
      </c>
      <c r="B1078" s="37" t="s">
        <v>1169</v>
      </c>
      <c r="C1078" s="37" t="n">
        <v>202601</v>
      </c>
      <c r="D1078" s="37" t="s">
        <v>62</v>
      </c>
      <c r="E1078" s="37" t="s">
        <v>103</v>
      </c>
      <c r="F1078" s="37" t="s">
        <v>205</v>
      </c>
      <c r="G1078" s="37" t="s">
        <v>358</v>
      </c>
      <c r="H1078" s="37" t="s">
        <v>897</v>
      </c>
      <c r="I1078" s="37" t="s">
        <v>898</v>
      </c>
      <c r="J1078" s="37" t="s">
        <v>1171</v>
      </c>
      <c r="K1078" s="45" t="n">
        <v>0</v>
      </c>
      <c r="L1078" s="46" t="n">
        <v>107234.25</v>
      </c>
    </row>
    <row r="1079" customFormat="false" ht="15" hidden="false" customHeight="false" outlineLevel="0" collapsed="false">
      <c r="A1079" s="37" t="n">
        <v>501685</v>
      </c>
      <c r="B1079" s="37" t="s">
        <v>1169</v>
      </c>
      <c r="C1079" s="37" t="n">
        <v>202601</v>
      </c>
      <c r="D1079" s="37" t="s">
        <v>63</v>
      </c>
      <c r="E1079" s="37" t="s">
        <v>98</v>
      </c>
      <c r="F1079" s="37" t="s">
        <v>196</v>
      </c>
      <c r="G1079" s="37" t="s">
        <v>358</v>
      </c>
      <c r="H1079" s="37" t="s">
        <v>359</v>
      </c>
      <c r="I1079" s="37" t="s">
        <v>360</v>
      </c>
      <c r="J1079" s="37" t="s">
        <v>1172</v>
      </c>
      <c r="K1079" s="45" t="n">
        <v>0</v>
      </c>
      <c r="L1079" s="46" t="n">
        <v>3236.25</v>
      </c>
    </row>
    <row r="1080" customFormat="false" ht="15" hidden="false" customHeight="false" outlineLevel="0" collapsed="false">
      <c r="A1080" s="37" t="n">
        <v>500403</v>
      </c>
      <c r="B1080" s="37" t="s">
        <v>1173</v>
      </c>
      <c r="C1080" s="37" t="n">
        <v>202601</v>
      </c>
      <c r="D1080" s="37" t="s">
        <v>58</v>
      </c>
      <c r="E1080" s="37" t="s">
        <v>109</v>
      </c>
      <c r="F1080" s="37" t="s">
        <v>201</v>
      </c>
      <c r="G1080" s="37" t="s">
        <v>358</v>
      </c>
      <c r="H1080" s="37" t="s">
        <v>928</v>
      </c>
      <c r="I1080" s="37" t="s">
        <v>929</v>
      </c>
      <c r="J1080" s="37" t="s">
        <v>1174</v>
      </c>
      <c r="K1080" s="45" t="n">
        <v>0</v>
      </c>
      <c r="L1080" s="46" t="n">
        <v>177389.1</v>
      </c>
    </row>
    <row r="1081" customFormat="false" ht="15" hidden="false" customHeight="false" outlineLevel="0" collapsed="false">
      <c r="A1081" s="37" t="n">
        <v>500421</v>
      </c>
      <c r="B1081" s="37" t="s">
        <v>1173</v>
      </c>
      <c r="C1081" s="37" t="n">
        <v>202601</v>
      </c>
      <c r="D1081" s="37" t="s">
        <v>58</v>
      </c>
      <c r="E1081" s="37" t="s">
        <v>110</v>
      </c>
      <c r="F1081" s="37" t="s">
        <v>201</v>
      </c>
      <c r="G1081" s="37" t="s">
        <v>358</v>
      </c>
      <c r="H1081" s="37" t="s">
        <v>547</v>
      </c>
      <c r="I1081" s="37" t="s">
        <v>548</v>
      </c>
      <c r="J1081" s="37" t="s">
        <v>1174</v>
      </c>
      <c r="K1081" s="45" t="n">
        <v>0</v>
      </c>
      <c r="L1081" s="46" t="n">
        <v>228134.51</v>
      </c>
    </row>
    <row r="1082" customFormat="false" ht="15" hidden="false" customHeight="false" outlineLevel="0" collapsed="false">
      <c r="A1082" s="37" t="n">
        <v>500440</v>
      </c>
      <c r="B1082" s="37" t="s">
        <v>1173</v>
      </c>
      <c r="C1082" s="37" t="n">
        <v>202601</v>
      </c>
      <c r="D1082" s="37" t="s">
        <v>58</v>
      </c>
      <c r="E1082" s="37" t="s">
        <v>111</v>
      </c>
      <c r="F1082" s="37" t="s">
        <v>201</v>
      </c>
      <c r="G1082" s="37" t="s">
        <v>358</v>
      </c>
      <c r="H1082" s="37" t="s">
        <v>549</v>
      </c>
      <c r="I1082" s="37" t="s">
        <v>550</v>
      </c>
      <c r="J1082" s="37" t="s">
        <v>1174</v>
      </c>
      <c r="K1082" s="45" t="n">
        <v>0</v>
      </c>
      <c r="L1082" s="46" t="n">
        <v>139698.91</v>
      </c>
    </row>
    <row r="1083" customFormat="false" ht="15" hidden="false" customHeight="false" outlineLevel="0" collapsed="false">
      <c r="A1083" s="37" t="n">
        <v>500683</v>
      </c>
      <c r="B1083" s="37" t="s">
        <v>1173</v>
      </c>
      <c r="C1083" s="37" t="n">
        <v>202601</v>
      </c>
      <c r="D1083" s="37" t="s">
        <v>59</v>
      </c>
      <c r="E1083" s="37" t="s">
        <v>105</v>
      </c>
      <c r="F1083" s="37" t="s">
        <v>201</v>
      </c>
      <c r="G1083" s="37" t="s">
        <v>358</v>
      </c>
      <c r="H1083" s="37" t="s">
        <v>795</v>
      </c>
      <c r="I1083" s="37" t="s">
        <v>796</v>
      </c>
      <c r="J1083" s="37" t="s">
        <v>1174</v>
      </c>
      <c r="K1083" s="45" t="n">
        <v>0</v>
      </c>
      <c r="L1083" s="46" t="n">
        <v>406265.73</v>
      </c>
    </row>
    <row r="1084" customFormat="false" ht="15" hidden="false" customHeight="false" outlineLevel="0" collapsed="false">
      <c r="A1084" s="37" t="n">
        <v>500733</v>
      </c>
      <c r="B1084" s="37" t="s">
        <v>1173</v>
      </c>
      <c r="C1084" s="37" t="n">
        <v>202601</v>
      </c>
      <c r="D1084" s="37" t="s">
        <v>59</v>
      </c>
      <c r="E1084" s="37" t="s">
        <v>107</v>
      </c>
      <c r="F1084" s="37" t="s">
        <v>201</v>
      </c>
      <c r="G1084" s="37" t="s">
        <v>358</v>
      </c>
      <c r="H1084" s="37" t="s">
        <v>1095</v>
      </c>
      <c r="I1084" s="37" t="s">
        <v>1096</v>
      </c>
      <c r="J1084" s="37" t="s">
        <v>1174</v>
      </c>
      <c r="K1084" s="45" t="n">
        <v>0</v>
      </c>
      <c r="L1084" s="46" t="n">
        <v>127248.59</v>
      </c>
    </row>
    <row r="1085" customFormat="false" ht="15" hidden="false" customHeight="false" outlineLevel="0" collapsed="false">
      <c r="A1085" s="37" t="n">
        <v>500763</v>
      </c>
      <c r="B1085" s="37" t="s">
        <v>1173</v>
      </c>
      <c r="C1085" s="37" t="n">
        <v>202601</v>
      </c>
      <c r="D1085" s="37" t="s">
        <v>59</v>
      </c>
      <c r="E1085" s="37" t="s">
        <v>110</v>
      </c>
      <c r="F1085" s="37" t="s">
        <v>201</v>
      </c>
      <c r="G1085" s="37" t="s">
        <v>358</v>
      </c>
      <c r="H1085" s="37" t="s">
        <v>849</v>
      </c>
      <c r="I1085" s="37" t="s">
        <v>850</v>
      </c>
      <c r="J1085" s="37" t="s">
        <v>1174</v>
      </c>
      <c r="K1085" s="45" t="n">
        <v>0</v>
      </c>
      <c r="L1085" s="46" t="n">
        <v>194818.01</v>
      </c>
    </row>
    <row r="1086" customFormat="false" ht="15" hidden="false" customHeight="false" outlineLevel="0" collapsed="false">
      <c r="A1086" s="37" t="n">
        <v>500776</v>
      </c>
      <c r="B1086" s="37" t="s">
        <v>1173</v>
      </c>
      <c r="C1086" s="37" t="n">
        <v>202601</v>
      </c>
      <c r="D1086" s="37" t="s">
        <v>59</v>
      </c>
      <c r="E1086" s="37" t="s">
        <v>111</v>
      </c>
      <c r="F1086" s="37" t="s">
        <v>201</v>
      </c>
      <c r="G1086" s="37" t="s">
        <v>358</v>
      </c>
      <c r="H1086" s="37" t="s">
        <v>851</v>
      </c>
      <c r="I1086" s="37" t="s">
        <v>852</v>
      </c>
      <c r="J1086" s="37" t="s">
        <v>1174</v>
      </c>
      <c r="K1086" s="45" t="n">
        <v>0</v>
      </c>
      <c r="L1086" s="46" t="n">
        <v>226241.04</v>
      </c>
    </row>
    <row r="1087" customFormat="false" ht="15" hidden="false" customHeight="false" outlineLevel="0" collapsed="false">
      <c r="A1087" s="37" t="n">
        <v>500991</v>
      </c>
      <c r="B1087" s="37" t="s">
        <v>1173</v>
      </c>
      <c r="C1087" s="37" t="n">
        <v>202601</v>
      </c>
      <c r="D1087" s="37" t="s">
        <v>60</v>
      </c>
      <c r="E1087" s="37" t="s">
        <v>103</v>
      </c>
      <c r="F1087" s="37" t="s">
        <v>205</v>
      </c>
      <c r="G1087" s="37" t="s">
        <v>358</v>
      </c>
      <c r="H1087" s="37" t="s">
        <v>727</v>
      </c>
      <c r="I1087" s="37" t="s">
        <v>728</v>
      </c>
      <c r="J1087" s="37" t="s">
        <v>1175</v>
      </c>
      <c r="K1087" s="45" t="n">
        <v>0</v>
      </c>
      <c r="L1087" s="46" t="n">
        <v>19098.66</v>
      </c>
    </row>
    <row r="1088" customFormat="false" ht="15" hidden="false" customHeight="false" outlineLevel="0" collapsed="false">
      <c r="A1088" s="37" t="n">
        <v>501000</v>
      </c>
      <c r="B1088" s="37" t="s">
        <v>1173</v>
      </c>
      <c r="C1088" s="37" t="n">
        <v>202601</v>
      </c>
      <c r="D1088" s="37" t="s">
        <v>60</v>
      </c>
      <c r="E1088" s="37" t="s">
        <v>104</v>
      </c>
      <c r="F1088" s="37" t="s">
        <v>201</v>
      </c>
      <c r="G1088" s="37" t="s">
        <v>358</v>
      </c>
      <c r="H1088" s="37" t="s">
        <v>1097</v>
      </c>
      <c r="I1088" s="37" t="s">
        <v>1098</v>
      </c>
      <c r="J1088" s="37" t="s">
        <v>1174</v>
      </c>
      <c r="K1088" s="45" t="n">
        <v>0</v>
      </c>
      <c r="L1088" s="46" t="n">
        <v>107970.58</v>
      </c>
    </row>
    <row r="1089" customFormat="false" ht="15" hidden="false" customHeight="false" outlineLevel="0" collapsed="false">
      <c r="A1089" s="37" t="n">
        <v>501009</v>
      </c>
      <c r="B1089" s="37" t="s">
        <v>1173</v>
      </c>
      <c r="C1089" s="37" t="n">
        <v>202601</v>
      </c>
      <c r="D1089" s="37" t="s">
        <v>60</v>
      </c>
      <c r="E1089" s="37" t="s">
        <v>105</v>
      </c>
      <c r="F1089" s="37" t="s">
        <v>201</v>
      </c>
      <c r="G1089" s="37" t="s">
        <v>358</v>
      </c>
      <c r="H1089" s="37" t="s">
        <v>931</v>
      </c>
      <c r="I1089" s="37" t="s">
        <v>932</v>
      </c>
      <c r="J1089" s="37" t="s">
        <v>1174</v>
      </c>
      <c r="K1089" s="45" t="n">
        <v>0</v>
      </c>
      <c r="L1089" s="46" t="n">
        <v>332948.65</v>
      </c>
    </row>
    <row r="1090" customFormat="false" ht="15" hidden="false" customHeight="false" outlineLevel="0" collapsed="false">
      <c r="A1090" s="37" t="n">
        <v>501077</v>
      </c>
      <c r="B1090" s="37" t="s">
        <v>1173</v>
      </c>
      <c r="C1090" s="37" t="n">
        <v>202601</v>
      </c>
      <c r="D1090" s="37" t="s">
        <v>60</v>
      </c>
      <c r="E1090" s="37" t="s">
        <v>110</v>
      </c>
      <c r="F1090" s="37" t="s">
        <v>201</v>
      </c>
      <c r="G1090" s="37" t="s">
        <v>358</v>
      </c>
      <c r="H1090" s="37" t="s">
        <v>1010</v>
      </c>
      <c r="I1090" s="37" t="s">
        <v>548</v>
      </c>
      <c r="J1090" s="37" t="s">
        <v>1174</v>
      </c>
      <c r="K1090" s="45" t="n">
        <v>0</v>
      </c>
      <c r="L1090" s="46" t="n">
        <v>110687.52</v>
      </c>
    </row>
    <row r="1091" customFormat="false" ht="15" hidden="false" customHeight="false" outlineLevel="0" collapsed="false">
      <c r="A1091" s="37" t="n">
        <v>501088</v>
      </c>
      <c r="B1091" s="37" t="s">
        <v>1173</v>
      </c>
      <c r="C1091" s="37" t="n">
        <v>202601</v>
      </c>
      <c r="D1091" s="37" t="s">
        <v>60</v>
      </c>
      <c r="E1091" s="37" t="s">
        <v>111</v>
      </c>
      <c r="F1091" s="37" t="s">
        <v>201</v>
      </c>
      <c r="G1091" s="37" t="s">
        <v>358</v>
      </c>
      <c r="H1091" s="37" t="s">
        <v>1011</v>
      </c>
      <c r="I1091" s="37" t="s">
        <v>1012</v>
      </c>
      <c r="J1091" s="37" t="s">
        <v>1174</v>
      </c>
      <c r="K1091" s="45" t="n">
        <v>0</v>
      </c>
      <c r="L1091" s="46" t="n">
        <v>75948.14</v>
      </c>
    </row>
    <row r="1092" customFormat="false" ht="15" hidden="false" customHeight="false" outlineLevel="0" collapsed="false">
      <c r="A1092" s="37" t="n">
        <v>501280</v>
      </c>
      <c r="B1092" s="37" t="s">
        <v>1173</v>
      </c>
      <c r="C1092" s="37" t="n">
        <v>202601</v>
      </c>
      <c r="D1092" s="37" t="s">
        <v>61</v>
      </c>
      <c r="E1092" s="37" t="s">
        <v>105</v>
      </c>
      <c r="F1092" s="37" t="s">
        <v>201</v>
      </c>
      <c r="G1092" s="37" t="s">
        <v>358</v>
      </c>
      <c r="H1092" s="37" t="s">
        <v>933</v>
      </c>
      <c r="I1092" s="37" t="s">
        <v>934</v>
      </c>
      <c r="J1092" s="37" t="s">
        <v>1174</v>
      </c>
      <c r="K1092" s="45" t="n">
        <v>0</v>
      </c>
      <c r="L1092" s="46" t="n">
        <v>340443.18</v>
      </c>
    </row>
    <row r="1093" customFormat="false" ht="15" hidden="false" customHeight="false" outlineLevel="0" collapsed="false">
      <c r="A1093" s="37" t="n">
        <v>501318</v>
      </c>
      <c r="B1093" s="37" t="s">
        <v>1173</v>
      </c>
      <c r="C1093" s="37" t="n">
        <v>202601</v>
      </c>
      <c r="D1093" s="37" t="s">
        <v>61</v>
      </c>
      <c r="E1093" s="37" t="s">
        <v>107</v>
      </c>
      <c r="F1093" s="37" t="s">
        <v>201</v>
      </c>
      <c r="G1093" s="37" t="s">
        <v>358</v>
      </c>
      <c r="H1093" s="37" t="s">
        <v>1176</v>
      </c>
      <c r="I1093" s="37" t="s">
        <v>1096</v>
      </c>
      <c r="J1093" s="37" t="s">
        <v>1174</v>
      </c>
      <c r="K1093" s="45" t="n">
        <v>0</v>
      </c>
      <c r="L1093" s="46" t="n">
        <v>14648.74</v>
      </c>
    </row>
    <row r="1094" customFormat="false" ht="15" hidden="false" customHeight="false" outlineLevel="0" collapsed="false">
      <c r="A1094" s="37" t="n">
        <v>501346</v>
      </c>
      <c r="B1094" s="37" t="s">
        <v>1173</v>
      </c>
      <c r="C1094" s="37" t="n">
        <v>202601</v>
      </c>
      <c r="D1094" s="37" t="s">
        <v>61</v>
      </c>
      <c r="E1094" s="37" t="s">
        <v>110</v>
      </c>
      <c r="F1094" s="37" t="s">
        <v>201</v>
      </c>
      <c r="G1094" s="37" t="s">
        <v>358</v>
      </c>
      <c r="H1094" s="37" t="s">
        <v>1014</v>
      </c>
      <c r="I1094" s="37" t="s">
        <v>1015</v>
      </c>
      <c r="J1094" s="37" t="s">
        <v>1174</v>
      </c>
      <c r="K1094" s="45" t="n">
        <v>0</v>
      </c>
      <c r="L1094" s="46" t="n">
        <v>78804.99</v>
      </c>
    </row>
    <row r="1095" customFormat="false" ht="15" hidden="false" customHeight="false" outlineLevel="0" collapsed="false">
      <c r="A1095" s="37" t="n">
        <v>501357</v>
      </c>
      <c r="B1095" s="37" t="s">
        <v>1173</v>
      </c>
      <c r="C1095" s="37" t="n">
        <v>202601</v>
      </c>
      <c r="D1095" s="37" t="s">
        <v>61</v>
      </c>
      <c r="E1095" s="37" t="s">
        <v>111</v>
      </c>
      <c r="F1095" s="37" t="s">
        <v>201</v>
      </c>
      <c r="G1095" s="37" t="s">
        <v>358</v>
      </c>
      <c r="H1095" s="37" t="s">
        <v>1016</v>
      </c>
      <c r="I1095" s="37" t="s">
        <v>1017</v>
      </c>
      <c r="J1095" s="37" t="s">
        <v>1174</v>
      </c>
      <c r="K1095" s="45" t="n">
        <v>0</v>
      </c>
      <c r="L1095" s="46" t="n">
        <v>95023.52</v>
      </c>
    </row>
    <row r="1096" customFormat="false" ht="15" hidden="false" customHeight="false" outlineLevel="0" collapsed="false">
      <c r="A1096" s="37" t="n">
        <v>501474</v>
      </c>
      <c r="B1096" s="37" t="s">
        <v>1173</v>
      </c>
      <c r="C1096" s="37" t="n">
        <v>202601</v>
      </c>
      <c r="D1096" s="37" t="s">
        <v>62</v>
      </c>
      <c r="E1096" s="37" t="s">
        <v>100</v>
      </c>
      <c r="F1096" s="37" t="s">
        <v>201</v>
      </c>
      <c r="G1096" s="37" t="s">
        <v>358</v>
      </c>
      <c r="H1096" s="37" t="s">
        <v>797</v>
      </c>
      <c r="I1096" s="37" t="s">
        <v>646</v>
      </c>
      <c r="J1096" s="37" t="s">
        <v>1174</v>
      </c>
      <c r="K1096" s="45" t="n">
        <v>0</v>
      </c>
      <c r="L1096" s="46" t="n">
        <v>35193.32</v>
      </c>
    </row>
    <row r="1097" customFormat="false" ht="15" hidden="false" customHeight="false" outlineLevel="0" collapsed="false">
      <c r="A1097" s="37" t="n">
        <v>501524</v>
      </c>
      <c r="B1097" s="37" t="s">
        <v>1173</v>
      </c>
      <c r="C1097" s="37" t="n">
        <v>202601</v>
      </c>
      <c r="D1097" s="37" t="s">
        <v>62</v>
      </c>
      <c r="E1097" s="37" t="s">
        <v>102</v>
      </c>
      <c r="F1097" s="37" t="s">
        <v>205</v>
      </c>
      <c r="G1097" s="37" t="s">
        <v>358</v>
      </c>
      <c r="H1097" s="37" t="s">
        <v>810</v>
      </c>
      <c r="I1097" s="37" t="s">
        <v>811</v>
      </c>
      <c r="J1097" s="37" t="s">
        <v>1177</v>
      </c>
      <c r="K1097" s="45" t="n">
        <v>0</v>
      </c>
      <c r="L1097" s="46" t="n">
        <v>181920.55</v>
      </c>
    </row>
    <row r="1098" customFormat="false" ht="15" hidden="false" customHeight="false" outlineLevel="0" collapsed="false">
      <c r="A1098" s="37" t="n">
        <v>501558</v>
      </c>
      <c r="B1098" s="37" t="s">
        <v>1173</v>
      </c>
      <c r="C1098" s="37" t="n">
        <v>202601</v>
      </c>
      <c r="D1098" s="37" t="s">
        <v>62</v>
      </c>
      <c r="E1098" s="37" t="s">
        <v>105</v>
      </c>
      <c r="F1098" s="37" t="s">
        <v>201</v>
      </c>
      <c r="G1098" s="37" t="s">
        <v>358</v>
      </c>
      <c r="H1098" s="37" t="s">
        <v>1178</v>
      </c>
      <c r="I1098" s="37" t="s">
        <v>1179</v>
      </c>
      <c r="J1098" s="37" t="s">
        <v>1174</v>
      </c>
      <c r="K1098" s="45" t="n">
        <v>0</v>
      </c>
      <c r="L1098" s="46" t="n">
        <v>71794.53</v>
      </c>
    </row>
    <row r="1099" customFormat="false" ht="15" hidden="false" customHeight="false" outlineLevel="0" collapsed="false">
      <c r="A1099" s="37" t="n">
        <v>501788</v>
      </c>
      <c r="B1099" s="37" t="s">
        <v>1173</v>
      </c>
      <c r="C1099" s="37" t="n">
        <v>202601</v>
      </c>
      <c r="D1099" s="37" t="s">
        <v>63</v>
      </c>
      <c r="E1099" s="37" t="s">
        <v>105</v>
      </c>
      <c r="F1099" s="37" t="s">
        <v>201</v>
      </c>
      <c r="G1099" s="37" t="s">
        <v>358</v>
      </c>
      <c r="H1099" s="37" t="s">
        <v>1100</v>
      </c>
      <c r="I1099" s="37" t="s">
        <v>1101</v>
      </c>
      <c r="J1099" s="37" t="s">
        <v>1174</v>
      </c>
      <c r="K1099" s="45" t="n">
        <v>0</v>
      </c>
      <c r="L1099" s="46" t="n">
        <v>99273.83</v>
      </c>
    </row>
    <row r="1100" customFormat="false" ht="15" hidden="false" customHeight="false" outlineLevel="0" collapsed="false">
      <c r="A1100" s="37" t="n">
        <v>501837</v>
      </c>
      <c r="B1100" s="37" t="s">
        <v>1173</v>
      </c>
      <c r="C1100" s="37" t="n">
        <v>202601</v>
      </c>
      <c r="D1100" s="37" t="s">
        <v>63</v>
      </c>
      <c r="E1100" s="37" t="s">
        <v>110</v>
      </c>
      <c r="F1100" s="37" t="s">
        <v>201</v>
      </c>
      <c r="G1100" s="37" t="s">
        <v>358</v>
      </c>
      <c r="H1100" s="37" t="s">
        <v>1180</v>
      </c>
      <c r="I1100" s="37" t="s">
        <v>1181</v>
      </c>
      <c r="J1100" s="37" t="s">
        <v>1174</v>
      </c>
      <c r="K1100" s="45" t="n">
        <v>0</v>
      </c>
      <c r="L1100" s="46" t="n">
        <v>15452.31</v>
      </c>
    </row>
    <row r="1101" customFormat="false" ht="15" hidden="false" customHeight="false" outlineLevel="0" collapsed="false">
      <c r="A1101" s="37" t="n">
        <v>501846</v>
      </c>
      <c r="B1101" s="37" t="s">
        <v>1173</v>
      </c>
      <c r="C1101" s="37" t="n">
        <v>202601</v>
      </c>
      <c r="D1101" s="37" t="s">
        <v>63</v>
      </c>
      <c r="E1101" s="37" t="s">
        <v>111</v>
      </c>
      <c r="F1101" s="37" t="s">
        <v>201</v>
      </c>
      <c r="G1101" s="37" t="s">
        <v>358</v>
      </c>
      <c r="H1101" s="37" t="s">
        <v>1182</v>
      </c>
      <c r="I1101" s="37" t="s">
        <v>852</v>
      </c>
      <c r="J1101" s="37" t="s">
        <v>1174</v>
      </c>
      <c r="K1101" s="45" t="n">
        <v>0</v>
      </c>
      <c r="L1101" s="46" t="n">
        <v>11435.92</v>
      </c>
    </row>
    <row r="1102" customFormat="false" ht="15" hidden="false" customHeight="false" outlineLevel="0" collapsed="false">
      <c r="A1102" s="37" t="n">
        <v>501913</v>
      </c>
      <c r="B1102" s="37" t="s">
        <v>1173</v>
      </c>
      <c r="C1102" s="37" t="n">
        <v>202601</v>
      </c>
      <c r="D1102" s="37" t="s">
        <v>64</v>
      </c>
      <c r="E1102" s="37" t="s">
        <v>98</v>
      </c>
      <c r="F1102" s="37" t="s">
        <v>196</v>
      </c>
      <c r="G1102" s="37" t="s">
        <v>358</v>
      </c>
      <c r="H1102" s="37" t="s">
        <v>359</v>
      </c>
      <c r="I1102" s="37" t="s">
        <v>360</v>
      </c>
      <c r="J1102" s="37" t="s">
        <v>1183</v>
      </c>
      <c r="K1102" s="45" t="n">
        <v>0</v>
      </c>
      <c r="L1102" s="46" t="n">
        <v>6312</v>
      </c>
    </row>
    <row r="1103" customFormat="false" ht="15" hidden="false" customHeight="false" outlineLevel="0" collapsed="false">
      <c r="A1103" s="37" t="n">
        <v>501948</v>
      </c>
      <c r="B1103" s="37" t="s">
        <v>1173</v>
      </c>
      <c r="C1103" s="37" t="n">
        <v>202601</v>
      </c>
      <c r="D1103" s="37" t="s">
        <v>64</v>
      </c>
      <c r="E1103" s="37" t="s">
        <v>100</v>
      </c>
      <c r="F1103" s="37" t="s">
        <v>201</v>
      </c>
      <c r="G1103" s="37" t="s">
        <v>358</v>
      </c>
      <c r="H1103" s="37" t="s">
        <v>935</v>
      </c>
      <c r="I1103" s="37" t="s">
        <v>936</v>
      </c>
      <c r="J1103" s="37" t="s">
        <v>1174</v>
      </c>
      <c r="K1103" s="45" t="n">
        <v>0</v>
      </c>
      <c r="L1103" s="46" t="n">
        <v>84562.05</v>
      </c>
    </row>
    <row r="1104" customFormat="false" ht="15" hidden="false" customHeight="false" outlineLevel="0" collapsed="false">
      <c r="A1104" s="37" t="n">
        <v>502156</v>
      </c>
      <c r="B1104" s="37" t="s">
        <v>1173</v>
      </c>
      <c r="C1104" s="37" t="n">
        <v>202601</v>
      </c>
      <c r="D1104" s="37" t="s">
        <v>65</v>
      </c>
      <c r="E1104" s="37" t="s">
        <v>100</v>
      </c>
      <c r="F1104" s="37" t="s">
        <v>201</v>
      </c>
      <c r="G1104" s="37" t="s">
        <v>358</v>
      </c>
      <c r="H1104" s="37" t="s">
        <v>1019</v>
      </c>
      <c r="I1104" s="37" t="s">
        <v>646</v>
      </c>
      <c r="J1104" s="37" t="s">
        <v>1174</v>
      </c>
      <c r="K1104" s="45" t="n">
        <v>0</v>
      </c>
      <c r="L1104" s="46" t="n">
        <v>432118.19</v>
      </c>
    </row>
    <row r="1105" customFormat="false" ht="15" hidden="false" customHeight="false" outlineLevel="0" collapsed="false">
      <c r="A1105" s="37" t="n">
        <v>502194</v>
      </c>
      <c r="B1105" s="37" t="s">
        <v>1173</v>
      </c>
      <c r="C1105" s="37" t="n">
        <v>202601</v>
      </c>
      <c r="D1105" s="37" t="s">
        <v>65</v>
      </c>
      <c r="E1105" s="37" t="s">
        <v>102</v>
      </c>
      <c r="F1105" s="37" t="s">
        <v>205</v>
      </c>
      <c r="G1105" s="37" t="s">
        <v>358</v>
      </c>
      <c r="H1105" s="37" t="s">
        <v>1039</v>
      </c>
      <c r="I1105" s="37" t="s">
        <v>715</v>
      </c>
      <c r="J1105" s="37" t="s">
        <v>1184</v>
      </c>
      <c r="K1105" s="45" t="n">
        <v>0</v>
      </c>
      <c r="L1105" s="46" t="n">
        <v>125619.15</v>
      </c>
    </row>
    <row r="1106" customFormat="false" ht="15" hidden="false" customHeight="false" outlineLevel="0" collapsed="false">
      <c r="A1106" s="37" t="n">
        <v>502335</v>
      </c>
      <c r="B1106" s="37" t="s">
        <v>1173</v>
      </c>
      <c r="C1106" s="37" t="n">
        <v>202601</v>
      </c>
      <c r="D1106" s="37" t="s">
        <v>66</v>
      </c>
      <c r="E1106" s="37" t="s">
        <v>100</v>
      </c>
      <c r="F1106" s="37" t="s">
        <v>201</v>
      </c>
      <c r="G1106" s="37" t="s">
        <v>358</v>
      </c>
      <c r="H1106" s="37" t="s">
        <v>1185</v>
      </c>
      <c r="I1106" s="37" t="s">
        <v>370</v>
      </c>
      <c r="J1106" s="37" t="s">
        <v>1174</v>
      </c>
      <c r="K1106" s="45" t="n">
        <v>0</v>
      </c>
      <c r="L1106" s="46" t="n">
        <v>35114.64</v>
      </c>
    </row>
    <row r="1107" customFormat="false" ht="15" hidden="false" customHeight="false" outlineLevel="0" collapsed="false">
      <c r="A1107" s="37" t="n">
        <v>501686</v>
      </c>
      <c r="B1107" s="37" t="s">
        <v>1186</v>
      </c>
      <c r="C1107" s="37" t="n">
        <v>202601</v>
      </c>
      <c r="D1107" s="37" t="s">
        <v>63</v>
      </c>
      <c r="E1107" s="37" t="s">
        <v>98</v>
      </c>
      <c r="F1107" s="37" t="s">
        <v>196</v>
      </c>
      <c r="G1107" s="37" t="s">
        <v>358</v>
      </c>
      <c r="H1107" s="37" t="s">
        <v>359</v>
      </c>
      <c r="I1107" s="37" t="s">
        <v>360</v>
      </c>
      <c r="J1107" s="37" t="s">
        <v>1187</v>
      </c>
      <c r="K1107" s="45" t="n">
        <v>0</v>
      </c>
      <c r="L1107" s="46" t="n">
        <v>9618.2</v>
      </c>
    </row>
    <row r="1108" customFormat="false" ht="15" hidden="false" customHeight="false" outlineLevel="0" collapsed="false">
      <c r="A1108" s="37" t="n">
        <v>502005</v>
      </c>
      <c r="B1108" s="37" t="s">
        <v>1186</v>
      </c>
      <c r="C1108" s="37" t="n">
        <v>202601</v>
      </c>
      <c r="D1108" s="37" t="s">
        <v>64</v>
      </c>
      <c r="E1108" s="37" t="s">
        <v>103</v>
      </c>
      <c r="F1108" s="37" t="s">
        <v>205</v>
      </c>
      <c r="G1108" s="37" t="s">
        <v>358</v>
      </c>
      <c r="H1108" s="37" t="s">
        <v>969</v>
      </c>
      <c r="I1108" s="37" t="s">
        <v>898</v>
      </c>
      <c r="J1108" s="37" t="s">
        <v>1188</v>
      </c>
      <c r="K1108" s="45" t="n">
        <v>0</v>
      </c>
      <c r="L1108" s="46" t="n">
        <v>66104.69</v>
      </c>
    </row>
    <row r="1109" customFormat="false" ht="15" hidden="false" customHeight="false" outlineLevel="0" collapsed="false">
      <c r="A1109" s="37" t="n">
        <v>502125</v>
      </c>
      <c r="B1109" s="37" t="s">
        <v>1189</v>
      </c>
      <c r="C1109" s="37" t="n">
        <v>202601</v>
      </c>
      <c r="D1109" s="37" t="s">
        <v>65</v>
      </c>
      <c r="E1109" s="37" t="s">
        <v>98</v>
      </c>
      <c r="F1109" s="37" t="s">
        <v>196</v>
      </c>
      <c r="G1109" s="37" t="s">
        <v>358</v>
      </c>
      <c r="H1109" s="37" t="s">
        <v>359</v>
      </c>
      <c r="I1109" s="37" t="s">
        <v>360</v>
      </c>
      <c r="J1109" s="37" t="s">
        <v>1190</v>
      </c>
      <c r="K1109" s="45" t="n">
        <v>0</v>
      </c>
      <c r="L1109" s="46" t="n">
        <v>9169.7</v>
      </c>
    </row>
    <row r="1110" customFormat="false" ht="15" hidden="false" customHeight="false" outlineLevel="0" collapsed="false">
      <c r="A1110" s="37" t="n">
        <v>500087</v>
      </c>
      <c r="B1110" s="37" t="s">
        <v>1191</v>
      </c>
      <c r="C1110" s="37" t="n">
        <v>202601</v>
      </c>
      <c r="D1110" s="37" t="s">
        <v>58</v>
      </c>
      <c r="E1110" s="37" t="s">
        <v>97</v>
      </c>
      <c r="F1110" s="37" t="s">
        <v>194</v>
      </c>
      <c r="G1110" s="37" t="s">
        <v>354</v>
      </c>
      <c r="H1110" s="37"/>
      <c r="I1110" s="37" t="s">
        <v>355</v>
      </c>
      <c r="J1110" s="37" t="s">
        <v>1192</v>
      </c>
      <c r="K1110" s="45" t="n">
        <v>55.4</v>
      </c>
      <c r="L1110" s="46" t="n">
        <v>5098.37</v>
      </c>
    </row>
    <row r="1111" customFormat="false" ht="15" hidden="false" customHeight="false" outlineLevel="0" collapsed="false">
      <c r="A1111" s="37" t="n">
        <v>500361</v>
      </c>
      <c r="B1111" s="37" t="s">
        <v>1191</v>
      </c>
      <c r="C1111" s="37" t="n">
        <v>202601</v>
      </c>
      <c r="D1111" s="37" t="s">
        <v>58</v>
      </c>
      <c r="E1111" s="37" t="s">
        <v>106</v>
      </c>
      <c r="F1111" s="37" t="s">
        <v>194</v>
      </c>
      <c r="G1111" s="37" t="s">
        <v>354</v>
      </c>
      <c r="H1111" s="37"/>
      <c r="I1111" s="37" t="s">
        <v>355</v>
      </c>
      <c r="J1111" s="37" t="s">
        <v>1192</v>
      </c>
      <c r="K1111" s="45" t="n">
        <v>109.7</v>
      </c>
      <c r="L1111" s="46" t="n">
        <v>7789.99</v>
      </c>
    </row>
    <row r="1112" customFormat="false" ht="15" hidden="false" customHeight="false" outlineLevel="0" collapsed="false">
      <c r="A1112" s="37" t="n">
        <v>500495</v>
      </c>
      <c r="B1112" s="37" t="s">
        <v>1191</v>
      </c>
      <c r="C1112" s="37" t="n">
        <v>202601</v>
      </c>
      <c r="D1112" s="37" t="s">
        <v>59</v>
      </c>
      <c r="E1112" s="37" t="s">
        <v>97</v>
      </c>
      <c r="F1112" s="37" t="s">
        <v>194</v>
      </c>
      <c r="G1112" s="37" t="s">
        <v>354</v>
      </c>
      <c r="H1112" s="37"/>
      <c r="I1112" s="37" t="s">
        <v>355</v>
      </c>
      <c r="J1112" s="37" t="s">
        <v>1192</v>
      </c>
      <c r="K1112" s="45" t="n">
        <v>267.3</v>
      </c>
      <c r="L1112" s="46" t="n">
        <v>24589.78</v>
      </c>
    </row>
    <row r="1113" customFormat="false" ht="15" hidden="false" customHeight="false" outlineLevel="0" collapsed="false">
      <c r="A1113" s="37" t="n">
        <v>500697</v>
      </c>
      <c r="B1113" s="37" t="s">
        <v>1191</v>
      </c>
      <c r="C1113" s="37" t="n">
        <v>202601</v>
      </c>
      <c r="D1113" s="37" t="s">
        <v>59</v>
      </c>
      <c r="E1113" s="37" t="s">
        <v>106</v>
      </c>
      <c r="F1113" s="37" t="s">
        <v>194</v>
      </c>
      <c r="G1113" s="37" t="s">
        <v>354</v>
      </c>
      <c r="H1113" s="37"/>
      <c r="I1113" s="37" t="s">
        <v>355</v>
      </c>
      <c r="J1113" s="37" t="s">
        <v>1192</v>
      </c>
      <c r="K1113" s="45" t="n">
        <v>105.8</v>
      </c>
      <c r="L1113" s="46" t="n">
        <v>7509.63</v>
      </c>
    </row>
    <row r="1114" customFormat="false" ht="15" hidden="false" customHeight="false" outlineLevel="0" collapsed="false">
      <c r="A1114" s="37" t="n">
        <v>500824</v>
      </c>
      <c r="B1114" s="37" t="s">
        <v>1191</v>
      </c>
      <c r="C1114" s="37" t="n">
        <v>202601</v>
      </c>
      <c r="D1114" s="37" t="s">
        <v>60</v>
      </c>
      <c r="E1114" s="37" t="s">
        <v>97</v>
      </c>
      <c r="F1114" s="37" t="s">
        <v>194</v>
      </c>
      <c r="G1114" s="37" t="s">
        <v>354</v>
      </c>
      <c r="H1114" s="37"/>
      <c r="I1114" s="37" t="s">
        <v>355</v>
      </c>
      <c r="J1114" s="37" t="s">
        <v>1192</v>
      </c>
      <c r="K1114" s="45" t="n">
        <v>335</v>
      </c>
      <c r="L1114" s="46" t="n">
        <v>30821.32</v>
      </c>
    </row>
    <row r="1115" customFormat="false" ht="15" hidden="false" customHeight="false" outlineLevel="0" collapsed="false">
      <c r="A1115" s="37" t="n">
        <v>500952</v>
      </c>
      <c r="B1115" s="37" t="s">
        <v>1191</v>
      </c>
      <c r="C1115" s="37" t="n">
        <v>202601</v>
      </c>
      <c r="D1115" s="37" t="s">
        <v>60</v>
      </c>
      <c r="E1115" s="37" t="s">
        <v>101</v>
      </c>
      <c r="F1115" s="37" t="s">
        <v>194</v>
      </c>
      <c r="G1115" s="37" t="s">
        <v>354</v>
      </c>
      <c r="H1115" s="37"/>
      <c r="I1115" s="37" t="s">
        <v>355</v>
      </c>
      <c r="J1115" s="37" t="s">
        <v>1192</v>
      </c>
      <c r="K1115" s="45" t="n">
        <v>320.4</v>
      </c>
      <c r="L1115" s="46" t="n">
        <v>23710.97</v>
      </c>
    </row>
    <row r="1116" customFormat="false" ht="15" hidden="false" customHeight="false" outlineLevel="0" collapsed="false">
      <c r="A1116" s="37" t="n">
        <v>501017</v>
      </c>
      <c r="B1116" s="37" t="s">
        <v>1191</v>
      </c>
      <c r="C1116" s="37" t="n">
        <v>202601</v>
      </c>
      <c r="D1116" s="37" t="s">
        <v>60</v>
      </c>
      <c r="E1116" s="37" t="s">
        <v>106</v>
      </c>
      <c r="F1116" s="37" t="s">
        <v>194</v>
      </c>
      <c r="G1116" s="37" t="s">
        <v>354</v>
      </c>
      <c r="H1116" s="37"/>
      <c r="I1116" s="37" t="s">
        <v>355</v>
      </c>
      <c r="J1116" s="37" t="s">
        <v>1192</v>
      </c>
      <c r="K1116" s="45" t="n">
        <v>34</v>
      </c>
      <c r="L1116" s="46" t="n">
        <v>2414.46</v>
      </c>
    </row>
    <row r="1117" customFormat="false" ht="15" hidden="false" customHeight="false" outlineLevel="0" collapsed="false">
      <c r="A1117" s="37" t="n">
        <v>501131</v>
      </c>
      <c r="B1117" s="37" t="s">
        <v>1191</v>
      </c>
      <c r="C1117" s="37" t="n">
        <v>202601</v>
      </c>
      <c r="D1117" s="37" t="s">
        <v>61</v>
      </c>
      <c r="E1117" s="37" t="s">
        <v>97</v>
      </c>
      <c r="F1117" s="37" t="s">
        <v>194</v>
      </c>
      <c r="G1117" s="37" t="s">
        <v>354</v>
      </c>
      <c r="H1117" s="37"/>
      <c r="I1117" s="37" t="s">
        <v>355</v>
      </c>
      <c r="J1117" s="37" t="s">
        <v>1192</v>
      </c>
      <c r="K1117" s="45" t="n">
        <v>140.9</v>
      </c>
      <c r="L1117" s="46" t="n">
        <v>12966.82</v>
      </c>
    </row>
    <row r="1118" customFormat="false" ht="15" hidden="false" customHeight="false" outlineLevel="0" collapsed="false">
      <c r="A1118" s="37" t="n">
        <v>501245</v>
      </c>
      <c r="B1118" s="37" t="s">
        <v>1191</v>
      </c>
      <c r="C1118" s="37" t="n">
        <v>202601</v>
      </c>
      <c r="D1118" s="37" t="s">
        <v>61</v>
      </c>
      <c r="E1118" s="37" t="s">
        <v>101</v>
      </c>
      <c r="F1118" s="37" t="s">
        <v>194</v>
      </c>
      <c r="G1118" s="37" t="s">
        <v>354</v>
      </c>
      <c r="H1118" s="37"/>
      <c r="I1118" s="37" t="s">
        <v>355</v>
      </c>
      <c r="J1118" s="37" t="s">
        <v>1192</v>
      </c>
      <c r="K1118" s="45" t="n">
        <v>17.9</v>
      </c>
      <c r="L1118" s="46" t="n">
        <v>1321.51</v>
      </c>
    </row>
    <row r="1119" customFormat="false" ht="15" hidden="false" customHeight="false" outlineLevel="0" collapsed="false">
      <c r="A1119" s="37" t="n">
        <v>501291</v>
      </c>
      <c r="B1119" s="37" t="s">
        <v>1191</v>
      </c>
      <c r="C1119" s="37" t="n">
        <v>202601</v>
      </c>
      <c r="D1119" s="37" t="s">
        <v>61</v>
      </c>
      <c r="E1119" s="37" t="s">
        <v>106</v>
      </c>
      <c r="F1119" s="37" t="s">
        <v>194</v>
      </c>
      <c r="G1119" s="37" t="s">
        <v>354</v>
      </c>
      <c r="H1119" s="37"/>
      <c r="I1119" s="37" t="s">
        <v>355</v>
      </c>
      <c r="J1119" s="37" t="s">
        <v>1192</v>
      </c>
      <c r="K1119" s="45" t="n">
        <v>12</v>
      </c>
      <c r="L1119" s="46" t="n">
        <v>851.24</v>
      </c>
    </row>
    <row r="1120" customFormat="false" ht="15" hidden="false" customHeight="false" outlineLevel="0" collapsed="false">
      <c r="A1120" s="37" t="n">
        <v>501392</v>
      </c>
      <c r="B1120" s="37" t="s">
        <v>1191</v>
      </c>
      <c r="C1120" s="37" t="n">
        <v>202601</v>
      </c>
      <c r="D1120" s="37" t="s">
        <v>62</v>
      </c>
      <c r="E1120" s="37" t="s">
        <v>97</v>
      </c>
      <c r="F1120" s="37" t="s">
        <v>194</v>
      </c>
      <c r="G1120" s="37" t="s">
        <v>354</v>
      </c>
      <c r="H1120" s="37"/>
      <c r="I1120" s="37" t="s">
        <v>355</v>
      </c>
      <c r="J1120" s="37" t="s">
        <v>1192</v>
      </c>
      <c r="K1120" s="45" t="n">
        <v>142.6</v>
      </c>
      <c r="L1120" s="46" t="n">
        <v>13120.93</v>
      </c>
    </row>
    <row r="1121" customFormat="false" ht="15" hidden="false" customHeight="false" outlineLevel="0" collapsed="false">
      <c r="A1121" s="37" t="n">
        <v>501496</v>
      </c>
      <c r="B1121" s="37" t="s">
        <v>1191</v>
      </c>
      <c r="C1121" s="37" t="n">
        <v>202601</v>
      </c>
      <c r="D1121" s="37" t="s">
        <v>62</v>
      </c>
      <c r="E1121" s="37" t="s">
        <v>101</v>
      </c>
      <c r="F1121" s="37" t="s">
        <v>194</v>
      </c>
      <c r="G1121" s="37" t="s">
        <v>354</v>
      </c>
      <c r="H1121" s="37"/>
      <c r="I1121" s="37" t="s">
        <v>355</v>
      </c>
      <c r="J1121" s="37" t="s">
        <v>1192</v>
      </c>
      <c r="K1121" s="45" t="n">
        <v>622.5</v>
      </c>
      <c r="L1121" s="46" t="n">
        <v>46068.55</v>
      </c>
    </row>
    <row r="1122" customFormat="false" ht="15" hidden="false" customHeight="false" outlineLevel="0" collapsed="false">
      <c r="A1122" s="37" t="n">
        <v>501638</v>
      </c>
      <c r="B1122" s="37" t="s">
        <v>1191</v>
      </c>
      <c r="C1122" s="37" t="n">
        <v>202601</v>
      </c>
      <c r="D1122" s="37" t="s">
        <v>63</v>
      </c>
      <c r="E1122" s="37" t="s">
        <v>97</v>
      </c>
      <c r="F1122" s="37" t="s">
        <v>194</v>
      </c>
      <c r="G1122" s="37" t="s">
        <v>354</v>
      </c>
      <c r="H1122" s="37"/>
      <c r="I1122" s="37" t="s">
        <v>355</v>
      </c>
      <c r="J1122" s="37" t="s">
        <v>1192</v>
      </c>
      <c r="K1122" s="45" t="n">
        <v>192.4</v>
      </c>
      <c r="L1122" s="46" t="n">
        <v>17698.41</v>
      </c>
    </row>
    <row r="1123" customFormat="false" ht="15" hidden="false" customHeight="false" outlineLevel="0" collapsed="false">
      <c r="A1123" s="37" t="n">
        <v>501742</v>
      </c>
      <c r="B1123" s="37" t="s">
        <v>1191</v>
      </c>
      <c r="C1123" s="37" t="n">
        <v>202601</v>
      </c>
      <c r="D1123" s="37" t="s">
        <v>63</v>
      </c>
      <c r="E1123" s="37" t="s">
        <v>101</v>
      </c>
      <c r="F1123" s="37" t="s">
        <v>194</v>
      </c>
      <c r="G1123" s="37" t="s">
        <v>354</v>
      </c>
      <c r="H1123" s="37"/>
      <c r="I1123" s="37" t="s">
        <v>355</v>
      </c>
      <c r="J1123" s="37" t="s">
        <v>1192</v>
      </c>
      <c r="K1123" s="45" t="n">
        <v>82.3</v>
      </c>
      <c r="L1123" s="46" t="n">
        <v>6093.27</v>
      </c>
    </row>
    <row r="1124" customFormat="false" ht="15" hidden="false" customHeight="false" outlineLevel="0" collapsed="false">
      <c r="A1124" s="37" t="n">
        <v>501872</v>
      </c>
      <c r="B1124" s="37" t="s">
        <v>1191</v>
      </c>
      <c r="C1124" s="37" t="n">
        <v>202601</v>
      </c>
      <c r="D1124" s="37" t="s">
        <v>64</v>
      </c>
      <c r="E1124" s="37" t="s">
        <v>97</v>
      </c>
      <c r="F1124" s="37" t="s">
        <v>194</v>
      </c>
      <c r="G1124" s="37" t="s">
        <v>354</v>
      </c>
      <c r="H1124" s="37"/>
      <c r="I1124" s="37" t="s">
        <v>355</v>
      </c>
      <c r="J1124" s="37" t="s">
        <v>1192</v>
      </c>
      <c r="K1124" s="45" t="n">
        <v>130.5</v>
      </c>
      <c r="L1124" s="46" t="n">
        <v>12004.48</v>
      </c>
    </row>
    <row r="1125" customFormat="false" ht="15" hidden="false" customHeight="false" outlineLevel="0" collapsed="false">
      <c r="A1125" s="37" t="n">
        <v>501962</v>
      </c>
      <c r="B1125" s="37" t="s">
        <v>1191</v>
      </c>
      <c r="C1125" s="37" t="n">
        <v>202601</v>
      </c>
      <c r="D1125" s="37" t="s">
        <v>64</v>
      </c>
      <c r="E1125" s="37" t="s">
        <v>101</v>
      </c>
      <c r="F1125" s="37" t="s">
        <v>194</v>
      </c>
      <c r="G1125" s="37" t="s">
        <v>354</v>
      </c>
      <c r="H1125" s="37"/>
      <c r="I1125" s="37" t="s">
        <v>355</v>
      </c>
      <c r="J1125" s="37" t="s">
        <v>1192</v>
      </c>
      <c r="K1125" s="45" t="n">
        <v>973</v>
      </c>
      <c r="L1125" s="46" t="n">
        <v>72001.47</v>
      </c>
    </row>
    <row r="1126" customFormat="false" ht="15" hidden="false" customHeight="false" outlineLevel="0" collapsed="false">
      <c r="A1126" s="37" t="n">
        <v>502088</v>
      </c>
      <c r="B1126" s="37" t="s">
        <v>1191</v>
      </c>
      <c r="C1126" s="37" t="n">
        <v>202601</v>
      </c>
      <c r="D1126" s="37" t="s">
        <v>65</v>
      </c>
      <c r="E1126" s="37" t="s">
        <v>97</v>
      </c>
      <c r="F1126" s="37" t="s">
        <v>194</v>
      </c>
      <c r="G1126" s="37" t="s">
        <v>354</v>
      </c>
      <c r="H1126" s="37"/>
      <c r="I1126" s="37" t="s">
        <v>355</v>
      </c>
      <c r="J1126" s="37" t="s">
        <v>1192</v>
      </c>
      <c r="K1126" s="45" t="n">
        <v>91.8</v>
      </c>
      <c r="L1126" s="46" t="n">
        <v>8442.16</v>
      </c>
    </row>
    <row r="1127" customFormat="false" ht="15" hidden="false" customHeight="false" outlineLevel="0" collapsed="false">
      <c r="A1127" s="37" t="n">
        <v>502167</v>
      </c>
      <c r="B1127" s="37" t="s">
        <v>1191</v>
      </c>
      <c r="C1127" s="37" t="n">
        <v>202601</v>
      </c>
      <c r="D1127" s="37" t="s">
        <v>65</v>
      </c>
      <c r="E1127" s="37" t="s">
        <v>101</v>
      </c>
      <c r="F1127" s="37" t="s">
        <v>194</v>
      </c>
      <c r="G1127" s="37" t="s">
        <v>354</v>
      </c>
      <c r="H1127" s="37"/>
      <c r="I1127" s="37" t="s">
        <v>355</v>
      </c>
      <c r="J1127" s="37" t="s">
        <v>1192</v>
      </c>
      <c r="K1127" s="45" t="n">
        <v>291.5</v>
      </c>
      <c r="L1127" s="46" t="n">
        <v>21571.2</v>
      </c>
    </row>
    <row r="1128" customFormat="false" ht="15" hidden="false" customHeight="false" outlineLevel="0" collapsed="false">
      <c r="A1128" s="37" t="n">
        <v>502271</v>
      </c>
      <c r="B1128" s="37" t="s">
        <v>1191</v>
      </c>
      <c r="C1128" s="37" t="n">
        <v>202601</v>
      </c>
      <c r="D1128" s="37" t="s">
        <v>66</v>
      </c>
      <c r="E1128" s="37" t="s">
        <v>97</v>
      </c>
      <c r="F1128" s="37" t="s">
        <v>194</v>
      </c>
      <c r="G1128" s="37" t="s">
        <v>354</v>
      </c>
      <c r="H1128" s="37"/>
      <c r="I1128" s="37" t="s">
        <v>355</v>
      </c>
      <c r="J1128" s="37" t="s">
        <v>1192</v>
      </c>
      <c r="K1128" s="45" t="n">
        <v>39.8</v>
      </c>
      <c r="L1128" s="46" t="n">
        <v>3665.8</v>
      </c>
    </row>
    <row r="1129" customFormat="false" ht="15" hidden="false" customHeight="false" outlineLevel="0" collapsed="false">
      <c r="A1129" s="37" t="n">
        <v>500193</v>
      </c>
      <c r="B1129" s="37" t="s">
        <v>1193</v>
      </c>
      <c r="C1129" s="37" t="n">
        <v>202601</v>
      </c>
      <c r="D1129" s="37" t="s">
        <v>58</v>
      </c>
      <c r="E1129" s="37" t="s">
        <v>99</v>
      </c>
      <c r="F1129" s="37" t="s">
        <v>198</v>
      </c>
      <c r="G1129" s="37" t="s">
        <v>375</v>
      </c>
      <c r="H1129" s="37"/>
      <c r="I1129" s="37" t="s">
        <v>376</v>
      </c>
      <c r="J1129" s="37" t="s">
        <v>377</v>
      </c>
      <c r="K1129" s="45" t="n">
        <v>0</v>
      </c>
      <c r="L1129" s="46" t="n">
        <v>9779.24</v>
      </c>
    </row>
    <row r="1130" customFormat="false" ht="15" hidden="false" customHeight="false" outlineLevel="0" collapsed="false">
      <c r="A1130" s="37" t="n">
        <v>500580</v>
      </c>
      <c r="B1130" s="37" t="s">
        <v>1193</v>
      </c>
      <c r="C1130" s="37" t="n">
        <v>202601</v>
      </c>
      <c r="D1130" s="37" t="s">
        <v>59</v>
      </c>
      <c r="E1130" s="37" t="s">
        <v>99</v>
      </c>
      <c r="F1130" s="37" t="s">
        <v>198</v>
      </c>
      <c r="G1130" s="37" t="s">
        <v>375</v>
      </c>
      <c r="H1130" s="37"/>
      <c r="I1130" s="37" t="s">
        <v>376</v>
      </c>
      <c r="J1130" s="37" t="s">
        <v>377</v>
      </c>
      <c r="K1130" s="45" t="n">
        <v>0</v>
      </c>
      <c r="L1130" s="46" t="n">
        <v>87059.19</v>
      </c>
    </row>
    <row r="1131" customFormat="false" ht="15" hidden="false" customHeight="false" outlineLevel="0" collapsed="false">
      <c r="A1131" s="37" t="n">
        <v>500902</v>
      </c>
      <c r="B1131" s="37" t="s">
        <v>1193</v>
      </c>
      <c r="C1131" s="37" t="n">
        <v>202601</v>
      </c>
      <c r="D1131" s="37" t="s">
        <v>60</v>
      </c>
      <c r="E1131" s="37" t="s">
        <v>99</v>
      </c>
      <c r="F1131" s="37" t="s">
        <v>198</v>
      </c>
      <c r="G1131" s="37" t="s">
        <v>375</v>
      </c>
      <c r="H1131" s="37"/>
      <c r="I1131" s="37" t="s">
        <v>376</v>
      </c>
      <c r="J1131" s="37" t="s">
        <v>377</v>
      </c>
      <c r="K1131" s="45" t="n">
        <v>0</v>
      </c>
      <c r="L1131" s="46" t="n">
        <v>45106.27</v>
      </c>
    </row>
    <row r="1132" customFormat="false" ht="15" hidden="false" customHeight="false" outlineLevel="0" collapsed="false">
      <c r="A1132" s="37" t="n">
        <v>501202</v>
      </c>
      <c r="B1132" s="37" t="s">
        <v>1193</v>
      </c>
      <c r="C1132" s="37" t="n">
        <v>202601</v>
      </c>
      <c r="D1132" s="37" t="s">
        <v>61</v>
      </c>
      <c r="E1132" s="37" t="s">
        <v>99</v>
      </c>
      <c r="F1132" s="37" t="s">
        <v>198</v>
      </c>
      <c r="G1132" s="37" t="s">
        <v>375</v>
      </c>
      <c r="H1132" s="37"/>
      <c r="I1132" s="37" t="s">
        <v>376</v>
      </c>
      <c r="J1132" s="37" t="s">
        <v>377</v>
      </c>
      <c r="K1132" s="45" t="n">
        <v>0</v>
      </c>
      <c r="L1132" s="46" t="n">
        <v>45207.02</v>
      </c>
    </row>
    <row r="1133" customFormat="false" ht="15" hidden="false" customHeight="false" outlineLevel="0" collapsed="false">
      <c r="A1133" s="37" t="n">
        <v>501460</v>
      </c>
      <c r="B1133" s="37" t="s">
        <v>1193</v>
      </c>
      <c r="C1133" s="37" t="n">
        <v>202601</v>
      </c>
      <c r="D1133" s="37" t="s">
        <v>62</v>
      </c>
      <c r="E1133" s="37" t="s">
        <v>99</v>
      </c>
      <c r="F1133" s="37" t="s">
        <v>198</v>
      </c>
      <c r="G1133" s="37" t="s">
        <v>375</v>
      </c>
      <c r="H1133" s="37"/>
      <c r="I1133" s="37" t="s">
        <v>376</v>
      </c>
      <c r="J1133" s="37" t="s">
        <v>377</v>
      </c>
      <c r="K1133" s="45" t="n">
        <v>0</v>
      </c>
      <c r="L1133" s="46" t="n">
        <v>40360.15</v>
      </c>
    </row>
    <row r="1134" customFormat="false" ht="15" hidden="false" customHeight="false" outlineLevel="0" collapsed="false">
      <c r="A1134" s="37" t="n">
        <v>501711</v>
      </c>
      <c r="B1134" s="37" t="s">
        <v>1193</v>
      </c>
      <c r="C1134" s="37" t="n">
        <v>202601</v>
      </c>
      <c r="D1134" s="37" t="s">
        <v>63</v>
      </c>
      <c r="E1134" s="37" t="s">
        <v>99</v>
      </c>
      <c r="F1134" s="37" t="s">
        <v>198</v>
      </c>
      <c r="G1134" s="37" t="s">
        <v>375</v>
      </c>
      <c r="H1134" s="37"/>
      <c r="I1134" s="37" t="s">
        <v>376</v>
      </c>
      <c r="J1134" s="37" t="s">
        <v>377</v>
      </c>
      <c r="K1134" s="45" t="n">
        <v>0</v>
      </c>
      <c r="L1134" s="46" t="n">
        <v>25425.61</v>
      </c>
    </row>
    <row r="1135" customFormat="false" ht="15" hidden="false" customHeight="false" outlineLevel="0" collapsed="false">
      <c r="A1135" s="37" t="n">
        <v>501936</v>
      </c>
      <c r="B1135" s="37" t="s">
        <v>1193</v>
      </c>
      <c r="C1135" s="37" t="n">
        <v>202601</v>
      </c>
      <c r="D1135" s="37" t="s">
        <v>64</v>
      </c>
      <c r="E1135" s="37" t="s">
        <v>99</v>
      </c>
      <c r="F1135" s="37" t="s">
        <v>198</v>
      </c>
      <c r="G1135" s="37" t="s">
        <v>375</v>
      </c>
      <c r="H1135" s="37"/>
      <c r="I1135" s="37" t="s">
        <v>376</v>
      </c>
      <c r="J1135" s="37" t="s">
        <v>377</v>
      </c>
      <c r="K1135" s="45" t="n">
        <v>0</v>
      </c>
      <c r="L1135" s="46" t="n">
        <v>17385.11</v>
      </c>
    </row>
    <row r="1136" customFormat="false" ht="15" hidden="false" customHeight="false" outlineLevel="0" collapsed="false">
      <c r="A1136" s="37" t="n">
        <v>502145</v>
      </c>
      <c r="B1136" s="37" t="s">
        <v>1193</v>
      </c>
      <c r="C1136" s="37" t="n">
        <v>202601</v>
      </c>
      <c r="D1136" s="37" t="s">
        <v>65</v>
      </c>
      <c r="E1136" s="37" t="s">
        <v>99</v>
      </c>
      <c r="F1136" s="37" t="s">
        <v>198</v>
      </c>
      <c r="G1136" s="37" t="s">
        <v>375</v>
      </c>
      <c r="H1136" s="37"/>
      <c r="I1136" s="37" t="s">
        <v>376</v>
      </c>
      <c r="J1136" s="37" t="s">
        <v>377</v>
      </c>
      <c r="K1136" s="45" t="n">
        <v>0</v>
      </c>
      <c r="L1136" s="46" t="n">
        <v>37461.45</v>
      </c>
    </row>
    <row r="1137" customFormat="false" ht="15" hidden="false" customHeight="false" outlineLevel="0" collapsed="false">
      <c r="A1137" s="37" t="n">
        <v>502326</v>
      </c>
      <c r="B1137" s="37" t="s">
        <v>1193</v>
      </c>
      <c r="C1137" s="37" t="n">
        <v>202601</v>
      </c>
      <c r="D1137" s="37" t="s">
        <v>66</v>
      </c>
      <c r="E1137" s="37" t="s">
        <v>99</v>
      </c>
      <c r="F1137" s="37" t="s">
        <v>198</v>
      </c>
      <c r="G1137" s="37" t="s">
        <v>375</v>
      </c>
      <c r="H1137" s="37"/>
      <c r="I1137" s="37" t="s">
        <v>376</v>
      </c>
      <c r="J1137" s="37" t="s">
        <v>377</v>
      </c>
      <c r="K1137" s="45" t="n">
        <v>0</v>
      </c>
      <c r="L1137" s="46" t="n">
        <v>2066.89</v>
      </c>
    </row>
    <row r="1138" customFormat="false" ht="15" hidden="false" customHeight="false" outlineLevel="0" collapsed="false">
      <c r="A1138" s="37" t="n">
        <v>501274</v>
      </c>
      <c r="B1138" s="37" t="s">
        <v>1194</v>
      </c>
      <c r="C1138" s="37" t="n">
        <v>202602</v>
      </c>
      <c r="D1138" s="37" t="s">
        <v>61</v>
      </c>
      <c r="E1138" s="37" t="s">
        <v>103</v>
      </c>
      <c r="F1138" s="37" t="s">
        <v>205</v>
      </c>
      <c r="G1138" s="37" t="s">
        <v>358</v>
      </c>
      <c r="H1138" s="37" t="s">
        <v>711</v>
      </c>
      <c r="I1138" s="37" t="s">
        <v>401</v>
      </c>
      <c r="J1138" s="37" t="s">
        <v>1195</v>
      </c>
      <c r="K1138" s="45" t="n">
        <v>0</v>
      </c>
      <c r="L1138" s="46" t="n">
        <v>651.23</v>
      </c>
    </row>
    <row r="1139" customFormat="false" ht="15" hidden="false" customHeight="false" outlineLevel="0" collapsed="false">
      <c r="A1139" s="37" t="n">
        <v>501276</v>
      </c>
      <c r="B1139" s="37" t="s">
        <v>1194</v>
      </c>
      <c r="C1139" s="37" t="n">
        <v>202602</v>
      </c>
      <c r="D1139" s="37" t="s">
        <v>61</v>
      </c>
      <c r="E1139" s="37" t="s">
        <v>103</v>
      </c>
      <c r="F1139" s="37" t="s">
        <v>205</v>
      </c>
      <c r="G1139" s="37" t="s">
        <v>358</v>
      </c>
      <c r="H1139" s="37" t="s">
        <v>711</v>
      </c>
      <c r="I1139" s="37" t="s">
        <v>401</v>
      </c>
      <c r="J1139" s="37" t="s">
        <v>1196</v>
      </c>
      <c r="K1139" s="45" t="n">
        <v>0</v>
      </c>
      <c r="L1139" s="46" t="n">
        <v>780.83</v>
      </c>
    </row>
    <row r="1140" customFormat="false" ht="15" hidden="false" customHeight="false" outlineLevel="0" collapsed="false">
      <c r="A1140" s="37" t="n">
        <v>502008</v>
      </c>
      <c r="B1140" s="37" t="s">
        <v>1197</v>
      </c>
      <c r="C1140" s="37" t="n">
        <v>202602</v>
      </c>
      <c r="D1140" s="37" t="s">
        <v>64</v>
      </c>
      <c r="E1140" s="37" t="s">
        <v>103</v>
      </c>
      <c r="F1140" s="37" t="s">
        <v>205</v>
      </c>
      <c r="G1140" s="37" t="s">
        <v>358</v>
      </c>
      <c r="H1140" s="37" t="s">
        <v>969</v>
      </c>
      <c r="I1140" s="37" t="s">
        <v>898</v>
      </c>
      <c r="J1140" s="37" t="s">
        <v>1198</v>
      </c>
      <c r="K1140" s="45" t="n">
        <v>0</v>
      </c>
      <c r="L1140" s="46" t="n">
        <v>45959.1</v>
      </c>
    </row>
    <row r="1141" customFormat="false" ht="15" hidden="false" customHeight="false" outlineLevel="0" collapsed="false">
      <c r="A1141" s="37" t="n">
        <v>500554</v>
      </c>
      <c r="B1141" s="37" t="s">
        <v>1199</v>
      </c>
      <c r="C1141" s="37" t="n">
        <v>202602</v>
      </c>
      <c r="D1141" s="37" t="s">
        <v>59</v>
      </c>
      <c r="E1141" s="37" t="s">
        <v>98</v>
      </c>
      <c r="F1141" s="37" t="s">
        <v>196</v>
      </c>
      <c r="G1141" s="37" t="s">
        <v>358</v>
      </c>
      <c r="H1141" s="37" t="s">
        <v>359</v>
      </c>
      <c r="I1141" s="37" t="s">
        <v>360</v>
      </c>
      <c r="J1141" s="37" t="s">
        <v>1200</v>
      </c>
      <c r="K1141" s="45" t="n">
        <v>0</v>
      </c>
      <c r="L1141" s="46" t="n">
        <v>27156.67</v>
      </c>
    </row>
    <row r="1142" customFormat="false" ht="15" hidden="false" customHeight="false" outlineLevel="0" collapsed="false">
      <c r="A1142" s="37" t="n">
        <v>500555</v>
      </c>
      <c r="B1142" s="37" t="s">
        <v>1199</v>
      </c>
      <c r="C1142" s="37" t="n">
        <v>202602</v>
      </c>
      <c r="D1142" s="37" t="s">
        <v>59</v>
      </c>
      <c r="E1142" s="37" t="s">
        <v>98</v>
      </c>
      <c r="F1142" s="37" t="s">
        <v>196</v>
      </c>
      <c r="G1142" s="37" t="s">
        <v>358</v>
      </c>
      <c r="H1142" s="37" t="s">
        <v>359</v>
      </c>
      <c r="I1142" s="37" t="s">
        <v>360</v>
      </c>
      <c r="J1142" s="37" t="s">
        <v>1201</v>
      </c>
      <c r="K1142" s="45" t="n">
        <v>0</v>
      </c>
      <c r="L1142" s="46" t="n">
        <v>31765.07</v>
      </c>
    </row>
    <row r="1143" customFormat="false" ht="15" hidden="false" customHeight="false" outlineLevel="0" collapsed="false">
      <c r="A1143" s="37" t="n">
        <v>502208</v>
      </c>
      <c r="B1143" s="37" t="s">
        <v>1199</v>
      </c>
      <c r="C1143" s="37" t="n">
        <v>202602</v>
      </c>
      <c r="D1143" s="37" t="s">
        <v>65</v>
      </c>
      <c r="E1143" s="37" t="s">
        <v>103</v>
      </c>
      <c r="F1143" s="37" t="s">
        <v>205</v>
      </c>
      <c r="G1143" s="37" t="s">
        <v>358</v>
      </c>
      <c r="H1143" s="37" t="s">
        <v>1051</v>
      </c>
      <c r="I1143" s="37" t="s">
        <v>898</v>
      </c>
      <c r="J1143" s="37" t="s">
        <v>1202</v>
      </c>
      <c r="K1143" s="45" t="n">
        <v>0</v>
      </c>
      <c r="L1143" s="46" t="n">
        <v>159129.83</v>
      </c>
    </row>
    <row r="1144" customFormat="false" ht="15" hidden="false" customHeight="false" outlineLevel="0" collapsed="false">
      <c r="A1144" s="37" t="n">
        <v>502309</v>
      </c>
      <c r="B1144" s="37" t="s">
        <v>1199</v>
      </c>
      <c r="C1144" s="37" t="n">
        <v>202602</v>
      </c>
      <c r="D1144" s="37" t="s">
        <v>66</v>
      </c>
      <c r="E1144" s="37" t="s">
        <v>98</v>
      </c>
      <c r="F1144" s="37" t="s">
        <v>196</v>
      </c>
      <c r="G1144" s="37" t="s">
        <v>358</v>
      </c>
      <c r="H1144" s="37" t="s">
        <v>359</v>
      </c>
      <c r="I1144" s="37" t="s">
        <v>360</v>
      </c>
      <c r="J1144" s="37" t="s">
        <v>1203</v>
      </c>
      <c r="K1144" s="45" t="n">
        <v>0</v>
      </c>
      <c r="L1144" s="46" t="n">
        <v>5459.15</v>
      </c>
    </row>
    <row r="1145" customFormat="false" ht="15" hidden="false" customHeight="false" outlineLevel="0" collapsed="false">
      <c r="A1145" s="37" t="n">
        <v>500088</v>
      </c>
      <c r="B1145" s="37" t="s">
        <v>1204</v>
      </c>
      <c r="C1145" s="37" t="n">
        <v>202602</v>
      </c>
      <c r="D1145" s="37" t="s">
        <v>58</v>
      </c>
      <c r="E1145" s="37" t="s">
        <v>97</v>
      </c>
      <c r="F1145" s="37" t="s">
        <v>194</v>
      </c>
      <c r="G1145" s="37" t="s">
        <v>354</v>
      </c>
      <c r="H1145" s="37"/>
      <c r="I1145" s="37" t="s">
        <v>355</v>
      </c>
      <c r="J1145" s="37" t="s">
        <v>1205</v>
      </c>
      <c r="K1145" s="45" t="n">
        <v>54.4</v>
      </c>
      <c r="L1145" s="46" t="n">
        <v>5006.44</v>
      </c>
    </row>
    <row r="1146" customFormat="false" ht="15" hidden="false" customHeight="false" outlineLevel="0" collapsed="false">
      <c r="A1146" s="37" t="n">
        <v>500362</v>
      </c>
      <c r="B1146" s="37" t="s">
        <v>1204</v>
      </c>
      <c r="C1146" s="37" t="n">
        <v>202602</v>
      </c>
      <c r="D1146" s="37" t="s">
        <v>58</v>
      </c>
      <c r="E1146" s="37" t="s">
        <v>106</v>
      </c>
      <c r="F1146" s="37" t="s">
        <v>194</v>
      </c>
      <c r="G1146" s="37" t="s">
        <v>354</v>
      </c>
      <c r="H1146" s="37"/>
      <c r="I1146" s="37" t="s">
        <v>355</v>
      </c>
      <c r="J1146" s="37" t="s">
        <v>1205</v>
      </c>
      <c r="K1146" s="45" t="n">
        <v>67.1</v>
      </c>
      <c r="L1146" s="46" t="n">
        <v>4766.86</v>
      </c>
    </row>
    <row r="1147" customFormat="false" ht="15" hidden="false" customHeight="false" outlineLevel="0" collapsed="false">
      <c r="A1147" s="37" t="n">
        <v>500496</v>
      </c>
      <c r="B1147" s="37" t="s">
        <v>1204</v>
      </c>
      <c r="C1147" s="37" t="n">
        <v>202602</v>
      </c>
      <c r="D1147" s="37" t="s">
        <v>59</v>
      </c>
      <c r="E1147" s="37" t="s">
        <v>97</v>
      </c>
      <c r="F1147" s="37" t="s">
        <v>194</v>
      </c>
      <c r="G1147" s="37" t="s">
        <v>354</v>
      </c>
      <c r="H1147" s="37"/>
      <c r="I1147" s="37" t="s">
        <v>355</v>
      </c>
      <c r="J1147" s="37" t="s">
        <v>1205</v>
      </c>
      <c r="K1147" s="45" t="n">
        <v>322.3</v>
      </c>
      <c r="L1147" s="46" t="n">
        <v>29653.87</v>
      </c>
    </row>
    <row r="1148" customFormat="false" ht="15" hidden="false" customHeight="false" outlineLevel="0" collapsed="false">
      <c r="A1148" s="37" t="n">
        <v>500698</v>
      </c>
      <c r="B1148" s="37" t="s">
        <v>1204</v>
      </c>
      <c r="C1148" s="37" t="n">
        <v>202602</v>
      </c>
      <c r="D1148" s="37" t="s">
        <v>59</v>
      </c>
      <c r="E1148" s="37" t="s">
        <v>106</v>
      </c>
      <c r="F1148" s="37" t="s">
        <v>194</v>
      </c>
      <c r="G1148" s="37" t="s">
        <v>354</v>
      </c>
      <c r="H1148" s="37"/>
      <c r="I1148" s="37" t="s">
        <v>355</v>
      </c>
      <c r="J1148" s="37" t="s">
        <v>1205</v>
      </c>
      <c r="K1148" s="45" t="n">
        <v>183.4</v>
      </c>
      <c r="L1148" s="46" t="n">
        <v>13022.66</v>
      </c>
    </row>
    <row r="1149" customFormat="false" ht="15" hidden="false" customHeight="false" outlineLevel="0" collapsed="false">
      <c r="A1149" s="37" t="n">
        <v>500825</v>
      </c>
      <c r="B1149" s="37" t="s">
        <v>1204</v>
      </c>
      <c r="C1149" s="37" t="n">
        <v>202602</v>
      </c>
      <c r="D1149" s="37" t="s">
        <v>60</v>
      </c>
      <c r="E1149" s="37" t="s">
        <v>97</v>
      </c>
      <c r="F1149" s="37" t="s">
        <v>194</v>
      </c>
      <c r="G1149" s="37" t="s">
        <v>354</v>
      </c>
      <c r="H1149" s="37"/>
      <c r="I1149" s="37" t="s">
        <v>355</v>
      </c>
      <c r="J1149" s="37" t="s">
        <v>1205</v>
      </c>
      <c r="K1149" s="45" t="n">
        <v>277.1</v>
      </c>
      <c r="L1149" s="46" t="n">
        <v>25493.48</v>
      </c>
    </row>
    <row r="1150" customFormat="false" ht="15" hidden="false" customHeight="false" outlineLevel="0" collapsed="false">
      <c r="A1150" s="37" t="n">
        <v>500879</v>
      </c>
      <c r="B1150" s="37" t="s">
        <v>1204</v>
      </c>
      <c r="C1150" s="37" t="n">
        <v>202602</v>
      </c>
      <c r="D1150" s="37" t="s">
        <v>60</v>
      </c>
      <c r="E1150" s="37" t="s">
        <v>98</v>
      </c>
      <c r="F1150" s="37" t="s">
        <v>196</v>
      </c>
      <c r="G1150" s="37" t="s">
        <v>358</v>
      </c>
      <c r="H1150" s="37" t="s">
        <v>359</v>
      </c>
      <c r="I1150" s="37" t="s">
        <v>360</v>
      </c>
      <c r="J1150" s="37" t="s">
        <v>1206</v>
      </c>
      <c r="K1150" s="45" t="n">
        <v>0</v>
      </c>
      <c r="L1150" s="46" t="n">
        <v>7650.02</v>
      </c>
    </row>
    <row r="1151" customFormat="false" ht="15" hidden="false" customHeight="false" outlineLevel="0" collapsed="false">
      <c r="A1151" s="37" t="n">
        <v>500953</v>
      </c>
      <c r="B1151" s="37" t="s">
        <v>1204</v>
      </c>
      <c r="C1151" s="37" t="n">
        <v>202602</v>
      </c>
      <c r="D1151" s="37" t="s">
        <v>60</v>
      </c>
      <c r="E1151" s="37" t="s">
        <v>101</v>
      </c>
      <c r="F1151" s="37" t="s">
        <v>194</v>
      </c>
      <c r="G1151" s="37" t="s">
        <v>354</v>
      </c>
      <c r="H1151" s="37"/>
      <c r="I1151" s="37" t="s">
        <v>355</v>
      </c>
      <c r="J1151" s="37" t="s">
        <v>1205</v>
      </c>
      <c r="K1151" s="45" t="n">
        <v>62.3</v>
      </c>
      <c r="L1151" s="46" t="n">
        <v>4612.57</v>
      </c>
    </row>
    <row r="1152" customFormat="false" ht="15" hidden="false" customHeight="false" outlineLevel="0" collapsed="false">
      <c r="A1152" s="37" t="n">
        <v>501018</v>
      </c>
      <c r="B1152" s="37" t="s">
        <v>1204</v>
      </c>
      <c r="C1152" s="37" t="n">
        <v>202602</v>
      </c>
      <c r="D1152" s="37" t="s">
        <v>60</v>
      </c>
      <c r="E1152" s="37" t="s">
        <v>106</v>
      </c>
      <c r="F1152" s="37" t="s">
        <v>194</v>
      </c>
      <c r="G1152" s="37" t="s">
        <v>354</v>
      </c>
      <c r="H1152" s="37"/>
      <c r="I1152" s="37" t="s">
        <v>355</v>
      </c>
      <c r="J1152" s="37" t="s">
        <v>1205</v>
      </c>
      <c r="K1152" s="45" t="n">
        <v>94.7</v>
      </c>
      <c r="L1152" s="46" t="n">
        <v>6725.06</v>
      </c>
    </row>
    <row r="1153" customFormat="false" ht="15" hidden="false" customHeight="false" outlineLevel="0" collapsed="false">
      <c r="A1153" s="37" t="n">
        <v>501132</v>
      </c>
      <c r="B1153" s="37" t="s">
        <v>1204</v>
      </c>
      <c r="C1153" s="37" t="n">
        <v>202602</v>
      </c>
      <c r="D1153" s="37" t="s">
        <v>61</v>
      </c>
      <c r="E1153" s="37" t="s">
        <v>97</v>
      </c>
      <c r="F1153" s="37" t="s">
        <v>194</v>
      </c>
      <c r="G1153" s="37" t="s">
        <v>354</v>
      </c>
      <c r="H1153" s="37"/>
      <c r="I1153" s="37" t="s">
        <v>355</v>
      </c>
      <c r="J1153" s="37" t="s">
        <v>1205</v>
      </c>
      <c r="K1153" s="45" t="n">
        <v>173.7</v>
      </c>
      <c r="L1153" s="46" t="n">
        <v>15976.99</v>
      </c>
    </row>
    <row r="1154" customFormat="false" ht="15" hidden="false" customHeight="false" outlineLevel="0" collapsed="false">
      <c r="A1154" s="37" t="n">
        <v>501292</v>
      </c>
      <c r="B1154" s="37" t="s">
        <v>1204</v>
      </c>
      <c r="C1154" s="37" t="n">
        <v>202602</v>
      </c>
      <c r="D1154" s="37" t="s">
        <v>61</v>
      </c>
      <c r="E1154" s="37" t="s">
        <v>106</v>
      </c>
      <c r="F1154" s="37" t="s">
        <v>194</v>
      </c>
      <c r="G1154" s="37" t="s">
        <v>354</v>
      </c>
      <c r="H1154" s="37"/>
      <c r="I1154" s="37" t="s">
        <v>355</v>
      </c>
      <c r="J1154" s="37" t="s">
        <v>1205</v>
      </c>
      <c r="K1154" s="45" t="n">
        <v>61.6</v>
      </c>
      <c r="L1154" s="46" t="n">
        <v>4373.2</v>
      </c>
    </row>
    <row r="1155" customFormat="false" ht="15" hidden="false" customHeight="false" outlineLevel="0" collapsed="false">
      <c r="A1155" s="37" t="n">
        <v>501393</v>
      </c>
      <c r="B1155" s="37" t="s">
        <v>1204</v>
      </c>
      <c r="C1155" s="37" t="n">
        <v>202602</v>
      </c>
      <c r="D1155" s="37" t="s">
        <v>62</v>
      </c>
      <c r="E1155" s="37" t="s">
        <v>97</v>
      </c>
      <c r="F1155" s="37" t="s">
        <v>194</v>
      </c>
      <c r="G1155" s="37" t="s">
        <v>354</v>
      </c>
      <c r="H1155" s="37"/>
      <c r="I1155" s="37" t="s">
        <v>355</v>
      </c>
      <c r="J1155" s="37" t="s">
        <v>1205</v>
      </c>
      <c r="K1155" s="45" t="n">
        <v>303.5</v>
      </c>
      <c r="L1155" s="46" t="n">
        <v>27921.58</v>
      </c>
    </row>
    <row r="1156" customFormat="false" ht="15" hidden="false" customHeight="false" outlineLevel="0" collapsed="false">
      <c r="A1156" s="37" t="n">
        <v>501497</v>
      </c>
      <c r="B1156" s="37" t="s">
        <v>1204</v>
      </c>
      <c r="C1156" s="37" t="n">
        <v>202602</v>
      </c>
      <c r="D1156" s="37" t="s">
        <v>62</v>
      </c>
      <c r="E1156" s="37" t="s">
        <v>101</v>
      </c>
      <c r="F1156" s="37" t="s">
        <v>194</v>
      </c>
      <c r="G1156" s="37" t="s">
        <v>354</v>
      </c>
      <c r="H1156" s="37"/>
      <c r="I1156" s="37" t="s">
        <v>355</v>
      </c>
      <c r="J1156" s="37" t="s">
        <v>1205</v>
      </c>
      <c r="K1156" s="45" t="n">
        <v>378</v>
      </c>
      <c r="L1156" s="46" t="n">
        <v>27971.23</v>
      </c>
    </row>
    <row r="1157" customFormat="false" ht="15" hidden="false" customHeight="false" outlineLevel="0" collapsed="false">
      <c r="A1157" s="37" t="n">
        <v>501639</v>
      </c>
      <c r="B1157" s="37" t="s">
        <v>1204</v>
      </c>
      <c r="C1157" s="37" t="n">
        <v>202602</v>
      </c>
      <c r="D1157" s="37" t="s">
        <v>63</v>
      </c>
      <c r="E1157" s="37" t="s">
        <v>97</v>
      </c>
      <c r="F1157" s="37" t="s">
        <v>194</v>
      </c>
      <c r="G1157" s="37" t="s">
        <v>354</v>
      </c>
      <c r="H1157" s="37"/>
      <c r="I1157" s="37" t="s">
        <v>355</v>
      </c>
      <c r="J1157" s="37" t="s">
        <v>1205</v>
      </c>
      <c r="K1157" s="45" t="n">
        <v>212.3</v>
      </c>
      <c r="L1157" s="46" t="n">
        <v>19527.17</v>
      </c>
    </row>
    <row r="1158" customFormat="false" ht="15" hidden="false" customHeight="false" outlineLevel="0" collapsed="false">
      <c r="A1158" s="37" t="n">
        <v>501743</v>
      </c>
      <c r="B1158" s="37" t="s">
        <v>1204</v>
      </c>
      <c r="C1158" s="37" t="n">
        <v>202602</v>
      </c>
      <c r="D1158" s="37" t="s">
        <v>63</v>
      </c>
      <c r="E1158" s="37" t="s">
        <v>101</v>
      </c>
      <c r="F1158" s="37" t="s">
        <v>194</v>
      </c>
      <c r="G1158" s="37" t="s">
        <v>354</v>
      </c>
      <c r="H1158" s="37"/>
      <c r="I1158" s="37" t="s">
        <v>355</v>
      </c>
      <c r="J1158" s="37" t="s">
        <v>1205</v>
      </c>
      <c r="K1158" s="45" t="n">
        <v>254.6</v>
      </c>
      <c r="L1158" s="46" t="n">
        <v>18838.75</v>
      </c>
    </row>
    <row r="1159" customFormat="false" ht="15" hidden="false" customHeight="false" outlineLevel="0" collapsed="false">
      <c r="A1159" s="37" t="n">
        <v>501873</v>
      </c>
      <c r="B1159" s="37" t="s">
        <v>1204</v>
      </c>
      <c r="C1159" s="37" t="n">
        <v>202602</v>
      </c>
      <c r="D1159" s="37" t="s">
        <v>64</v>
      </c>
      <c r="E1159" s="37" t="s">
        <v>97</v>
      </c>
      <c r="F1159" s="37" t="s">
        <v>194</v>
      </c>
      <c r="G1159" s="37" t="s">
        <v>354</v>
      </c>
      <c r="H1159" s="37"/>
      <c r="I1159" s="37" t="s">
        <v>355</v>
      </c>
      <c r="J1159" s="37" t="s">
        <v>1205</v>
      </c>
      <c r="K1159" s="45" t="n">
        <v>181</v>
      </c>
      <c r="L1159" s="46" t="n">
        <v>16653.51</v>
      </c>
    </row>
    <row r="1160" customFormat="false" ht="15" hidden="false" customHeight="false" outlineLevel="0" collapsed="false">
      <c r="A1160" s="37" t="n">
        <v>501963</v>
      </c>
      <c r="B1160" s="37" t="s">
        <v>1204</v>
      </c>
      <c r="C1160" s="37" t="n">
        <v>202602</v>
      </c>
      <c r="D1160" s="37" t="s">
        <v>64</v>
      </c>
      <c r="E1160" s="37" t="s">
        <v>101</v>
      </c>
      <c r="F1160" s="37" t="s">
        <v>194</v>
      </c>
      <c r="G1160" s="37" t="s">
        <v>354</v>
      </c>
      <c r="H1160" s="37"/>
      <c r="I1160" s="37" t="s">
        <v>355</v>
      </c>
      <c r="J1160" s="37" t="s">
        <v>1205</v>
      </c>
      <c r="K1160" s="45" t="n">
        <v>551.9</v>
      </c>
      <c r="L1160" s="46" t="n">
        <v>40839.67</v>
      </c>
    </row>
    <row r="1161" customFormat="false" ht="15" hidden="false" customHeight="false" outlineLevel="0" collapsed="false">
      <c r="A1161" s="37" t="n">
        <v>502089</v>
      </c>
      <c r="B1161" s="37" t="s">
        <v>1204</v>
      </c>
      <c r="C1161" s="37" t="n">
        <v>202602</v>
      </c>
      <c r="D1161" s="37" t="s">
        <v>65</v>
      </c>
      <c r="E1161" s="37" t="s">
        <v>97</v>
      </c>
      <c r="F1161" s="37" t="s">
        <v>194</v>
      </c>
      <c r="G1161" s="37" t="s">
        <v>354</v>
      </c>
      <c r="H1161" s="37"/>
      <c r="I1161" s="37" t="s">
        <v>355</v>
      </c>
      <c r="J1161" s="37" t="s">
        <v>1205</v>
      </c>
      <c r="K1161" s="45" t="n">
        <v>153</v>
      </c>
      <c r="L1161" s="46" t="n">
        <v>14080.2</v>
      </c>
    </row>
    <row r="1162" customFormat="false" ht="15" hidden="false" customHeight="false" outlineLevel="0" collapsed="false">
      <c r="A1162" s="37" t="n">
        <v>502168</v>
      </c>
      <c r="B1162" s="37" t="s">
        <v>1204</v>
      </c>
      <c r="C1162" s="37" t="n">
        <v>202602</v>
      </c>
      <c r="D1162" s="37" t="s">
        <v>65</v>
      </c>
      <c r="E1162" s="37" t="s">
        <v>101</v>
      </c>
      <c r="F1162" s="37" t="s">
        <v>194</v>
      </c>
      <c r="G1162" s="37" t="s">
        <v>354</v>
      </c>
      <c r="H1162" s="37"/>
      <c r="I1162" s="37" t="s">
        <v>355</v>
      </c>
      <c r="J1162" s="37" t="s">
        <v>1205</v>
      </c>
      <c r="K1162" s="45" t="n">
        <v>363.2</v>
      </c>
      <c r="L1162" s="46" t="n">
        <v>26873.89</v>
      </c>
    </row>
    <row r="1163" customFormat="false" ht="15" hidden="false" customHeight="false" outlineLevel="0" collapsed="false">
      <c r="A1163" s="37" t="n">
        <v>502196</v>
      </c>
      <c r="B1163" s="37" t="s">
        <v>1204</v>
      </c>
      <c r="C1163" s="37" t="n">
        <v>202602</v>
      </c>
      <c r="D1163" s="37" t="s">
        <v>65</v>
      </c>
      <c r="E1163" s="37" t="s">
        <v>102</v>
      </c>
      <c r="F1163" s="37" t="s">
        <v>205</v>
      </c>
      <c r="G1163" s="37" t="s">
        <v>358</v>
      </c>
      <c r="H1163" s="37" t="s">
        <v>1039</v>
      </c>
      <c r="I1163" s="37" t="s">
        <v>715</v>
      </c>
      <c r="J1163" s="37" t="s">
        <v>1207</v>
      </c>
      <c r="K1163" s="45" t="n">
        <v>0</v>
      </c>
      <c r="L1163" s="46" t="n">
        <v>189624.85</v>
      </c>
    </row>
    <row r="1164" customFormat="false" ht="15" hidden="false" customHeight="false" outlineLevel="0" collapsed="false">
      <c r="A1164" s="37" t="n">
        <v>502272</v>
      </c>
      <c r="B1164" s="37" t="s">
        <v>1204</v>
      </c>
      <c r="C1164" s="37" t="n">
        <v>202602</v>
      </c>
      <c r="D1164" s="37" t="s">
        <v>66</v>
      </c>
      <c r="E1164" s="37" t="s">
        <v>97</v>
      </c>
      <c r="F1164" s="37" t="s">
        <v>194</v>
      </c>
      <c r="G1164" s="37" t="s">
        <v>354</v>
      </c>
      <c r="H1164" s="37"/>
      <c r="I1164" s="37" t="s">
        <v>355</v>
      </c>
      <c r="J1164" s="37" t="s">
        <v>1205</v>
      </c>
      <c r="K1164" s="45" t="n">
        <v>70.8</v>
      </c>
      <c r="L1164" s="46" t="n">
        <v>6516.04</v>
      </c>
    </row>
    <row r="1165" customFormat="false" ht="15" hidden="false" customHeight="false" outlineLevel="0" collapsed="false">
      <c r="A1165" s="37" t="n">
        <v>501916</v>
      </c>
      <c r="B1165" s="37" t="s">
        <v>1208</v>
      </c>
      <c r="C1165" s="37" t="n">
        <v>202602</v>
      </c>
      <c r="D1165" s="37" t="s">
        <v>64</v>
      </c>
      <c r="E1165" s="37" t="s">
        <v>98</v>
      </c>
      <c r="F1165" s="37" t="s">
        <v>196</v>
      </c>
      <c r="G1165" s="37" t="s">
        <v>358</v>
      </c>
      <c r="H1165" s="37" t="s">
        <v>359</v>
      </c>
      <c r="I1165" s="37" t="s">
        <v>360</v>
      </c>
      <c r="J1165" s="37" t="s">
        <v>1209</v>
      </c>
      <c r="K1165" s="45" t="n">
        <v>0</v>
      </c>
      <c r="L1165" s="46" t="n">
        <v>6729.81</v>
      </c>
    </row>
    <row r="1166" customFormat="false" ht="15" hidden="false" customHeight="false" outlineLevel="0" collapsed="false">
      <c r="A1166" s="37" t="n">
        <v>502207</v>
      </c>
      <c r="B1166" s="37" t="s">
        <v>1208</v>
      </c>
      <c r="C1166" s="37" t="n">
        <v>202602</v>
      </c>
      <c r="D1166" s="37" t="s">
        <v>65</v>
      </c>
      <c r="E1166" s="37" t="s">
        <v>103</v>
      </c>
      <c r="F1166" s="37" t="s">
        <v>205</v>
      </c>
      <c r="G1166" s="37" t="s">
        <v>358</v>
      </c>
      <c r="H1166" s="37" t="s">
        <v>1051</v>
      </c>
      <c r="I1166" s="37" t="s">
        <v>898</v>
      </c>
      <c r="J1166" s="37" t="s">
        <v>1210</v>
      </c>
      <c r="K1166" s="45" t="n">
        <v>0</v>
      </c>
      <c r="L1166" s="46" t="n">
        <v>76541.33</v>
      </c>
    </row>
    <row r="1167" customFormat="false" ht="15" hidden="false" customHeight="false" outlineLevel="0" collapsed="false">
      <c r="A1167" s="37" t="n">
        <v>502308</v>
      </c>
      <c r="B1167" s="37" t="s">
        <v>1211</v>
      </c>
      <c r="C1167" s="37" t="n">
        <v>202602</v>
      </c>
      <c r="D1167" s="37" t="s">
        <v>66</v>
      </c>
      <c r="E1167" s="37" t="s">
        <v>98</v>
      </c>
      <c r="F1167" s="37" t="s">
        <v>196</v>
      </c>
      <c r="G1167" s="37" t="s">
        <v>358</v>
      </c>
      <c r="H1167" s="37" t="s">
        <v>359</v>
      </c>
      <c r="I1167" s="37" t="s">
        <v>360</v>
      </c>
      <c r="J1167" s="37" t="s">
        <v>1212</v>
      </c>
      <c r="K1167" s="45" t="n">
        <v>0</v>
      </c>
      <c r="L1167" s="46" t="n">
        <v>4700.27</v>
      </c>
    </row>
    <row r="1168" customFormat="false" ht="15" hidden="false" customHeight="false" outlineLevel="0" collapsed="false">
      <c r="A1168" s="37" t="n">
        <v>501774</v>
      </c>
      <c r="B1168" s="37" t="s">
        <v>1213</v>
      </c>
      <c r="C1168" s="37" t="n">
        <v>202602</v>
      </c>
      <c r="D1168" s="37" t="s">
        <v>63</v>
      </c>
      <c r="E1168" s="37" t="s">
        <v>103</v>
      </c>
      <c r="F1168" s="37" t="s">
        <v>205</v>
      </c>
      <c r="G1168" s="37" t="s">
        <v>358</v>
      </c>
      <c r="H1168" s="37" t="s">
        <v>921</v>
      </c>
      <c r="I1168" s="37" t="s">
        <v>728</v>
      </c>
      <c r="J1168" s="37" t="s">
        <v>1214</v>
      </c>
      <c r="K1168" s="45" t="n">
        <v>0</v>
      </c>
      <c r="L1168" s="46" t="n">
        <v>60874.89</v>
      </c>
    </row>
    <row r="1169" customFormat="false" ht="15" hidden="false" customHeight="false" outlineLevel="0" collapsed="false">
      <c r="A1169" s="37" t="n">
        <v>501917</v>
      </c>
      <c r="B1169" s="37" t="s">
        <v>1213</v>
      </c>
      <c r="C1169" s="37" t="n">
        <v>202602</v>
      </c>
      <c r="D1169" s="37" t="s">
        <v>64</v>
      </c>
      <c r="E1169" s="37" t="s">
        <v>98</v>
      </c>
      <c r="F1169" s="37" t="s">
        <v>196</v>
      </c>
      <c r="G1169" s="37" t="s">
        <v>358</v>
      </c>
      <c r="H1169" s="37" t="s">
        <v>359</v>
      </c>
      <c r="I1169" s="37" t="s">
        <v>360</v>
      </c>
      <c r="J1169" s="37" t="s">
        <v>1215</v>
      </c>
      <c r="K1169" s="45" t="n">
        <v>0</v>
      </c>
      <c r="L1169" s="46" t="n">
        <v>9532.43</v>
      </c>
    </row>
    <row r="1170" customFormat="false" ht="15" hidden="false" customHeight="false" outlineLevel="0" collapsed="false">
      <c r="A1170" s="37" t="n">
        <v>502128</v>
      </c>
      <c r="B1170" s="37" t="s">
        <v>1213</v>
      </c>
      <c r="C1170" s="37" t="n">
        <v>202602</v>
      </c>
      <c r="D1170" s="37" t="s">
        <v>65</v>
      </c>
      <c r="E1170" s="37" t="s">
        <v>98</v>
      </c>
      <c r="F1170" s="37" t="s">
        <v>196</v>
      </c>
      <c r="G1170" s="37" t="s">
        <v>358</v>
      </c>
      <c r="H1170" s="37" t="s">
        <v>359</v>
      </c>
      <c r="I1170" s="37" t="s">
        <v>360</v>
      </c>
      <c r="J1170" s="37" t="s">
        <v>1216</v>
      </c>
      <c r="K1170" s="45" t="n">
        <v>0</v>
      </c>
      <c r="L1170" s="46" t="n">
        <v>26726.39</v>
      </c>
    </row>
    <row r="1171" customFormat="false" ht="15" hidden="false" customHeight="false" outlineLevel="0" collapsed="false">
      <c r="A1171" s="37" t="n">
        <v>501990</v>
      </c>
      <c r="B1171" s="37" t="s">
        <v>1217</v>
      </c>
      <c r="C1171" s="37" t="n">
        <v>202602</v>
      </c>
      <c r="D1171" s="37" t="s">
        <v>64</v>
      </c>
      <c r="E1171" s="37" t="s">
        <v>102</v>
      </c>
      <c r="F1171" s="37" t="s">
        <v>205</v>
      </c>
      <c r="G1171" s="37" t="s">
        <v>358</v>
      </c>
      <c r="H1171" s="37" t="s">
        <v>947</v>
      </c>
      <c r="I1171" s="37" t="s">
        <v>811</v>
      </c>
      <c r="J1171" s="37" t="s">
        <v>1218</v>
      </c>
      <c r="K1171" s="45" t="n">
        <v>0</v>
      </c>
      <c r="L1171" s="46" t="n">
        <v>62620.41</v>
      </c>
    </row>
    <row r="1172" customFormat="false" ht="15" hidden="false" customHeight="false" outlineLevel="0" collapsed="false">
      <c r="A1172" s="37" t="n">
        <v>502007</v>
      </c>
      <c r="B1172" s="37" t="s">
        <v>1217</v>
      </c>
      <c r="C1172" s="37" t="n">
        <v>202602</v>
      </c>
      <c r="D1172" s="37" t="s">
        <v>64</v>
      </c>
      <c r="E1172" s="37" t="s">
        <v>103</v>
      </c>
      <c r="F1172" s="37" t="s">
        <v>205</v>
      </c>
      <c r="G1172" s="37" t="s">
        <v>358</v>
      </c>
      <c r="H1172" s="37" t="s">
        <v>969</v>
      </c>
      <c r="I1172" s="37" t="s">
        <v>898</v>
      </c>
      <c r="J1172" s="37" t="s">
        <v>1219</v>
      </c>
      <c r="K1172" s="45" t="n">
        <v>0</v>
      </c>
      <c r="L1172" s="46" t="n">
        <v>77233.35</v>
      </c>
    </row>
    <row r="1173" customFormat="false" ht="15" hidden="false" customHeight="false" outlineLevel="0" collapsed="false">
      <c r="A1173" s="37" t="n">
        <v>501992</v>
      </c>
      <c r="B1173" s="37" t="s">
        <v>1220</v>
      </c>
      <c r="C1173" s="37" t="n">
        <v>202602</v>
      </c>
      <c r="D1173" s="37" t="s">
        <v>64</v>
      </c>
      <c r="E1173" s="37" t="s">
        <v>102</v>
      </c>
      <c r="F1173" s="37" t="s">
        <v>205</v>
      </c>
      <c r="G1173" s="37" t="s">
        <v>358</v>
      </c>
      <c r="H1173" s="37" t="s">
        <v>947</v>
      </c>
      <c r="I1173" s="37" t="s">
        <v>811</v>
      </c>
      <c r="J1173" s="37" t="s">
        <v>1221</v>
      </c>
      <c r="K1173" s="45" t="n">
        <v>0</v>
      </c>
      <c r="L1173" s="46" t="n">
        <v>13548.64</v>
      </c>
    </row>
    <row r="1174" customFormat="false" ht="15" hidden="false" customHeight="false" outlineLevel="0" collapsed="false">
      <c r="A1174" s="37" t="n">
        <v>500089</v>
      </c>
      <c r="B1174" s="37" t="s">
        <v>1222</v>
      </c>
      <c r="C1174" s="37" t="n">
        <v>202602</v>
      </c>
      <c r="D1174" s="37" t="s">
        <v>58</v>
      </c>
      <c r="E1174" s="37" t="s">
        <v>97</v>
      </c>
      <c r="F1174" s="37" t="s">
        <v>194</v>
      </c>
      <c r="G1174" s="37" t="s">
        <v>354</v>
      </c>
      <c r="H1174" s="37"/>
      <c r="I1174" s="37" t="s">
        <v>355</v>
      </c>
      <c r="J1174" s="37" t="s">
        <v>1223</v>
      </c>
      <c r="K1174" s="45" t="n">
        <v>55</v>
      </c>
      <c r="L1174" s="46" t="n">
        <v>5055.57</v>
      </c>
    </row>
    <row r="1175" customFormat="false" ht="15" hidden="false" customHeight="false" outlineLevel="0" collapsed="false">
      <c r="A1175" s="37" t="n">
        <v>500363</v>
      </c>
      <c r="B1175" s="37" t="s">
        <v>1222</v>
      </c>
      <c r="C1175" s="37" t="n">
        <v>202602</v>
      </c>
      <c r="D1175" s="37" t="s">
        <v>58</v>
      </c>
      <c r="E1175" s="37" t="s">
        <v>106</v>
      </c>
      <c r="F1175" s="37" t="s">
        <v>194</v>
      </c>
      <c r="G1175" s="37" t="s">
        <v>354</v>
      </c>
      <c r="H1175" s="37"/>
      <c r="I1175" s="37" t="s">
        <v>355</v>
      </c>
      <c r="J1175" s="37" t="s">
        <v>1223</v>
      </c>
      <c r="K1175" s="45" t="n">
        <v>98.8</v>
      </c>
      <c r="L1175" s="46" t="n">
        <v>7013.11</v>
      </c>
    </row>
    <row r="1176" customFormat="false" ht="15" hidden="false" customHeight="false" outlineLevel="0" collapsed="false">
      <c r="A1176" s="37" t="n">
        <v>500497</v>
      </c>
      <c r="B1176" s="37" t="s">
        <v>1222</v>
      </c>
      <c r="C1176" s="37" t="n">
        <v>202602</v>
      </c>
      <c r="D1176" s="37" t="s">
        <v>59</v>
      </c>
      <c r="E1176" s="37" t="s">
        <v>97</v>
      </c>
      <c r="F1176" s="37" t="s">
        <v>194</v>
      </c>
      <c r="G1176" s="37" t="s">
        <v>354</v>
      </c>
      <c r="H1176" s="37"/>
      <c r="I1176" s="37" t="s">
        <v>355</v>
      </c>
      <c r="J1176" s="37" t="s">
        <v>1223</v>
      </c>
      <c r="K1176" s="45" t="n">
        <v>310</v>
      </c>
      <c r="L1176" s="46" t="n">
        <v>28519.11</v>
      </c>
    </row>
    <row r="1177" customFormat="false" ht="15" hidden="false" customHeight="false" outlineLevel="0" collapsed="false">
      <c r="A1177" s="37" t="n">
        <v>500699</v>
      </c>
      <c r="B1177" s="37" t="s">
        <v>1222</v>
      </c>
      <c r="C1177" s="37" t="n">
        <v>202602</v>
      </c>
      <c r="D1177" s="37" t="s">
        <v>59</v>
      </c>
      <c r="E1177" s="37" t="s">
        <v>106</v>
      </c>
      <c r="F1177" s="37" t="s">
        <v>194</v>
      </c>
      <c r="G1177" s="37" t="s">
        <v>354</v>
      </c>
      <c r="H1177" s="37"/>
      <c r="I1177" s="37" t="s">
        <v>355</v>
      </c>
      <c r="J1177" s="37" t="s">
        <v>1223</v>
      </c>
      <c r="K1177" s="45" t="n">
        <v>119.7</v>
      </c>
      <c r="L1177" s="46" t="n">
        <v>8497.98</v>
      </c>
    </row>
    <row r="1178" customFormat="false" ht="15" hidden="false" customHeight="false" outlineLevel="0" collapsed="false">
      <c r="A1178" s="37" t="n">
        <v>500826</v>
      </c>
      <c r="B1178" s="37" t="s">
        <v>1222</v>
      </c>
      <c r="C1178" s="37" t="n">
        <v>202602</v>
      </c>
      <c r="D1178" s="37" t="s">
        <v>60</v>
      </c>
      <c r="E1178" s="37" t="s">
        <v>97</v>
      </c>
      <c r="F1178" s="37" t="s">
        <v>194</v>
      </c>
      <c r="G1178" s="37" t="s">
        <v>354</v>
      </c>
      <c r="H1178" s="37"/>
      <c r="I1178" s="37" t="s">
        <v>355</v>
      </c>
      <c r="J1178" s="37" t="s">
        <v>1223</v>
      </c>
      <c r="K1178" s="45" t="n">
        <v>208.1</v>
      </c>
      <c r="L1178" s="46" t="n">
        <v>19142.12</v>
      </c>
    </row>
    <row r="1179" customFormat="false" ht="15" hidden="false" customHeight="false" outlineLevel="0" collapsed="false">
      <c r="A1179" s="37" t="n">
        <v>500954</v>
      </c>
      <c r="B1179" s="37" t="s">
        <v>1222</v>
      </c>
      <c r="C1179" s="37" t="n">
        <v>202602</v>
      </c>
      <c r="D1179" s="37" t="s">
        <v>60</v>
      </c>
      <c r="E1179" s="37" t="s">
        <v>101</v>
      </c>
      <c r="F1179" s="37" t="s">
        <v>194</v>
      </c>
      <c r="G1179" s="37" t="s">
        <v>354</v>
      </c>
      <c r="H1179" s="37"/>
      <c r="I1179" s="37" t="s">
        <v>355</v>
      </c>
      <c r="J1179" s="37" t="s">
        <v>1223</v>
      </c>
      <c r="K1179" s="45" t="n">
        <v>57.5</v>
      </c>
      <c r="L1179" s="46" t="n">
        <v>4254.69</v>
      </c>
    </row>
    <row r="1180" customFormat="false" ht="15" hidden="false" customHeight="false" outlineLevel="0" collapsed="false">
      <c r="A1180" s="37" t="n">
        <v>501019</v>
      </c>
      <c r="B1180" s="37" t="s">
        <v>1222</v>
      </c>
      <c r="C1180" s="37" t="n">
        <v>202602</v>
      </c>
      <c r="D1180" s="37" t="s">
        <v>60</v>
      </c>
      <c r="E1180" s="37" t="s">
        <v>106</v>
      </c>
      <c r="F1180" s="37" t="s">
        <v>194</v>
      </c>
      <c r="G1180" s="37" t="s">
        <v>354</v>
      </c>
      <c r="H1180" s="37"/>
      <c r="I1180" s="37" t="s">
        <v>355</v>
      </c>
      <c r="J1180" s="37" t="s">
        <v>1223</v>
      </c>
      <c r="K1180" s="45" t="n">
        <v>169.3</v>
      </c>
      <c r="L1180" s="46" t="n">
        <v>12017.75</v>
      </c>
    </row>
    <row r="1181" customFormat="false" ht="15" hidden="false" customHeight="false" outlineLevel="0" collapsed="false">
      <c r="A1181" s="37" t="n">
        <v>501133</v>
      </c>
      <c r="B1181" s="37" t="s">
        <v>1222</v>
      </c>
      <c r="C1181" s="37" t="n">
        <v>202602</v>
      </c>
      <c r="D1181" s="37" t="s">
        <v>61</v>
      </c>
      <c r="E1181" s="37" t="s">
        <v>97</v>
      </c>
      <c r="F1181" s="37" t="s">
        <v>194</v>
      </c>
      <c r="G1181" s="37" t="s">
        <v>354</v>
      </c>
      <c r="H1181" s="37"/>
      <c r="I1181" s="37" t="s">
        <v>355</v>
      </c>
      <c r="J1181" s="37" t="s">
        <v>1223</v>
      </c>
      <c r="K1181" s="45" t="n">
        <v>135.9</v>
      </c>
      <c r="L1181" s="46" t="n">
        <v>12500.74</v>
      </c>
    </row>
    <row r="1182" customFormat="false" ht="15" hidden="false" customHeight="false" outlineLevel="0" collapsed="false">
      <c r="A1182" s="37" t="n">
        <v>501275</v>
      </c>
      <c r="B1182" s="37" t="s">
        <v>1222</v>
      </c>
      <c r="C1182" s="37" t="n">
        <v>202602</v>
      </c>
      <c r="D1182" s="37" t="s">
        <v>61</v>
      </c>
      <c r="E1182" s="37" t="s">
        <v>103</v>
      </c>
      <c r="F1182" s="37" t="s">
        <v>205</v>
      </c>
      <c r="G1182" s="37" t="s">
        <v>358</v>
      </c>
      <c r="H1182" s="37" t="s">
        <v>711</v>
      </c>
      <c r="I1182" s="37" t="s">
        <v>401</v>
      </c>
      <c r="J1182" s="37" t="s">
        <v>1224</v>
      </c>
      <c r="K1182" s="45" t="n">
        <v>0</v>
      </c>
      <c r="L1182" s="46" t="n">
        <v>1756.45</v>
      </c>
    </row>
    <row r="1183" customFormat="false" ht="15" hidden="false" customHeight="false" outlineLevel="0" collapsed="false">
      <c r="A1183" s="37" t="n">
        <v>501293</v>
      </c>
      <c r="B1183" s="37" t="s">
        <v>1222</v>
      </c>
      <c r="C1183" s="37" t="n">
        <v>202602</v>
      </c>
      <c r="D1183" s="37" t="s">
        <v>61</v>
      </c>
      <c r="E1183" s="37" t="s">
        <v>106</v>
      </c>
      <c r="F1183" s="37" t="s">
        <v>194</v>
      </c>
      <c r="G1183" s="37" t="s">
        <v>354</v>
      </c>
      <c r="H1183" s="37"/>
      <c r="I1183" s="37" t="s">
        <v>355</v>
      </c>
      <c r="J1183" s="37" t="s">
        <v>1223</v>
      </c>
      <c r="K1183" s="45" t="n">
        <v>107.2</v>
      </c>
      <c r="L1183" s="46" t="n">
        <v>7609.59</v>
      </c>
    </row>
    <row r="1184" customFormat="false" ht="15" hidden="false" customHeight="false" outlineLevel="0" collapsed="false">
      <c r="A1184" s="37" t="n">
        <v>501394</v>
      </c>
      <c r="B1184" s="37" t="s">
        <v>1222</v>
      </c>
      <c r="C1184" s="37" t="n">
        <v>202602</v>
      </c>
      <c r="D1184" s="37" t="s">
        <v>62</v>
      </c>
      <c r="E1184" s="37" t="s">
        <v>97</v>
      </c>
      <c r="F1184" s="37" t="s">
        <v>194</v>
      </c>
      <c r="G1184" s="37" t="s">
        <v>354</v>
      </c>
      <c r="H1184" s="37"/>
      <c r="I1184" s="37" t="s">
        <v>355</v>
      </c>
      <c r="J1184" s="37" t="s">
        <v>1223</v>
      </c>
      <c r="K1184" s="45" t="n">
        <v>205.2</v>
      </c>
      <c r="L1184" s="46" t="n">
        <v>18875.34</v>
      </c>
    </row>
    <row r="1185" customFormat="false" ht="15" hidden="false" customHeight="false" outlineLevel="0" collapsed="false">
      <c r="A1185" s="37" t="n">
        <v>501498</v>
      </c>
      <c r="B1185" s="37" t="s">
        <v>1222</v>
      </c>
      <c r="C1185" s="37" t="n">
        <v>202602</v>
      </c>
      <c r="D1185" s="37" t="s">
        <v>62</v>
      </c>
      <c r="E1185" s="37" t="s">
        <v>101</v>
      </c>
      <c r="F1185" s="37" t="s">
        <v>194</v>
      </c>
      <c r="G1185" s="37" t="s">
        <v>354</v>
      </c>
      <c r="H1185" s="37"/>
      <c r="I1185" s="37" t="s">
        <v>355</v>
      </c>
      <c r="J1185" s="37" t="s">
        <v>1223</v>
      </c>
      <c r="K1185" s="45" t="n">
        <v>576.5</v>
      </c>
      <c r="L1185" s="46" t="n">
        <v>42659.59</v>
      </c>
    </row>
    <row r="1186" customFormat="false" ht="15" hidden="false" customHeight="false" outlineLevel="0" collapsed="false">
      <c r="A1186" s="37" t="n">
        <v>501640</v>
      </c>
      <c r="B1186" s="37" t="s">
        <v>1222</v>
      </c>
      <c r="C1186" s="37" t="n">
        <v>202602</v>
      </c>
      <c r="D1186" s="37" t="s">
        <v>63</v>
      </c>
      <c r="E1186" s="37" t="s">
        <v>97</v>
      </c>
      <c r="F1186" s="37" t="s">
        <v>194</v>
      </c>
      <c r="G1186" s="37" t="s">
        <v>354</v>
      </c>
      <c r="H1186" s="37"/>
      <c r="I1186" s="37" t="s">
        <v>355</v>
      </c>
      <c r="J1186" s="37" t="s">
        <v>1223</v>
      </c>
      <c r="K1186" s="45" t="n">
        <v>158.5</v>
      </c>
      <c r="L1186" s="46" t="n">
        <v>14585.45</v>
      </c>
    </row>
    <row r="1187" customFormat="false" ht="15" hidden="false" customHeight="false" outlineLevel="0" collapsed="false">
      <c r="A1187" s="37" t="n">
        <v>501744</v>
      </c>
      <c r="B1187" s="37" t="s">
        <v>1222</v>
      </c>
      <c r="C1187" s="37" t="n">
        <v>202602</v>
      </c>
      <c r="D1187" s="37" t="s">
        <v>63</v>
      </c>
      <c r="E1187" s="37" t="s">
        <v>101</v>
      </c>
      <c r="F1187" s="37" t="s">
        <v>194</v>
      </c>
      <c r="G1187" s="37" t="s">
        <v>354</v>
      </c>
      <c r="H1187" s="37"/>
      <c r="I1187" s="37" t="s">
        <v>355</v>
      </c>
      <c r="J1187" s="37" t="s">
        <v>1223</v>
      </c>
      <c r="K1187" s="45" t="n">
        <v>236.7</v>
      </c>
      <c r="L1187" s="46" t="n">
        <v>17518.55</v>
      </c>
    </row>
    <row r="1188" customFormat="false" ht="15" hidden="false" customHeight="false" outlineLevel="0" collapsed="false">
      <c r="A1188" s="37" t="n">
        <v>501773</v>
      </c>
      <c r="B1188" s="37" t="s">
        <v>1222</v>
      </c>
      <c r="C1188" s="37" t="n">
        <v>202602</v>
      </c>
      <c r="D1188" s="37" t="s">
        <v>63</v>
      </c>
      <c r="E1188" s="37" t="s">
        <v>103</v>
      </c>
      <c r="F1188" s="37" t="s">
        <v>205</v>
      </c>
      <c r="G1188" s="37" t="s">
        <v>358</v>
      </c>
      <c r="H1188" s="37" t="s">
        <v>921</v>
      </c>
      <c r="I1188" s="37" t="s">
        <v>728</v>
      </c>
      <c r="J1188" s="37" t="s">
        <v>1225</v>
      </c>
      <c r="K1188" s="45" t="n">
        <v>0</v>
      </c>
      <c r="L1188" s="46" t="n">
        <v>10303.51</v>
      </c>
    </row>
    <row r="1189" customFormat="false" ht="15" hidden="false" customHeight="false" outlineLevel="0" collapsed="false">
      <c r="A1189" s="37" t="n">
        <v>501874</v>
      </c>
      <c r="B1189" s="37" t="s">
        <v>1222</v>
      </c>
      <c r="C1189" s="37" t="n">
        <v>202602</v>
      </c>
      <c r="D1189" s="37" t="s">
        <v>64</v>
      </c>
      <c r="E1189" s="37" t="s">
        <v>97</v>
      </c>
      <c r="F1189" s="37" t="s">
        <v>194</v>
      </c>
      <c r="G1189" s="37" t="s">
        <v>354</v>
      </c>
      <c r="H1189" s="37"/>
      <c r="I1189" s="37" t="s">
        <v>355</v>
      </c>
      <c r="J1189" s="37" t="s">
        <v>1223</v>
      </c>
      <c r="K1189" s="45" t="n">
        <v>80.3</v>
      </c>
      <c r="L1189" s="46" t="n">
        <v>7385.03</v>
      </c>
    </row>
    <row r="1190" customFormat="false" ht="15" hidden="false" customHeight="false" outlineLevel="0" collapsed="false">
      <c r="A1190" s="37" t="n">
        <v>501964</v>
      </c>
      <c r="B1190" s="37" t="s">
        <v>1222</v>
      </c>
      <c r="C1190" s="37" t="n">
        <v>202602</v>
      </c>
      <c r="D1190" s="37" t="s">
        <v>64</v>
      </c>
      <c r="E1190" s="37" t="s">
        <v>101</v>
      </c>
      <c r="F1190" s="37" t="s">
        <v>194</v>
      </c>
      <c r="G1190" s="37" t="s">
        <v>354</v>
      </c>
      <c r="H1190" s="37"/>
      <c r="I1190" s="37" t="s">
        <v>355</v>
      </c>
      <c r="J1190" s="37" t="s">
        <v>1223</v>
      </c>
      <c r="K1190" s="45" t="n">
        <v>918.3</v>
      </c>
      <c r="L1190" s="46" t="n">
        <v>67957.04</v>
      </c>
    </row>
    <row r="1191" customFormat="false" ht="15" hidden="false" customHeight="false" outlineLevel="0" collapsed="false">
      <c r="A1191" s="37" t="n">
        <v>502090</v>
      </c>
      <c r="B1191" s="37" t="s">
        <v>1222</v>
      </c>
      <c r="C1191" s="37" t="n">
        <v>202602</v>
      </c>
      <c r="D1191" s="37" t="s">
        <v>65</v>
      </c>
      <c r="E1191" s="37" t="s">
        <v>97</v>
      </c>
      <c r="F1191" s="37" t="s">
        <v>194</v>
      </c>
      <c r="G1191" s="37" t="s">
        <v>354</v>
      </c>
      <c r="H1191" s="37"/>
      <c r="I1191" s="37" t="s">
        <v>355</v>
      </c>
      <c r="J1191" s="37" t="s">
        <v>1223</v>
      </c>
      <c r="K1191" s="45" t="n">
        <v>191.6</v>
      </c>
      <c r="L1191" s="46" t="n">
        <v>17631.37</v>
      </c>
    </row>
    <row r="1192" customFormat="false" ht="15" hidden="false" customHeight="false" outlineLevel="0" collapsed="false">
      <c r="A1192" s="37" t="n">
        <v>502169</v>
      </c>
      <c r="B1192" s="37" t="s">
        <v>1222</v>
      </c>
      <c r="C1192" s="37" t="n">
        <v>202602</v>
      </c>
      <c r="D1192" s="37" t="s">
        <v>65</v>
      </c>
      <c r="E1192" s="37" t="s">
        <v>101</v>
      </c>
      <c r="F1192" s="37" t="s">
        <v>194</v>
      </c>
      <c r="G1192" s="37" t="s">
        <v>354</v>
      </c>
      <c r="H1192" s="37"/>
      <c r="I1192" s="37" t="s">
        <v>355</v>
      </c>
      <c r="J1192" s="37" t="s">
        <v>1223</v>
      </c>
      <c r="K1192" s="45" t="n">
        <v>624.2</v>
      </c>
      <c r="L1192" s="46" t="n">
        <v>46193.37</v>
      </c>
    </row>
    <row r="1193" customFormat="false" ht="15" hidden="false" customHeight="false" outlineLevel="0" collapsed="false">
      <c r="A1193" s="37" t="n">
        <v>502273</v>
      </c>
      <c r="B1193" s="37" t="s">
        <v>1222</v>
      </c>
      <c r="C1193" s="37" t="n">
        <v>202602</v>
      </c>
      <c r="D1193" s="37" t="s">
        <v>66</v>
      </c>
      <c r="E1193" s="37" t="s">
        <v>97</v>
      </c>
      <c r="F1193" s="37" t="s">
        <v>194</v>
      </c>
      <c r="G1193" s="37" t="s">
        <v>354</v>
      </c>
      <c r="H1193" s="37"/>
      <c r="I1193" s="37" t="s">
        <v>355</v>
      </c>
      <c r="J1193" s="37" t="s">
        <v>1223</v>
      </c>
      <c r="K1193" s="45" t="n">
        <v>33.3</v>
      </c>
      <c r="L1193" s="46" t="n">
        <v>3063.88</v>
      </c>
    </row>
    <row r="1194" customFormat="false" ht="15" hidden="false" customHeight="false" outlineLevel="0" collapsed="false">
      <c r="A1194" s="37" t="n">
        <v>501527</v>
      </c>
      <c r="B1194" s="37" t="s">
        <v>1226</v>
      </c>
      <c r="C1194" s="37" t="n">
        <v>202602</v>
      </c>
      <c r="D1194" s="37" t="s">
        <v>62</v>
      </c>
      <c r="E1194" s="37" t="s">
        <v>102</v>
      </c>
      <c r="F1194" s="37" t="s">
        <v>205</v>
      </c>
      <c r="G1194" s="37" t="s">
        <v>358</v>
      </c>
      <c r="H1194" s="37" t="s">
        <v>810</v>
      </c>
      <c r="I1194" s="37" t="s">
        <v>811</v>
      </c>
      <c r="J1194" s="37" t="s">
        <v>1227</v>
      </c>
      <c r="K1194" s="45" t="n">
        <v>0</v>
      </c>
      <c r="L1194" s="46" t="n">
        <v>79853.39</v>
      </c>
    </row>
    <row r="1195" customFormat="false" ht="15" hidden="false" customHeight="false" outlineLevel="0" collapsed="false">
      <c r="A1195" s="37" t="n">
        <v>502195</v>
      </c>
      <c r="B1195" s="37" t="s">
        <v>1226</v>
      </c>
      <c r="C1195" s="37" t="n">
        <v>202602</v>
      </c>
      <c r="D1195" s="37" t="s">
        <v>65</v>
      </c>
      <c r="E1195" s="37" t="s">
        <v>102</v>
      </c>
      <c r="F1195" s="37" t="s">
        <v>205</v>
      </c>
      <c r="G1195" s="37" t="s">
        <v>358</v>
      </c>
      <c r="H1195" s="37" t="s">
        <v>1039</v>
      </c>
      <c r="I1195" s="37" t="s">
        <v>715</v>
      </c>
      <c r="J1195" s="37" t="s">
        <v>1228</v>
      </c>
      <c r="K1195" s="45" t="n">
        <v>0</v>
      </c>
      <c r="L1195" s="46" t="n">
        <v>48640.22</v>
      </c>
    </row>
    <row r="1196" customFormat="false" ht="15" hidden="false" customHeight="false" outlineLevel="0" collapsed="false">
      <c r="A1196" s="37" t="n">
        <v>500157</v>
      </c>
      <c r="B1196" s="37" t="s">
        <v>1229</v>
      </c>
      <c r="C1196" s="37" t="n">
        <v>202602</v>
      </c>
      <c r="D1196" s="37" t="s">
        <v>58</v>
      </c>
      <c r="E1196" s="37" t="s">
        <v>98</v>
      </c>
      <c r="F1196" s="37" t="s">
        <v>196</v>
      </c>
      <c r="G1196" s="37" t="s">
        <v>358</v>
      </c>
      <c r="H1196" s="37" t="s">
        <v>359</v>
      </c>
      <c r="I1196" s="37" t="s">
        <v>360</v>
      </c>
      <c r="J1196" s="37" t="s">
        <v>1230</v>
      </c>
      <c r="K1196" s="45" t="n">
        <v>0</v>
      </c>
      <c r="L1196" s="46" t="n">
        <v>11560.57</v>
      </c>
    </row>
    <row r="1197" customFormat="false" ht="15" hidden="false" customHeight="false" outlineLevel="0" collapsed="false">
      <c r="A1197" s="37" t="n">
        <v>501441</v>
      </c>
      <c r="B1197" s="37" t="s">
        <v>1229</v>
      </c>
      <c r="C1197" s="37" t="n">
        <v>202602</v>
      </c>
      <c r="D1197" s="37" t="s">
        <v>62</v>
      </c>
      <c r="E1197" s="37" t="s">
        <v>98</v>
      </c>
      <c r="F1197" s="37" t="s">
        <v>196</v>
      </c>
      <c r="G1197" s="37" t="s">
        <v>358</v>
      </c>
      <c r="H1197" s="37" t="s">
        <v>359</v>
      </c>
      <c r="I1197" s="37" t="s">
        <v>360</v>
      </c>
      <c r="J1197" s="37" t="s">
        <v>1231</v>
      </c>
      <c r="K1197" s="45" t="n">
        <v>0</v>
      </c>
      <c r="L1197" s="46" t="n">
        <v>26431.48</v>
      </c>
    </row>
    <row r="1198" customFormat="false" ht="15" hidden="false" customHeight="false" outlineLevel="0" collapsed="false">
      <c r="A1198" s="37" t="n">
        <v>500878</v>
      </c>
      <c r="B1198" s="37" t="s">
        <v>1232</v>
      </c>
      <c r="C1198" s="37" t="n">
        <v>202602</v>
      </c>
      <c r="D1198" s="37" t="s">
        <v>60</v>
      </c>
      <c r="E1198" s="37" t="s">
        <v>98</v>
      </c>
      <c r="F1198" s="37" t="s">
        <v>196</v>
      </c>
      <c r="G1198" s="37" t="s">
        <v>358</v>
      </c>
      <c r="H1198" s="37" t="s">
        <v>359</v>
      </c>
      <c r="I1198" s="37" t="s">
        <v>360</v>
      </c>
      <c r="J1198" s="37" t="s">
        <v>1233</v>
      </c>
      <c r="K1198" s="45" t="n">
        <v>0</v>
      </c>
      <c r="L1198" s="46" t="n">
        <v>13983.68</v>
      </c>
    </row>
    <row r="1199" customFormat="false" ht="15" hidden="false" customHeight="false" outlineLevel="0" collapsed="false">
      <c r="A1199" s="37" t="n">
        <v>501176</v>
      </c>
      <c r="B1199" s="37" t="s">
        <v>1232</v>
      </c>
      <c r="C1199" s="37" t="n">
        <v>202602</v>
      </c>
      <c r="D1199" s="37" t="s">
        <v>61</v>
      </c>
      <c r="E1199" s="37" t="s">
        <v>98</v>
      </c>
      <c r="F1199" s="37" t="s">
        <v>196</v>
      </c>
      <c r="G1199" s="37" t="s">
        <v>358</v>
      </c>
      <c r="H1199" s="37" t="s">
        <v>359</v>
      </c>
      <c r="I1199" s="37" t="s">
        <v>360</v>
      </c>
      <c r="J1199" s="37" t="s">
        <v>1234</v>
      </c>
      <c r="K1199" s="45" t="n">
        <v>0</v>
      </c>
      <c r="L1199" s="46" t="n">
        <v>11951.29</v>
      </c>
    </row>
    <row r="1200" customFormat="false" ht="15" hidden="false" customHeight="false" outlineLevel="0" collapsed="false">
      <c r="A1200" s="37" t="n">
        <v>501689</v>
      </c>
      <c r="B1200" s="37" t="s">
        <v>1232</v>
      </c>
      <c r="C1200" s="37" t="n">
        <v>202602</v>
      </c>
      <c r="D1200" s="37" t="s">
        <v>63</v>
      </c>
      <c r="E1200" s="37" t="s">
        <v>98</v>
      </c>
      <c r="F1200" s="37" t="s">
        <v>196</v>
      </c>
      <c r="G1200" s="37" t="s">
        <v>358</v>
      </c>
      <c r="H1200" s="37" t="s">
        <v>359</v>
      </c>
      <c r="I1200" s="37" t="s">
        <v>360</v>
      </c>
      <c r="J1200" s="37" t="s">
        <v>1235</v>
      </c>
      <c r="K1200" s="45" t="n">
        <v>0</v>
      </c>
      <c r="L1200" s="46" t="n">
        <v>2412.62</v>
      </c>
    </row>
    <row r="1201" customFormat="false" ht="15" hidden="false" customHeight="false" outlineLevel="0" collapsed="false">
      <c r="A1201" s="37" t="n">
        <v>501991</v>
      </c>
      <c r="B1201" s="37" t="s">
        <v>1236</v>
      </c>
      <c r="C1201" s="37" t="n">
        <v>202602</v>
      </c>
      <c r="D1201" s="37" t="s">
        <v>64</v>
      </c>
      <c r="E1201" s="37" t="s">
        <v>102</v>
      </c>
      <c r="F1201" s="37" t="s">
        <v>205</v>
      </c>
      <c r="G1201" s="37" t="s">
        <v>358</v>
      </c>
      <c r="H1201" s="37" t="s">
        <v>947</v>
      </c>
      <c r="I1201" s="37" t="s">
        <v>811</v>
      </c>
      <c r="J1201" s="37" t="s">
        <v>1237</v>
      </c>
      <c r="K1201" s="45" t="n">
        <v>0</v>
      </c>
      <c r="L1201" s="46" t="n">
        <v>50679.82</v>
      </c>
    </row>
    <row r="1202" customFormat="false" ht="15" hidden="false" customHeight="false" outlineLevel="0" collapsed="false">
      <c r="A1202" s="37" t="n">
        <v>500387</v>
      </c>
      <c r="B1202" s="37" t="s">
        <v>1238</v>
      </c>
      <c r="C1202" s="37" t="n">
        <v>202602</v>
      </c>
      <c r="D1202" s="37" t="s">
        <v>58</v>
      </c>
      <c r="E1202" s="37" t="s">
        <v>108</v>
      </c>
      <c r="F1202" s="37" t="s">
        <v>205</v>
      </c>
      <c r="G1202" s="37" t="s">
        <v>358</v>
      </c>
      <c r="H1202" s="37" t="s">
        <v>885</v>
      </c>
      <c r="I1202" s="37" t="s">
        <v>886</v>
      </c>
      <c r="J1202" s="37" t="s">
        <v>1239</v>
      </c>
      <c r="K1202" s="45" t="n">
        <v>0</v>
      </c>
      <c r="L1202" s="46" t="n">
        <v>56620.89</v>
      </c>
    </row>
    <row r="1203" customFormat="false" ht="15" hidden="false" customHeight="false" outlineLevel="0" collapsed="false">
      <c r="A1203" s="37" t="n">
        <v>501177</v>
      </c>
      <c r="B1203" s="37" t="s">
        <v>1238</v>
      </c>
      <c r="C1203" s="37" t="n">
        <v>202602</v>
      </c>
      <c r="D1203" s="37" t="s">
        <v>61</v>
      </c>
      <c r="E1203" s="37" t="s">
        <v>98</v>
      </c>
      <c r="F1203" s="37" t="s">
        <v>196</v>
      </c>
      <c r="G1203" s="37" t="s">
        <v>358</v>
      </c>
      <c r="H1203" s="37" t="s">
        <v>359</v>
      </c>
      <c r="I1203" s="37" t="s">
        <v>360</v>
      </c>
      <c r="J1203" s="37" t="s">
        <v>1240</v>
      </c>
      <c r="K1203" s="45" t="n">
        <v>0</v>
      </c>
      <c r="L1203" s="46" t="n">
        <v>12482.24</v>
      </c>
    </row>
    <row r="1204" customFormat="false" ht="15" hidden="false" customHeight="false" outlineLevel="0" collapsed="false">
      <c r="A1204" s="37" t="n">
        <v>500090</v>
      </c>
      <c r="B1204" s="37" t="s">
        <v>1241</v>
      </c>
      <c r="C1204" s="37" t="n">
        <v>202602</v>
      </c>
      <c r="D1204" s="37" t="s">
        <v>58</v>
      </c>
      <c r="E1204" s="37" t="s">
        <v>97</v>
      </c>
      <c r="F1204" s="37" t="s">
        <v>194</v>
      </c>
      <c r="G1204" s="37" t="s">
        <v>354</v>
      </c>
      <c r="H1204" s="37"/>
      <c r="I1204" s="37" t="s">
        <v>355</v>
      </c>
      <c r="J1204" s="37" t="s">
        <v>1242</v>
      </c>
      <c r="K1204" s="45" t="n">
        <v>102.8</v>
      </c>
      <c r="L1204" s="46" t="n">
        <v>9461.62</v>
      </c>
    </row>
    <row r="1205" customFormat="false" ht="15" hidden="false" customHeight="false" outlineLevel="0" collapsed="false">
      <c r="A1205" s="37" t="n">
        <v>500364</v>
      </c>
      <c r="B1205" s="37" t="s">
        <v>1241</v>
      </c>
      <c r="C1205" s="37" t="n">
        <v>202602</v>
      </c>
      <c r="D1205" s="37" t="s">
        <v>58</v>
      </c>
      <c r="E1205" s="37" t="s">
        <v>106</v>
      </c>
      <c r="F1205" s="37" t="s">
        <v>194</v>
      </c>
      <c r="G1205" s="37" t="s">
        <v>354</v>
      </c>
      <c r="H1205" s="37"/>
      <c r="I1205" s="37" t="s">
        <v>355</v>
      </c>
      <c r="J1205" s="37" t="s">
        <v>1242</v>
      </c>
      <c r="K1205" s="45" t="n">
        <v>66.6</v>
      </c>
      <c r="L1205" s="46" t="n">
        <v>4730.12</v>
      </c>
    </row>
    <row r="1206" customFormat="false" ht="15" hidden="false" customHeight="false" outlineLevel="0" collapsed="false">
      <c r="A1206" s="37" t="n">
        <v>500498</v>
      </c>
      <c r="B1206" s="37" t="s">
        <v>1241</v>
      </c>
      <c r="C1206" s="37" t="n">
        <v>202602</v>
      </c>
      <c r="D1206" s="37" t="s">
        <v>59</v>
      </c>
      <c r="E1206" s="37" t="s">
        <v>97</v>
      </c>
      <c r="F1206" s="37" t="s">
        <v>194</v>
      </c>
      <c r="G1206" s="37" t="s">
        <v>354</v>
      </c>
      <c r="H1206" s="37"/>
      <c r="I1206" s="37" t="s">
        <v>355</v>
      </c>
      <c r="J1206" s="37" t="s">
        <v>1242</v>
      </c>
      <c r="K1206" s="45" t="n">
        <v>235.4</v>
      </c>
      <c r="L1206" s="46" t="n">
        <v>21652.46</v>
      </c>
    </row>
    <row r="1207" customFormat="false" ht="15" hidden="false" customHeight="false" outlineLevel="0" collapsed="false">
      <c r="A1207" s="37" t="n">
        <v>500700</v>
      </c>
      <c r="B1207" s="37" t="s">
        <v>1241</v>
      </c>
      <c r="C1207" s="37" t="n">
        <v>202602</v>
      </c>
      <c r="D1207" s="37" t="s">
        <v>59</v>
      </c>
      <c r="E1207" s="37" t="s">
        <v>106</v>
      </c>
      <c r="F1207" s="37" t="s">
        <v>194</v>
      </c>
      <c r="G1207" s="37" t="s">
        <v>354</v>
      </c>
      <c r="H1207" s="37"/>
      <c r="I1207" s="37" t="s">
        <v>355</v>
      </c>
      <c r="J1207" s="37" t="s">
        <v>1242</v>
      </c>
      <c r="K1207" s="45" t="n">
        <v>86.5</v>
      </c>
      <c r="L1207" s="46" t="n">
        <v>6141.32</v>
      </c>
    </row>
    <row r="1208" customFormat="false" ht="15" hidden="false" customHeight="false" outlineLevel="0" collapsed="false">
      <c r="A1208" s="37" t="n">
        <v>500827</v>
      </c>
      <c r="B1208" s="37" t="s">
        <v>1241</v>
      </c>
      <c r="C1208" s="37" t="n">
        <v>202602</v>
      </c>
      <c r="D1208" s="37" t="s">
        <v>60</v>
      </c>
      <c r="E1208" s="37" t="s">
        <v>97</v>
      </c>
      <c r="F1208" s="37" t="s">
        <v>194</v>
      </c>
      <c r="G1208" s="37" t="s">
        <v>354</v>
      </c>
      <c r="H1208" s="37"/>
      <c r="I1208" s="37" t="s">
        <v>355</v>
      </c>
      <c r="J1208" s="37" t="s">
        <v>1242</v>
      </c>
      <c r="K1208" s="45" t="n">
        <v>273.5</v>
      </c>
      <c r="L1208" s="46" t="n">
        <v>25158.04</v>
      </c>
    </row>
    <row r="1209" customFormat="false" ht="15" hidden="false" customHeight="false" outlineLevel="0" collapsed="false">
      <c r="A1209" s="37" t="n">
        <v>500880</v>
      </c>
      <c r="B1209" s="37" t="s">
        <v>1241</v>
      </c>
      <c r="C1209" s="37" t="n">
        <v>202602</v>
      </c>
      <c r="D1209" s="37" t="s">
        <v>60</v>
      </c>
      <c r="E1209" s="37" t="s">
        <v>98</v>
      </c>
      <c r="F1209" s="37" t="s">
        <v>196</v>
      </c>
      <c r="G1209" s="37" t="s">
        <v>358</v>
      </c>
      <c r="H1209" s="37" t="s">
        <v>359</v>
      </c>
      <c r="I1209" s="37" t="s">
        <v>360</v>
      </c>
      <c r="J1209" s="37" t="s">
        <v>1243</v>
      </c>
      <c r="K1209" s="45" t="n">
        <v>0</v>
      </c>
      <c r="L1209" s="46" t="n">
        <v>18436.58</v>
      </c>
    </row>
    <row r="1210" customFormat="false" ht="15" hidden="false" customHeight="false" outlineLevel="0" collapsed="false">
      <c r="A1210" s="37" t="n">
        <v>500955</v>
      </c>
      <c r="B1210" s="37" t="s">
        <v>1241</v>
      </c>
      <c r="C1210" s="37" t="n">
        <v>202602</v>
      </c>
      <c r="D1210" s="37" t="s">
        <v>60</v>
      </c>
      <c r="E1210" s="37" t="s">
        <v>101</v>
      </c>
      <c r="F1210" s="37" t="s">
        <v>194</v>
      </c>
      <c r="G1210" s="37" t="s">
        <v>354</v>
      </c>
      <c r="H1210" s="37"/>
      <c r="I1210" s="37" t="s">
        <v>355</v>
      </c>
      <c r="J1210" s="37" t="s">
        <v>1242</v>
      </c>
      <c r="K1210" s="45" t="n">
        <v>33</v>
      </c>
      <c r="L1210" s="46" t="n">
        <v>2441.14</v>
      </c>
    </row>
    <row r="1211" customFormat="false" ht="15" hidden="false" customHeight="false" outlineLevel="0" collapsed="false">
      <c r="A1211" s="37" t="n">
        <v>501020</v>
      </c>
      <c r="B1211" s="37" t="s">
        <v>1241</v>
      </c>
      <c r="C1211" s="37" t="n">
        <v>202602</v>
      </c>
      <c r="D1211" s="37" t="s">
        <v>60</v>
      </c>
      <c r="E1211" s="37" t="s">
        <v>106</v>
      </c>
      <c r="F1211" s="37" t="s">
        <v>194</v>
      </c>
      <c r="G1211" s="37" t="s">
        <v>354</v>
      </c>
      <c r="H1211" s="37"/>
      <c r="I1211" s="37" t="s">
        <v>355</v>
      </c>
      <c r="J1211" s="37" t="s">
        <v>1242</v>
      </c>
      <c r="K1211" s="45" t="n">
        <v>203.2</v>
      </c>
      <c r="L1211" s="46" t="n">
        <v>14425.36</v>
      </c>
    </row>
    <row r="1212" customFormat="false" ht="15" hidden="false" customHeight="false" outlineLevel="0" collapsed="false">
      <c r="A1212" s="37" t="n">
        <v>501134</v>
      </c>
      <c r="B1212" s="37" t="s">
        <v>1241</v>
      </c>
      <c r="C1212" s="37" t="n">
        <v>202602</v>
      </c>
      <c r="D1212" s="37" t="s">
        <v>61</v>
      </c>
      <c r="E1212" s="37" t="s">
        <v>97</v>
      </c>
      <c r="F1212" s="37" t="s">
        <v>194</v>
      </c>
      <c r="G1212" s="37" t="s">
        <v>354</v>
      </c>
      <c r="H1212" s="37"/>
      <c r="I1212" s="37" t="s">
        <v>355</v>
      </c>
      <c r="J1212" s="37" t="s">
        <v>1242</v>
      </c>
      <c r="K1212" s="45" t="n">
        <v>492</v>
      </c>
      <c r="L1212" s="46" t="n">
        <v>45267.27</v>
      </c>
    </row>
    <row r="1213" customFormat="false" ht="15" hidden="false" customHeight="false" outlineLevel="0" collapsed="false">
      <c r="A1213" s="37" t="n">
        <v>501294</v>
      </c>
      <c r="B1213" s="37" t="s">
        <v>1241</v>
      </c>
      <c r="C1213" s="37" t="n">
        <v>202602</v>
      </c>
      <c r="D1213" s="37" t="s">
        <v>61</v>
      </c>
      <c r="E1213" s="37" t="s">
        <v>106</v>
      </c>
      <c r="F1213" s="37" t="s">
        <v>194</v>
      </c>
      <c r="G1213" s="37" t="s">
        <v>354</v>
      </c>
      <c r="H1213" s="37"/>
      <c r="I1213" s="37" t="s">
        <v>355</v>
      </c>
      <c r="J1213" s="37" t="s">
        <v>1242</v>
      </c>
      <c r="K1213" s="45" t="n">
        <v>36.7</v>
      </c>
      <c r="L1213" s="46" t="n">
        <v>2605.61</v>
      </c>
    </row>
    <row r="1214" customFormat="false" ht="15" hidden="false" customHeight="false" outlineLevel="0" collapsed="false">
      <c r="A1214" s="37" t="n">
        <v>501395</v>
      </c>
      <c r="B1214" s="37" t="s">
        <v>1241</v>
      </c>
      <c r="C1214" s="37" t="n">
        <v>202602</v>
      </c>
      <c r="D1214" s="37" t="s">
        <v>62</v>
      </c>
      <c r="E1214" s="37" t="s">
        <v>97</v>
      </c>
      <c r="F1214" s="37" t="s">
        <v>194</v>
      </c>
      <c r="G1214" s="37" t="s">
        <v>354</v>
      </c>
      <c r="H1214" s="37"/>
      <c r="I1214" s="37" t="s">
        <v>355</v>
      </c>
      <c r="J1214" s="37" t="s">
        <v>1242</v>
      </c>
      <c r="K1214" s="45" t="n">
        <v>104.9</v>
      </c>
      <c r="L1214" s="46" t="n">
        <v>9654.6</v>
      </c>
    </row>
    <row r="1215" customFormat="false" ht="15" hidden="false" customHeight="false" outlineLevel="0" collapsed="false">
      <c r="A1215" s="37" t="n">
        <v>501499</v>
      </c>
      <c r="B1215" s="37" t="s">
        <v>1241</v>
      </c>
      <c r="C1215" s="37" t="n">
        <v>202602</v>
      </c>
      <c r="D1215" s="37" t="s">
        <v>62</v>
      </c>
      <c r="E1215" s="37" t="s">
        <v>101</v>
      </c>
      <c r="F1215" s="37" t="s">
        <v>194</v>
      </c>
      <c r="G1215" s="37" t="s">
        <v>354</v>
      </c>
      <c r="H1215" s="37"/>
      <c r="I1215" s="37" t="s">
        <v>355</v>
      </c>
      <c r="J1215" s="37" t="s">
        <v>1242</v>
      </c>
      <c r="K1215" s="45" t="n">
        <v>1112.3</v>
      </c>
      <c r="L1215" s="46" t="n">
        <v>82309.65</v>
      </c>
    </row>
    <row r="1216" customFormat="false" ht="15" hidden="false" customHeight="false" outlineLevel="0" collapsed="false">
      <c r="A1216" s="37" t="n">
        <v>501641</v>
      </c>
      <c r="B1216" s="37" t="s">
        <v>1241</v>
      </c>
      <c r="C1216" s="37" t="n">
        <v>202602</v>
      </c>
      <c r="D1216" s="37" t="s">
        <v>63</v>
      </c>
      <c r="E1216" s="37" t="s">
        <v>97</v>
      </c>
      <c r="F1216" s="37" t="s">
        <v>194</v>
      </c>
      <c r="G1216" s="37" t="s">
        <v>354</v>
      </c>
      <c r="H1216" s="37"/>
      <c r="I1216" s="37" t="s">
        <v>355</v>
      </c>
      <c r="J1216" s="37" t="s">
        <v>1242</v>
      </c>
      <c r="K1216" s="45" t="n">
        <v>160.7</v>
      </c>
      <c r="L1216" s="46" t="n">
        <v>14782.05</v>
      </c>
    </row>
    <row r="1217" customFormat="false" ht="15" hidden="false" customHeight="false" outlineLevel="0" collapsed="false">
      <c r="A1217" s="37" t="n">
        <v>501745</v>
      </c>
      <c r="B1217" s="37" t="s">
        <v>1241</v>
      </c>
      <c r="C1217" s="37" t="n">
        <v>202602</v>
      </c>
      <c r="D1217" s="37" t="s">
        <v>63</v>
      </c>
      <c r="E1217" s="37" t="s">
        <v>101</v>
      </c>
      <c r="F1217" s="37" t="s">
        <v>194</v>
      </c>
      <c r="G1217" s="37" t="s">
        <v>354</v>
      </c>
      <c r="H1217" s="37"/>
      <c r="I1217" s="37" t="s">
        <v>355</v>
      </c>
      <c r="J1217" s="37" t="s">
        <v>1242</v>
      </c>
      <c r="K1217" s="45" t="n">
        <v>88.8</v>
      </c>
      <c r="L1217" s="46" t="n">
        <v>6574.68</v>
      </c>
    </row>
    <row r="1218" customFormat="false" ht="15" hidden="false" customHeight="false" outlineLevel="0" collapsed="false">
      <c r="A1218" s="37" t="n">
        <v>501875</v>
      </c>
      <c r="B1218" s="37" t="s">
        <v>1241</v>
      </c>
      <c r="C1218" s="37" t="n">
        <v>202602</v>
      </c>
      <c r="D1218" s="37" t="s">
        <v>64</v>
      </c>
      <c r="E1218" s="37" t="s">
        <v>97</v>
      </c>
      <c r="F1218" s="37" t="s">
        <v>194</v>
      </c>
      <c r="G1218" s="37" t="s">
        <v>354</v>
      </c>
      <c r="H1218" s="37"/>
      <c r="I1218" s="37" t="s">
        <v>355</v>
      </c>
      <c r="J1218" s="37" t="s">
        <v>1242</v>
      </c>
      <c r="K1218" s="45" t="n">
        <v>133.7</v>
      </c>
      <c r="L1218" s="46" t="n">
        <v>12296.72</v>
      </c>
    </row>
    <row r="1219" customFormat="false" ht="15" hidden="false" customHeight="false" outlineLevel="0" collapsed="false">
      <c r="A1219" s="37" t="n">
        <v>501965</v>
      </c>
      <c r="B1219" s="37" t="s">
        <v>1241</v>
      </c>
      <c r="C1219" s="37" t="n">
        <v>202602</v>
      </c>
      <c r="D1219" s="37" t="s">
        <v>64</v>
      </c>
      <c r="E1219" s="37" t="s">
        <v>101</v>
      </c>
      <c r="F1219" s="37" t="s">
        <v>194</v>
      </c>
      <c r="G1219" s="37" t="s">
        <v>354</v>
      </c>
      <c r="H1219" s="37"/>
      <c r="I1219" s="37" t="s">
        <v>355</v>
      </c>
      <c r="J1219" s="37" t="s">
        <v>1242</v>
      </c>
      <c r="K1219" s="45" t="n">
        <v>1441.3</v>
      </c>
      <c r="L1219" s="46" t="n">
        <v>106653.84</v>
      </c>
    </row>
    <row r="1220" customFormat="false" ht="15" hidden="false" customHeight="false" outlineLevel="0" collapsed="false">
      <c r="A1220" s="37" t="n">
        <v>502091</v>
      </c>
      <c r="B1220" s="37" t="s">
        <v>1241</v>
      </c>
      <c r="C1220" s="37" t="n">
        <v>202602</v>
      </c>
      <c r="D1220" s="37" t="s">
        <v>65</v>
      </c>
      <c r="E1220" s="37" t="s">
        <v>97</v>
      </c>
      <c r="F1220" s="37" t="s">
        <v>194</v>
      </c>
      <c r="G1220" s="37" t="s">
        <v>354</v>
      </c>
      <c r="H1220" s="37"/>
      <c r="I1220" s="37" t="s">
        <v>355</v>
      </c>
      <c r="J1220" s="37" t="s">
        <v>1242</v>
      </c>
      <c r="K1220" s="45" t="n">
        <v>267.9</v>
      </c>
      <c r="L1220" s="46" t="n">
        <v>24647.35</v>
      </c>
    </row>
    <row r="1221" customFormat="false" ht="15" hidden="false" customHeight="false" outlineLevel="0" collapsed="false">
      <c r="A1221" s="37" t="n">
        <v>502170</v>
      </c>
      <c r="B1221" s="37" t="s">
        <v>1241</v>
      </c>
      <c r="C1221" s="37" t="n">
        <v>202602</v>
      </c>
      <c r="D1221" s="37" t="s">
        <v>65</v>
      </c>
      <c r="E1221" s="37" t="s">
        <v>101</v>
      </c>
      <c r="F1221" s="37" t="s">
        <v>194</v>
      </c>
      <c r="G1221" s="37" t="s">
        <v>354</v>
      </c>
      <c r="H1221" s="37"/>
      <c r="I1221" s="37" t="s">
        <v>355</v>
      </c>
      <c r="J1221" s="37" t="s">
        <v>1242</v>
      </c>
      <c r="K1221" s="45" t="n">
        <v>998.3</v>
      </c>
      <c r="L1221" s="46" t="n">
        <v>73873.07</v>
      </c>
    </row>
    <row r="1222" customFormat="false" ht="15" hidden="false" customHeight="false" outlineLevel="0" collapsed="false">
      <c r="A1222" s="37" t="n">
        <v>502274</v>
      </c>
      <c r="B1222" s="37" t="s">
        <v>1241</v>
      </c>
      <c r="C1222" s="37" t="n">
        <v>202602</v>
      </c>
      <c r="D1222" s="37" t="s">
        <v>66</v>
      </c>
      <c r="E1222" s="37" t="s">
        <v>97</v>
      </c>
      <c r="F1222" s="37" t="s">
        <v>194</v>
      </c>
      <c r="G1222" s="37" t="s">
        <v>354</v>
      </c>
      <c r="H1222" s="37"/>
      <c r="I1222" s="37" t="s">
        <v>355</v>
      </c>
      <c r="J1222" s="37" t="s">
        <v>1242</v>
      </c>
      <c r="K1222" s="45" t="n">
        <v>66.5</v>
      </c>
      <c r="L1222" s="46" t="n">
        <v>6117.29</v>
      </c>
    </row>
    <row r="1223" customFormat="false" ht="15" hidden="false" customHeight="false" outlineLevel="0" collapsed="false">
      <c r="A1223" s="37" t="n">
        <v>501761</v>
      </c>
      <c r="B1223" s="37" t="s">
        <v>1244</v>
      </c>
      <c r="C1223" s="37" t="n">
        <v>202602</v>
      </c>
      <c r="D1223" s="37" t="s">
        <v>63</v>
      </c>
      <c r="E1223" s="37" t="s">
        <v>102</v>
      </c>
      <c r="F1223" s="37" t="s">
        <v>205</v>
      </c>
      <c r="G1223" s="37" t="s">
        <v>358</v>
      </c>
      <c r="H1223" s="37" t="s">
        <v>891</v>
      </c>
      <c r="I1223" s="37" t="s">
        <v>892</v>
      </c>
      <c r="J1223" s="37" t="s">
        <v>1245</v>
      </c>
      <c r="K1223" s="45" t="n">
        <v>0</v>
      </c>
      <c r="L1223" s="46" t="n">
        <v>38730.63</v>
      </c>
    </row>
    <row r="1224" customFormat="false" ht="15" hidden="false" customHeight="false" outlineLevel="0" collapsed="false">
      <c r="A1224" s="37" t="n">
        <v>502006</v>
      </c>
      <c r="B1224" s="37" t="s">
        <v>1246</v>
      </c>
      <c r="C1224" s="37" t="n">
        <v>202602</v>
      </c>
      <c r="D1224" s="37" t="s">
        <v>64</v>
      </c>
      <c r="E1224" s="37" t="s">
        <v>103</v>
      </c>
      <c r="F1224" s="37" t="s">
        <v>205</v>
      </c>
      <c r="G1224" s="37" t="s">
        <v>358</v>
      </c>
      <c r="H1224" s="37" t="s">
        <v>969</v>
      </c>
      <c r="I1224" s="37" t="s">
        <v>898</v>
      </c>
      <c r="J1224" s="37" t="s">
        <v>1247</v>
      </c>
      <c r="K1224" s="45" t="n">
        <v>0</v>
      </c>
      <c r="L1224" s="46" t="n">
        <v>13295.95</v>
      </c>
    </row>
    <row r="1225" customFormat="false" ht="15" hidden="false" customHeight="false" outlineLevel="0" collapsed="false">
      <c r="A1225" s="37" t="n">
        <v>501688</v>
      </c>
      <c r="B1225" s="37" t="s">
        <v>1248</v>
      </c>
      <c r="C1225" s="37" t="n">
        <v>202602</v>
      </c>
      <c r="D1225" s="37" t="s">
        <v>63</v>
      </c>
      <c r="E1225" s="37" t="s">
        <v>98</v>
      </c>
      <c r="F1225" s="37" t="s">
        <v>196</v>
      </c>
      <c r="G1225" s="37" t="s">
        <v>358</v>
      </c>
      <c r="H1225" s="37" t="s">
        <v>359</v>
      </c>
      <c r="I1225" s="37" t="s">
        <v>360</v>
      </c>
      <c r="J1225" s="37" t="s">
        <v>1249</v>
      </c>
      <c r="K1225" s="45" t="n">
        <v>0</v>
      </c>
      <c r="L1225" s="46" t="n">
        <v>5928.38</v>
      </c>
    </row>
    <row r="1226" customFormat="false" ht="15" hidden="false" customHeight="false" outlineLevel="0" collapsed="false">
      <c r="A1226" s="37" t="n">
        <v>500404</v>
      </c>
      <c r="B1226" s="37" t="s">
        <v>1250</v>
      </c>
      <c r="C1226" s="37" t="n">
        <v>202602</v>
      </c>
      <c r="D1226" s="37" t="s">
        <v>58</v>
      </c>
      <c r="E1226" s="37" t="s">
        <v>109</v>
      </c>
      <c r="F1226" s="37" t="s">
        <v>201</v>
      </c>
      <c r="G1226" s="37" t="s">
        <v>358</v>
      </c>
      <c r="H1226" s="37" t="s">
        <v>928</v>
      </c>
      <c r="I1226" s="37" t="s">
        <v>929</v>
      </c>
      <c r="J1226" s="37" t="s">
        <v>1251</v>
      </c>
      <c r="K1226" s="45" t="n">
        <v>0</v>
      </c>
      <c r="L1226" s="46" t="n">
        <v>217782.12</v>
      </c>
    </row>
    <row r="1227" customFormat="false" ht="15" hidden="false" customHeight="false" outlineLevel="0" collapsed="false">
      <c r="A1227" s="37" t="n">
        <v>500422</v>
      </c>
      <c r="B1227" s="37" t="s">
        <v>1250</v>
      </c>
      <c r="C1227" s="37" t="n">
        <v>202602</v>
      </c>
      <c r="D1227" s="37" t="s">
        <v>58</v>
      </c>
      <c r="E1227" s="37" t="s">
        <v>110</v>
      </c>
      <c r="F1227" s="37" t="s">
        <v>201</v>
      </c>
      <c r="G1227" s="37" t="s">
        <v>358</v>
      </c>
      <c r="H1227" s="37" t="s">
        <v>547</v>
      </c>
      <c r="I1227" s="37" t="s">
        <v>548</v>
      </c>
      <c r="J1227" s="37" t="s">
        <v>1251</v>
      </c>
      <c r="K1227" s="45" t="n">
        <v>0</v>
      </c>
      <c r="L1227" s="46" t="n">
        <v>178176.83</v>
      </c>
    </row>
    <row r="1228" customFormat="false" ht="15" hidden="false" customHeight="false" outlineLevel="0" collapsed="false">
      <c r="A1228" s="37" t="n">
        <v>500441</v>
      </c>
      <c r="B1228" s="37" t="s">
        <v>1250</v>
      </c>
      <c r="C1228" s="37" t="n">
        <v>202602</v>
      </c>
      <c r="D1228" s="37" t="s">
        <v>58</v>
      </c>
      <c r="E1228" s="37" t="s">
        <v>111</v>
      </c>
      <c r="F1228" s="37" t="s">
        <v>201</v>
      </c>
      <c r="G1228" s="37" t="s">
        <v>358</v>
      </c>
      <c r="H1228" s="37" t="s">
        <v>549</v>
      </c>
      <c r="I1228" s="37" t="s">
        <v>550</v>
      </c>
      <c r="J1228" s="37" t="s">
        <v>1251</v>
      </c>
      <c r="K1228" s="45" t="n">
        <v>0</v>
      </c>
      <c r="L1228" s="46" t="n">
        <v>110030.25</v>
      </c>
    </row>
    <row r="1229" customFormat="false" ht="15" hidden="false" customHeight="false" outlineLevel="0" collapsed="false">
      <c r="A1229" s="37" t="n">
        <v>500684</v>
      </c>
      <c r="B1229" s="37" t="s">
        <v>1250</v>
      </c>
      <c r="C1229" s="37" t="n">
        <v>202602</v>
      </c>
      <c r="D1229" s="37" t="s">
        <v>59</v>
      </c>
      <c r="E1229" s="37" t="s">
        <v>105</v>
      </c>
      <c r="F1229" s="37" t="s">
        <v>201</v>
      </c>
      <c r="G1229" s="37" t="s">
        <v>358</v>
      </c>
      <c r="H1229" s="37" t="s">
        <v>795</v>
      </c>
      <c r="I1229" s="37" t="s">
        <v>796</v>
      </c>
      <c r="J1229" s="37" t="s">
        <v>1251</v>
      </c>
      <c r="K1229" s="45" t="n">
        <v>0</v>
      </c>
      <c r="L1229" s="46" t="n">
        <v>149583.71</v>
      </c>
    </row>
    <row r="1230" customFormat="false" ht="15" hidden="false" customHeight="false" outlineLevel="0" collapsed="false">
      <c r="A1230" s="37" t="n">
        <v>500734</v>
      </c>
      <c r="B1230" s="37" t="s">
        <v>1250</v>
      </c>
      <c r="C1230" s="37" t="n">
        <v>202602</v>
      </c>
      <c r="D1230" s="37" t="s">
        <v>59</v>
      </c>
      <c r="E1230" s="37" t="s">
        <v>107</v>
      </c>
      <c r="F1230" s="37" t="s">
        <v>201</v>
      </c>
      <c r="G1230" s="37" t="s">
        <v>358</v>
      </c>
      <c r="H1230" s="37" t="s">
        <v>1095</v>
      </c>
      <c r="I1230" s="37" t="s">
        <v>1096</v>
      </c>
      <c r="J1230" s="37" t="s">
        <v>1251</v>
      </c>
      <c r="K1230" s="45" t="n">
        <v>0</v>
      </c>
      <c r="L1230" s="46" t="n">
        <v>192584.6</v>
      </c>
    </row>
    <row r="1231" customFormat="false" ht="15" hidden="false" customHeight="false" outlineLevel="0" collapsed="false">
      <c r="A1231" s="37" t="n">
        <v>500764</v>
      </c>
      <c r="B1231" s="37" t="s">
        <v>1250</v>
      </c>
      <c r="C1231" s="37" t="n">
        <v>202602</v>
      </c>
      <c r="D1231" s="37" t="s">
        <v>59</v>
      </c>
      <c r="E1231" s="37" t="s">
        <v>110</v>
      </c>
      <c r="F1231" s="37" t="s">
        <v>201</v>
      </c>
      <c r="G1231" s="37" t="s">
        <v>358</v>
      </c>
      <c r="H1231" s="37" t="s">
        <v>849</v>
      </c>
      <c r="I1231" s="37" t="s">
        <v>850</v>
      </c>
      <c r="J1231" s="37" t="s">
        <v>1251</v>
      </c>
      <c r="K1231" s="45" t="n">
        <v>0</v>
      </c>
      <c r="L1231" s="46" t="n">
        <v>217590.71</v>
      </c>
    </row>
    <row r="1232" customFormat="false" ht="15" hidden="false" customHeight="false" outlineLevel="0" collapsed="false">
      <c r="A1232" s="37" t="n">
        <v>500777</v>
      </c>
      <c r="B1232" s="37" t="s">
        <v>1250</v>
      </c>
      <c r="C1232" s="37" t="n">
        <v>202602</v>
      </c>
      <c r="D1232" s="37" t="s">
        <v>59</v>
      </c>
      <c r="E1232" s="37" t="s">
        <v>111</v>
      </c>
      <c r="F1232" s="37" t="s">
        <v>201</v>
      </c>
      <c r="G1232" s="37" t="s">
        <v>358</v>
      </c>
      <c r="H1232" s="37" t="s">
        <v>851</v>
      </c>
      <c r="I1232" s="37" t="s">
        <v>852</v>
      </c>
      <c r="J1232" s="37" t="s">
        <v>1251</v>
      </c>
      <c r="K1232" s="45" t="n">
        <v>0</v>
      </c>
      <c r="L1232" s="46" t="n">
        <v>256180.13</v>
      </c>
    </row>
    <row r="1233" customFormat="false" ht="15" hidden="false" customHeight="false" outlineLevel="0" collapsed="false">
      <c r="A1233" s="37" t="n">
        <v>500993</v>
      </c>
      <c r="B1233" s="37" t="s">
        <v>1250</v>
      </c>
      <c r="C1233" s="37" t="n">
        <v>202602</v>
      </c>
      <c r="D1233" s="37" t="s">
        <v>60</v>
      </c>
      <c r="E1233" s="37" t="s">
        <v>103</v>
      </c>
      <c r="F1233" s="37" t="s">
        <v>205</v>
      </c>
      <c r="G1233" s="37" t="s">
        <v>358</v>
      </c>
      <c r="H1233" s="37" t="s">
        <v>727</v>
      </c>
      <c r="I1233" s="37" t="s">
        <v>728</v>
      </c>
      <c r="J1233" s="37" t="s">
        <v>1252</v>
      </c>
      <c r="K1233" s="45" t="n">
        <v>0</v>
      </c>
      <c r="L1233" s="46" t="n">
        <v>32774.57</v>
      </c>
    </row>
    <row r="1234" customFormat="false" ht="15" hidden="false" customHeight="false" outlineLevel="0" collapsed="false">
      <c r="A1234" s="37" t="n">
        <v>501001</v>
      </c>
      <c r="B1234" s="37" t="s">
        <v>1250</v>
      </c>
      <c r="C1234" s="37" t="n">
        <v>202602</v>
      </c>
      <c r="D1234" s="37" t="s">
        <v>60</v>
      </c>
      <c r="E1234" s="37" t="s">
        <v>104</v>
      </c>
      <c r="F1234" s="37" t="s">
        <v>201</v>
      </c>
      <c r="G1234" s="37" t="s">
        <v>358</v>
      </c>
      <c r="H1234" s="37" t="s">
        <v>1097</v>
      </c>
      <c r="I1234" s="37" t="s">
        <v>1098</v>
      </c>
      <c r="J1234" s="37" t="s">
        <v>1251</v>
      </c>
      <c r="K1234" s="45" t="n">
        <v>0</v>
      </c>
      <c r="L1234" s="46" t="n">
        <v>196176.43</v>
      </c>
    </row>
    <row r="1235" customFormat="false" ht="15" hidden="false" customHeight="false" outlineLevel="0" collapsed="false">
      <c r="A1235" s="37" t="n">
        <v>501010</v>
      </c>
      <c r="B1235" s="37" t="s">
        <v>1250</v>
      </c>
      <c r="C1235" s="37" t="n">
        <v>202602</v>
      </c>
      <c r="D1235" s="37" t="s">
        <v>60</v>
      </c>
      <c r="E1235" s="37" t="s">
        <v>105</v>
      </c>
      <c r="F1235" s="37" t="s">
        <v>201</v>
      </c>
      <c r="G1235" s="37" t="s">
        <v>358</v>
      </c>
      <c r="H1235" s="37" t="s">
        <v>931</v>
      </c>
      <c r="I1235" s="37" t="s">
        <v>932</v>
      </c>
      <c r="J1235" s="37" t="s">
        <v>1251</v>
      </c>
      <c r="K1235" s="45" t="n">
        <v>0</v>
      </c>
      <c r="L1235" s="46" t="n">
        <v>255939.67</v>
      </c>
    </row>
    <row r="1236" customFormat="false" ht="15" hidden="false" customHeight="false" outlineLevel="0" collapsed="false">
      <c r="A1236" s="37" t="n">
        <v>501052</v>
      </c>
      <c r="B1236" s="37" t="s">
        <v>1250</v>
      </c>
      <c r="C1236" s="37" t="n">
        <v>202602</v>
      </c>
      <c r="D1236" s="37" t="s">
        <v>60</v>
      </c>
      <c r="E1236" s="37" t="s">
        <v>107</v>
      </c>
      <c r="F1236" s="37" t="s">
        <v>201</v>
      </c>
      <c r="G1236" s="37" t="s">
        <v>358</v>
      </c>
      <c r="H1236" s="37" t="s">
        <v>1253</v>
      </c>
      <c r="I1236" s="37" t="s">
        <v>1254</v>
      </c>
      <c r="J1236" s="37" t="s">
        <v>1251</v>
      </c>
      <c r="K1236" s="45" t="n">
        <v>0</v>
      </c>
      <c r="L1236" s="46" t="n">
        <v>32302.89</v>
      </c>
    </row>
    <row r="1237" customFormat="false" ht="15" hidden="false" customHeight="false" outlineLevel="0" collapsed="false">
      <c r="A1237" s="37" t="n">
        <v>501078</v>
      </c>
      <c r="B1237" s="37" t="s">
        <v>1250</v>
      </c>
      <c r="C1237" s="37" t="n">
        <v>202602</v>
      </c>
      <c r="D1237" s="37" t="s">
        <v>60</v>
      </c>
      <c r="E1237" s="37" t="s">
        <v>110</v>
      </c>
      <c r="F1237" s="37" t="s">
        <v>201</v>
      </c>
      <c r="G1237" s="37" t="s">
        <v>358</v>
      </c>
      <c r="H1237" s="37" t="s">
        <v>1010</v>
      </c>
      <c r="I1237" s="37" t="s">
        <v>548</v>
      </c>
      <c r="J1237" s="37" t="s">
        <v>1251</v>
      </c>
      <c r="K1237" s="45" t="n">
        <v>0</v>
      </c>
      <c r="L1237" s="46" t="n">
        <v>126505.33</v>
      </c>
    </row>
    <row r="1238" customFormat="false" ht="15" hidden="false" customHeight="false" outlineLevel="0" collapsed="false">
      <c r="A1238" s="37" t="n">
        <v>501089</v>
      </c>
      <c r="B1238" s="37" t="s">
        <v>1250</v>
      </c>
      <c r="C1238" s="37" t="n">
        <v>202602</v>
      </c>
      <c r="D1238" s="37" t="s">
        <v>60</v>
      </c>
      <c r="E1238" s="37" t="s">
        <v>111</v>
      </c>
      <c r="F1238" s="37" t="s">
        <v>201</v>
      </c>
      <c r="G1238" s="37" t="s">
        <v>358</v>
      </c>
      <c r="H1238" s="37" t="s">
        <v>1011</v>
      </c>
      <c r="I1238" s="37" t="s">
        <v>1012</v>
      </c>
      <c r="J1238" s="37" t="s">
        <v>1251</v>
      </c>
      <c r="K1238" s="45" t="n">
        <v>0</v>
      </c>
      <c r="L1238" s="46" t="n">
        <v>98893.96</v>
      </c>
    </row>
    <row r="1239" customFormat="false" ht="15" hidden="false" customHeight="false" outlineLevel="0" collapsed="false">
      <c r="A1239" s="37" t="n">
        <v>501281</v>
      </c>
      <c r="B1239" s="37" t="s">
        <v>1250</v>
      </c>
      <c r="C1239" s="37" t="n">
        <v>202602</v>
      </c>
      <c r="D1239" s="37" t="s">
        <v>61</v>
      </c>
      <c r="E1239" s="37" t="s">
        <v>105</v>
      </c>
      <c r="F1239" s="37" t="s">
        <v>201</v>
      </c>
      <c r="G1239" s="37" t="s">
        <v>358</v>
      </c>
      <c r="H1239" s="37" t="s">
        <v>933</v>
      </c>
      <c r="I1239" s="37" t="s">
        <v>934</v>
      </c>
      <c r="J1239" s="37" t="s">
        <v>1251</v>
      </c>
      <c r="K1239" s="45" t="n">
        <v>0</v>
      </c>
      <c r="L1239" s="46" t="n">
        <v>151052.96</v>
      </c>
    </row>
    <row r="1240" customFormat="false" ht="15" hidden="false" customHeight="false" outlineLevel="0" collapsed="false">
      <c r="A1240" s="37" t="n">
        <v>501319</v>
      </c>
      <c r="B1240" s="37" t="s">
        <v>1250</v>
      </c>
      <c r="C1240" s="37" t="n">
        <v>202602</v>
      </c>
      <c r="D1240" s="37" t="s">
        <v>61</v>
      </c>
      <c r="E1240" s="37" t="s">
        <v>107</v>
      </c>
      <c r="F1240" s="37" t="s">
        <v>201</v>
      </c>
      <c r="G1240" s="37" t="s">
        <v>358</v>
      </c>
      <c r="H1240" s="37" t="s">
        <v>1176</v>
      </c>
      <c r="I1240" s="37" t="s">
        <v>1096</v>
      </c>
      <c r="J1240" s="37" t="s">
        <v>1251</v>
      </c>
      <c r="K1240" s="45" t="n">
        <v>0</v>
      </c>
      <c r="L1240" s="46" t="n">
        <v>83873.23</v>
      </c>
    </row>
    <row r="1241" customFormat="false" ht="15" hidden="false" customHeight="false" outlineLevel="0" collapsed="false">
      <c r="A1241" s="37" t="n">
        <v>501347</v>
      </c>
      <c r="B1241" s="37" t="s">
        <v>1250</v>
      </c>
      <c r="C1241" s="37" t="n">
        <v>202602</v>
      </c>
      <c r="D1241" s="37" t="s">
        <v>61</v>
      </c>
      <c r="E1241" s="37" t="s">
        <v>110</v>
      </c>
      <c r="F1241" s="37" t="s">
        <v>201</v>
      </c>
      <c r="G1241" s="37" t="s">
        <v>358</v>
      </c>
      <c r="H1241" s="37" t="s">
        <v>1014</v>
      </c>
      <c r="I1241" s="37" t="s">
        <v>1015</v>
      </c>
      <c r="J1241" s="37" t="s">
        <v>1251</v>
      </c>
      <c r="K1241" s="45" t="n">
        <v>0</v>
      </c>
      <c r="L1241" s="46" t="n">
        <v>107982.77</v>
      </c>
    </row>
    <row r="1242" customFormat="false" ht="15" hidden="false" customHeight="false" outlineLevel="0" collapsed="false">
      <c r="A1242" s="37" t="n">
        <v>501358</v>
      </c>
      <c r="B1242" s="37" t="s">
        <v>1250</v>
      </c>
      <c r="C1242" s="37" t="n">
        <v>202602</v>
      </c>
      <c r="D1242" s="37" t="s">
        <v>61</v>
      </c>
      <c r="E1242" s="37" t="s">
        <v>111</v>
      </c>
      <c r="F1242" s="37" t="s">
        <v>201</v>
      </c>
      <c r="G1242" s="37" t="s">
        <v>358</v>
      </c>
      <c r="H1242" s="37" t="s">
        <v>1016</v>
      </c>
      <c r="I1242" s="37" t="s">
        <v>1017</v>
      </c>
      <c r="J1242" s="37" t="s">
        <v>1251</v>
      </c>
      <c r="K1242" s="45" t="n">
        <v>0</v>
      </c>
      <c r="L1242" s="46" t="n">
        <v>132400.01</v>
      </c>
    </row>
    <row r="1243" customFormat="false" ht="15" hidden="false" customHeight="false" outlineLevel="0" collapsed="false">
      <c r="A1243" s="37" t="n">
        <v>501525</v>
      </c>
      <c r="B1243" s="37" t="s">
        <v>1250</v>
      </c>
      <c r="C1243" s="37" t="n">
        <v>202602</v>
      </c>
      <c r="D1243" s="37" t="s">
        <v>62</v>
      </c>
      <c r="E1243" s="37" t="s">
        <v>102</v>
      </c>
      <c r="F1243" s="37" t="s">
        <v>205</v>
      </c>
      <c r="G1243" s="37" t="s">
        <v>358</v>
      </c>
      <c r="H1243" s="37" t="s">
        <v>810</v>
      </c>
      <c r="I1243" s="37" t="s">
        <v>811</v>
      </c>
      <c r="J1243" s="37" t="s">
        <v>1255</v>
      </c>
      <c r="K1243" s="45" t="n">
        <v>0</v>
      </c>
      <c r="L1243" s="46" t="n">
        <v>44313.99</v>
      </c>
    </row>
    <row r="1244" customFormat="false" ht="15" hidden="false" customHeight="false" outlineLevel="0" collapsed="false">
      <c r="A1244" s="37" t="n">
        <v>501542</v>
      </c>
      <c r="B1244" s="37" t="s">
        <v>1250</v>
      </c>
      <c r="C1244" s="37" t="n">
        <v>202602</v>
      </c>
      <c r="D1244" s="37" t="s">
        <v>62</v>
      </c>
      <c r="E1244" s="37" t="s">
        <v>103</v>
      </c>
      <c r="F1244" s="37" t="s">
        <v>205</v>
      </c>
      <c r="G1244" s="37" t="s">
        <v>358</v>
      </c>
      <c r="H1244" s="37" t="s">
        <v>897</v>
      </c>
      <c r="I1244" s="37" t="s">
        <v>898</v>
      </c>
      <c r="J1244" s="37" t="s">
        <v>1256</v>
      </c>
      <c r="K1244" s="45" t="n">
        <v>0</v>
      </c>
      <c r="L1244" s="46" t="n">
        <v>351703.14</v>
      </c>
    </row>
    <row r="1245" customFormat="false" ht="15" hidden="false" customHeight="false" outlineLevel="0" collapsed="false">
      <c r="A1245" s="37" t="n">
        <v>501559</v>
      </c>
      <c r="B1245" s="37" t="s">
        <v>1250</v>
      </c>
      <c r="C1245" s="37" t="n">
        <v>202602</v>
      </c>
      <c r="D1245" s="37" t="s">
        <v>62</v>
      </c>
      <c r="E1245" s="37" t="s">
        <v>105</v>
      </c>
      <c r="F1245" s="37" t="s">
        <v>201</v>
      </c>
      <c r="G1245" s="37" t="s">
        <v>358</v>
      </c>
      <c r="H1245" s="37" t="s">
        <v>1178</v>
      </c>
      <c r="I1245" s="37" t="s">
        <v>1179</v>
      </c>
      <c r="J1245" s="37" t="s">
        <v>1251</v>
      </c>
      <c r="K1245" s="45" t="n">
        <v>0</v>
      </c>
      <c r="L1245" s="46" t="n">
        <v>257811.27</v>
      </c>
    </row>
    <row r="1246" customFormat="false" ht="15" hidden="false" customHeight="false" outlineLevel="0" collapsed="false">
      <c r="A1246" s="37" t="n">
        <v>501601</v>
      </c>
      <c r="B1246" s="37" t="s">
        <v>1250</v>
      </c>
      <c r="C1246" s="37" t="n">
        <v>202602</v>
      </c>
      <c r="D1246" s="37" t="s">
        <v>62</v>
      </c>
      <c r="E1246" s="37" t="s">
        <v>110</v>
      </c>
      <c r="F1246" s="37" t="s">
        <v>201</v>
      </c>
      <c r="G1246" s="37" t="s">
        <v>358</v>
      </c>
      <c r="H1246" s="37" t="s">
        <v>1257</v>
      </c>
      <c r="I1246" s="37" t="s">
        <v>548</v>
      </c>
      <c r="J1246" s="37" t="s">
        <v>1251</v>
      </c>
      <c r="K1246" s="45" t="n">
        <v>0</v>
      </c>
      <c r="L1246" s="46" t="n">
        <v>18382.24</v>
      </c>
    </row>
    <row r="1247" customFormat="false" ht="15" hidden="false" customHeight="false" outlineLevel="0" collapsed="false">
      <c r="A1247" s="37" t="n">
        <v>501609</v>
      </c>
      <c r="B1247" s="37" t="s">
        <v>1250</v>
      </c>
      <c r="C1247" s="37" t="n">
        <v>202602</v>
      </c>
      <c r="D1247" s="37" t="s">
        <v>62</v>
      </c>
      <c r="E1247" s="37" t="s">
        <v>111</v>
      </c>
      <c r="F1247" s="37" t="s">
        <v>201</v>
      </c>
      <c r="G1247" s="37" t="s">
        <v>358</v>
      </c>
      <c r="H1247" s="37" t="s">
        <v>1258</v>
      </c>
      <c r="I1247" s="37" t="s">
        <v>1259</v>
      </c>
      <c r="J1247" s="37" t="s">
        <v>1251</v>
      </c>
      <c r="K1247" s="45" t="n">
        <v>0</v>
      </c>
      <c r="L1247" s="46" t="n">
        <v>15809.81</v>
      </c>
    </row>
    <row r="1248" customFormat="false" ht="15" hidden="false" customHeight="false" outlineLevel="0" collapsed="false">
      <c r="A1248" s="37" t="n">
        <v>501775</v>
      </c>
      <c r="B1248" s="37" t="s">
        <v>1250</v>
      </c>
      <c r="C1248" s="37" t="n">
        <v>202602</v>
      </c>
      <c r="D1248" s="37" t="s">
        <v>63</v>
      </c>
      <c r="E1248" s="37" t="s">
        <v>103</v>
      </c>
      <c r="F1248" s="37" t="s">
        <v>205</v>
      </c>
      <c r="G1248" s="37" t="s">
        <v>358</v>
      </c>
      <c r="H1248" s="37" t="s">
        <v>921</v>
      </c>
      <c r="I1248" s="37" t="s">
        <v>728</v>
      </c>
      <c r="J1248" s="37" t="s">
        <v>1260</v>
      </c>
      <c r="K1248" s="45" t="n">
        <v>0</v>
      </c>
      <c r="L1248" s="46" t="n">
        <v>35315.06</v>
      </c>
    </row>
    <row r="1249" customFormat="false" ht="15" hidden="false" customHeight="false" outlineLevel="0" collapsed="false">
      <c r="A1249" s="37" t="n">
        <v>501782</v>
      </c>
      <c r="B1249" s="37" t="s">
        <v>1250</v>
      </c>
      <c r="C1249" s="37" t="n">
        <v>202602</v>
      </c>
      <c r="D1249" s="37" t="s">
        <v>63</v>
      </c>
      <c r="E1249" s="37" t="s">
        <v>104</v>
      </c>
      <c r="F1249" s="37" t="s">
        <v>201</v>
      </c>
      <c r="G1249" s="37" t="s">
        <v>358</v>
      </c>
      <c r="H1249" s="37" t="s">
        <v>1261</v>
      </c>
      <c r="I1249" s="37" t="s">
        <v>1098</v>
      </c>
      <c r="J1249" s="37" t="s">
        <v>1251</v>
      </c>
      <c r="K1249" s="45" t="n">
        <v>0</v>
      </c>
      <c r="L1249" s="46" t="n">
        <v>22180.87</v>
      </c>
    </row>
    <row r="1250" customFormat="false" ht="15" hidden="false" customHeight="false" outlineLevel="0" collapsed="false">
      <c r="A1250" s="37" t="n">
        <v>501789</v>
      </c>
      <c r="B1250" s="37" t="s">
        <v>1250</v>
      </c>
      <c r="C1250" s="37" t="n">
        <v>202602</v>
      </c>
      <c r="D1250" s="37" t="s">
        <v>63</v>
      </c>
      <c r="E1250" s="37" t="s">
        <v>105</v>
      </c>
      <c r="F1250" s="37" t="s">
        <v>201</v>
      </c>
      <c r="G1250" s="37" t="s">
        <v>358</v>
      </c>
      <c r="H1250" s="37" t="s">
        <v>1100</v>
      </c>
      <c r="I1250" s="37" t="s">
        <v>1101</v>
      </c>
      <c r="J1250" s="37" t="s">
        <v>1251</v>
      </c>
      <c r="K1250" s="45" t="n">
        <v>0</v>
      </c>
      <c r="L1250" s="46" t="n">
        <v>204958.5</v>
      </c>
    </row>
    <row r="1251" customFormat="false" ht="15" hidden="false" customHeight="false" outlineLevel="0" collapsed="false">
      <c r="A1251" s="37" t="n">
        <v>501838</v>
      </c>
      <c r="B1251" s="37" t="s">
        <v>1250</v>
      </c>
      <c r="C1251" s="37" t="n">
        <v>202602</v>
      </c>
      <c r="D1251" s="37" t="s">
        <v>63</v>
      </c>
      <c r="E1251" s="37" t="s">
        <v>110</v>
      </c>
      <c r="F1251" s="37" t="s">
        <v>201</v>
      </c>
      <c r="G1251" s="37" t="s">
        <v>358</v>
      </c>
      <c r="H1251" s="37" t="s">
        <v>1180</v>
      </c>
      <c r="I1251" s="37" t="s">
        <v>1181</v>
      </c>
      <c r="J1251" s="37" t="s">
        <v>1251</v>
      </c>
      <c r="K1251" s="45" t="n">
        <v>0</v>
      </c>
      <c r="L1251" s="46" t="n">
        <v>47164.57</v>
      </c>
    </row>
    <row r="1252" customFormat="false" ht="15" hidden="false" customHeight="false" outlineLevel="0" collapsed="false">
      <c r="A1252" s="37" t="n">
        <v>501847</v>
      </c>
      <c r="B1252" s="37" t="s">
        <v>1250</v>
      </c>
      <c r="C1252" s="37" t="n">
        <v>202602</v>
      </c>
      <c r="D1252" s="37" t="s">
        <v>63</v>
      </c>
      <c r="E1252" s="37" t="s">
        <v>111</v>
      </c>
      <c r="F1252" s="37" t="s">
        <v>201</v>
      </c>
      <c r="G1252" s="37" t="s">
        <v>358</v>
      </c>
      <c r="H1252" s="37" t="s">
        <v>1182</v>
      </c>
      <c r="I1252" s="37" t="s">
        <v>852</v>
      </c>
      <c r="J1252" s="37" t="s">
        <v>1251</v>
      </c>
      <c r="K1252" s="45" t="n">
        <v>0</v>
      </c>
      <c r="L1252" s="46" t="n">
        <v>41337.99</v>
      </c>
    </row>
    <row r="1253" customFormat="false" ht="15" hidden="false" customHeight="false" outlineLevel="0" collapsed="false">
      <c r="A1253" s="37" t="n">
        <v>501949</v>
      </c>
      <c r="B1253" s="37" t="s">
        <v>1250</v>
      </c>
      <c r="C1253" s="37" t="n">
        <v>202602</v>
      </c>
      <c r="D1253" s="37" t="s">
        <v>64</v>
      </c>
      <c r="E1253" s="37" t="s">
        <v>100</v>
      </c>
      <c r="F1253" s="37" t="s">
        <v>201</v>
      </c>
      <c r="G1253" s="37" t="s">
        <v>358</v>
      </c>
      <c r="H1253" s="37" t="s">
        <v>935</v>
      </c>
      <c r="I1253" s="37" t="s">
        <v>936</v>
      </c>
      <c r="J1253" s="37" t="s">
        <v>1251</v>
      </c>
      <c r="K1253" s="45" t="n">
        <v>0</v>
      </c>
      <c r="L1253" s="46" t="n">
        <v>21599.78</v>
      </c>
    </row>
    <row r="1254" customFormat="false" ht="15" hidden="false" customHeight="false" outlineLevel="0" collapsed="false">
      <c r="A1254" s="37" t="n">
        <v>502024</v>
      </c>
      <c r="B1254" s="37" t="s">
        <v>1250</v>
      </c>
      <c r="C1254" s="37" t="n">
        <v>202602</v>
      </c>
      <c r="D1254" s="37" t="s">
        <v>64</v>
      </c>
      <c r="E1254" s="37" t="s">
        <v>105</v>
      </c>
      <c r="F1254" s="37" t="s">
        <v>201</v>
      </c>
      <c r="G1254" s="37" t="s">
        <v>358</v>
      </c>
      <c r="H1254" s="37" t="s">
        <v>1262</v>
      </c>
      <c r="I1254" s="37" t="s">
        <v>796</v>
      </c>
      <c r="J1254" s="37" t="s">
        <v>1251</v>
      </c>
      <c r="K1254" s="45" t="n">
        <v>0</v>
      </c>
      <c r="L1254" s="46" t="n">
        <v>16204.7</v>
      </c>
    </row>
    <row r="1255" customFormat="false" ht="15" hidden="false" customHeight="false" outlineLevel="0" collapsed="false">
      <c r="A1255" s="37" t="n">
        <v>502157</v>
      </c>
      <c r="B1255" s="37" t="s">
        <v>1250</v>
      </c>
      <c r="C1255" s="37" t="n">
        <v>202602</v>
      </c>
      <c r="D1255" s="37" t="s">
        <v>65</v>
      </c>
      <c r="E1255" s="37" t="s">
        <v>100</v>
      </c>
      <c r="F1255" s="37" t="s">
        <v>201</v>
      </c>
      <c r="G1255" s="37" t="s">
        <v>358</v>
      </c>
      <c r="H1255" s="37" t="s">
        <v>1019</v>
      </c>
      <c r="I1255" s="37" t="s">
        <v>646</v>
      </c>
      <c r="J1255" s="37" t="s">
        <v>1251</v>
      </c>
      <c r="K1255" s="45" t="n">
        <v>0</v>
      </c>
      <c r="L1255" s="46" t="n">
        <v>184074.15</v>
      </c>
    </row>
    <row r="1256" customFormat="false" ht="15" hidden="false" customHeight="false" outlineLevel="0" collapsed="false">
      <c r="A1256" s="37" t="n">
        <v>502336</v>
      </c>
      <c r="B1256" s="37" t="s">
        <v>1250</v>
      </c>
      <c r="C1256" s="37" t="n">
        <v>202602</v>
      </c>
      <c r="D1256" s="37" t="s">
        <v>66</v>
      </c>
      <c r="E1256" s="37" t="s">
        <v>100</v>
      </c>
      <c r="F1256" s="37" t="s">
        <v>201</v>
      </c>
      <c r="G1256" s="37" t="s">
        <v>358</v>
      </c>
      <c r="H1256" s="37" t="s">
        <v>1185</v>
      </c>
      <c r="I1256" s="37" t="s">
        <v>370</v>
      </c>
      <c r="J1256" s="37" t="s">
        <v>1251</v>
      </c>
      <c r="K1256" s="45" t="n">
        <v>0</v>
      </c>
      <c r="L1256" s="46" t="n">
        <v>110700.29</v>
      </c>
    </row>
    <row r="1257" customFormat="false" ht="15" hidden="false" customHeight="false" outlineLevel="0" collapsed="false">
      <c r="A1257" s="37" t="n">
        <v>500388</v>
      </c>
      <c r="B1257" s="37" t="s">
        <v>1263</v>
      </c>
      <c r="C1257" s="37" t="n">
        <v>202602</v>
      </c>
      <c r="D1257" s="37" t="s">
        <v>58</v>
      </c>
      <c r="E1257" s="37" t="s">
        <v>108</v>
      </c>
      <c r="F1257" s="37" t="s">
        <v>205</v>
      </c>
      <c r="G1257" s="37" t="s">
        <v>358</v>
      </c>
      <c r="H1257" s="37" t="s">
        <v>885</v>
      </c>
      <c r="I1257" s="37" t="s">
        <v>886</v>
      </c>
      <c r="J1257" s="37" t="s">
        <v>1264</v>
      </c>
      <c r="K1257" s="45" t="n">
        <v>0</v>
      </c>
      <c r="L1257" s="46" t="n">
        <v>51298.51</v>
      </c>
    </row>
    <row r="1258" customFormat="false" ht="15" hidden="false" customHeight="false" outlineLevel="0" collapsed="false">
      <c r="A1258" s="37" t="n">
        <v>501526</v>
      </c>
      <c r="B1258" s="37" t="s">
        <v>1263</v>
      </c>
      <c r="C1258" s="37" t="n">
        <v>202602</v>
      </c>
      <c r="D1258" s="37" t="s">
        <v>62</v>
      </c>
      <c r="E1258" s="37" t="s">
        <v>102</v>
      </c>
      <c r="F1258" s="37" t="s">
        <v>205</v>
      </c>
      <c r="G1258" s="37" t="s">
        <v>358</v>
      </c>
      <c r="H1258" s="37" t="s">
        <v>810</v>
      </c>
      <c r="I1258" s="37" t="s">
        <v>811</v>
      </c>
      <c r="J1258" s="37" t="s">
        <v>1265</v>
      </c>
      <c r="K1258" s="45" t="n">
        <v>0</v>
      </c>
      <c r="L1258" s="46" t="n">
        <v>29862.44</v>
      </c>
    </row>
    <row r="1259" customFormat="false" ht="15" hidden="false" customHeight="false" outlineLevel="0" collapsed="false">
      <c r="A1259" s="37" t="n">
        <v>500091</v>
      </c>
      <c r="B1259" s="37" t="s">
        <v>1266</v>
      </c>
      <c r="C1259" s="37" t="n">
        <v>202602</v>
      </c>
      <c r="D1259" s="37" t="s">
        <v>58</v>
      </c>
      <c r="E1259" s="37" t="s">
        <v>97</v>
      </c>
      <c r="F1259" s="37" t="s">
        <v>194</v>
      </c>
      <c r="G1259" s="37" t="s">
        <v>354</v>
      </c>
      <c r="H1259" s="37"/>
      <c r="I1259" s="37" t="s">
        <v>355</v>
      </c>
      <c r="J1259" s="37" t="s">
        <v>1267</v>
      </c>
      <c r="K1259" s="45" t="n">
        <v>168.9</v>
      </c>
      <c r="L1259" s="46" t="n">
        <v>15535.11</v>
      </c>
    </row>
    <row r="1260" customFormat="false" ht="15" hidden="false" customHeight="false" outlineLevel="0" collapsed="false">
      <c r="A1260" s="37" t="n">
        <v>500365</v>
      </c>
      <c r="B1260" s="37" t="s">
        <v>1266</v>
      </c>
      <c r="C1260" s="37" t="n">
        <v>202602</v>
      </c>
      <c r="D1260" s="37" t="s">
        <v>58</v>
      </c>
      <c r="E1260" s="37" t="s">
        <v>106</v>
      </c>
      <c r="F1260" s="37" t="s">
        <v>194</v>
      </c>
      <c r="G1260" s="37" t="s">
        <v>354</v>
      </c>
      <c r="H1260" s="37"/>
      <c r="I1260" s="37" t="s">
        <v>355</v>
      </c>
      <c r="J1260" s="37" t="s">
        <v>1267</v>
      </c>
      <c r="K1260" s="45" t="n">
        <v>55.3</v>
      </c>
      <c r="L1260" s="46" t="n">
        <v>3925.64</v>
      </c>
    </row>
    <row r="1261" customFormat="false" ht="15" hidden="false" customHeight="false" outlineLevel="0" collapsed="false">
      <c r="A1261" s="37" t="n">
        <v>500389</v>
      </c>
      <c r="B1261" s="37" t="s">
        <v>1266</v>
      </c>
      <c r="C1261" s="37" t="n">
        <v>202602</v>
      </c>
      <c r="D1261" s="37" t="s">
        <v>58</v>
      </c>
      <c r="E1261" s="37" t="s">
        <v>108</v>
      </c>
      <c r="F1261" s="37" t="s">
        <v>205</v>
      </c>
      <c r="G1261" s="37" t="s">
        <v>358</v>
      </c>
      <c r="H1261" s="37" t="s">
        <v>885</v>
      </c>
      <c r="I1261" s="37" t="s">
        <v>886</v>
      </c>
      <c r="J1261" s="37" t="s">
        <v>1268</v>
      </c>
      <c r="K1261" s="45" t="n">
        <v>0</v>
      </c>
      <c r="L1261" s="46" t="n">
        <v>59181.61</v>
      </c>
    </row>
    <row r="1262" customFormat="false" ht="15" hidden="false" customHeight="false" outlineLevel="0" collapsed="false">
      <c r="A1262" s="37" t="n">
        <v>500499</v>
      </c>
      <c r="B1262" s="37" t="s">
        <v>1266</v>
      </c>
      <c r="C1262" s="37" t="n">
        <v>202602</v>
      </c>
      <c r="D1262" s="37" t="s">
        <v>59</v>
      </c>
      <c r="E1262" s="37" t="s">
        <v>97</v>
      </c>
      <c r="F1262" s="37" t="s">
        <v>194</v>
      </c>
      <c r="G1262" s="37" t="s">
        <v>354</v>
      </c>
      <c r="H1262" s="37"/>
      <c r="I1262" s="37" t="s">
        <v>355</v>
      </c>
      <c r="J1262" s="37" t="s">
        <v>1267</v>
      </c>
      <c r="K1262" s="45" t="n">
        <v>173.6</v>
      </c>
      <c r="L1262" s="46" t="n">
        <v>15970.62</v>
      </c>
    </row>
    <row r="1263" customFormat="false" ht="15" hidden="false" customHeight="false" outlineLevel="0" collapsed="false">
      <c r="A1263" s="37" t="n">
        <v>500701</v>
      </c>
      <c r="B1263" s="37" t="s">
        <v>1266</v>
      </c>
      <c r="C1263" s="37" t="n">
        <v>202602</v>
      </c>
      <c r="D1263" s="37" t="s">
        <v>59</v>
      </c>
      <c r="E1263" s="37" t="s">
        <v>106</v>
      </c>
      <c r="F1263" s="37" t="s">
        <v>194</v>
      </c>
      <c r="G1263" s="37" t="s">
        <v>354</v>
      </c>
      <c r="H1263" s="37"/>
      <c r="I1263" s="37" t="s">
        <v>355</v>
      </c>
      <c r="J1263" s="37" t="s">
        <v>1267</v>
      </c>
      <c r="K1263" s="45" t="n">
        <v>244.4</v>
      </c>
      <c r="L1263" s="46" t="n">
        <v>17351.07</v>
      </c>
    </row>
    <row r="1264" customFormat="false" ht="15" hidden="false" customHeight="false" outlineLevel="0" collapsed="false">
      <c r="A1264" s="37" t="n">
        <v>500828</v>
      </c>
      <c r="B1264" s="37" t="s">
        <v>1266</v>
      </c>
      <c r="C1264" s="37" t="n">
        <v>202602</v>
      </c>
      <c r="D1264" s="37" t="s">
        <v>60</v>
      </c>
      <c r="E1264" s="37" t="s">
        <v>97</v>
      </c>
      <c r="F1264" s="37" t="s">
        <v>194</v>
      </c>
      <c r="G1264" s="37" t="s">
        <v>354</v>
      </c>
      <c r="H1264" s="37"/>
      <c r="I1264" s="37" t="s">
        <v>355</v>
      </c>
      <c r="J1264" s="37" t="s">
        <v>1267</v>
      </c>
      <c r="K1264" s="45" t="n">
        <v>289.6</v>
      </c>
      <c r="L1264" s="46" t="n">
        <v>26645.95</v>
      </c>
    </row>
    <row r="1265" customFormat="false" ht="15" hidden="false" customHeight="false" outlineLevel="0" collapsed="false">
      <c r="A1265" s="37" t="n">
        <v>500956</v>
      </c>
      <c r="B1265" s="37" t="s">
        <v>1266</v>
      </c>
      <c r="C1265" s="37" t="n">
        <v>202602</v>
      </c>
      <c r="D1265" s="37" t="s">
        <v>60</v>
      </c>
      <c r="E1265" s="37" t="s">
        <v>101</v>
      </c>
      <c r="F1265" s="37" t="s">
        <v>194</v>
      </c>
      <c r="G1265" s="37" t="s">
        <v>354</v>
      </c>
      <c r="H1265" s="37"/>
      <c r="I1265" s="37" t="s">
        <v>355</v>
      </c>
      <c r="J1265" s="37" t="s">
        <v>1267</v>
      </c>
      <c r="K1265" s="45" t="n">
        <v>86.1</v>
      </c>
      <c r="L1265" s="46" t="n">
        <v>6368.33</v>
      </c>
    </row>
    <row r="1266" customFormat="false" ht="15" hidden="false" customHeight="false" outlineLevel="0" collapsed="false">
      <c r="A1266" s="37" t="n">
        <v>501021</v>
      </c>
      <c r="B1266" s="37" t="s">
        <v>1266</v>
      </c>
      <c r="C1266" s="37" t="n">
        <v>202602</v>
      </c>
      <c r="D1266" s="37" t="s">
        <v>60</v>
      </c>
      <c r="E1266" s="37" t="s">
        <v>106</v>
      </c>
      <c r="F1266" s="37" t="s">
        <v>194</v>
      </c>
      <c r="G1266" s="37" t="s">
        <v>354</v>
      </c>
      <c r="H1266" s="37"/>
      <c r="I1266" s="37" t="s">
        <v>355</v>
      </c>
      <c r="J1266" s="37" t="s">
        <v>1267</v>
      </c>
      <c r="K1266" s="45" t="n">
        <v>59.5</v>
      </c>
      <c r="L1266" s="46" t="n">
        <v>4221.18</v>
      </c>
    </row>
    <row r="1267" customFormat="false" ht="15" hidden="false" customHeight="false" outlineLevel="0" collapsed="false">
      <c r="A1267" s="37" t="n">
        <v>501135</v>
      </c>
      <c r="B1267" s="37" t="s">
        <v>1266</v>
      </c>
      <c r="C1267" s="37" t="n">
        <v>202602</v>
      </c>
      <c r="D1267" s="37" t="s">
        <v>61</v>
      </c>
      <c r="E1267" s="37" t="s">
        <v>97</v>
      </c>
      <c r="F1267" s="37" t="s">
        <v>194</v>
      </c>
      <c r="G1267" s="37" t="s">
        <v>354</v>
      </c>
      <c r="H1267" s="37"/>
      <c r="I1267" s="37" t="s">
        <v>355</v>
      </c>
      <c r="J1267" s="37" t="s">
        <v>1267</v>
      </c>
      <c r="K1267" s="45" t="n">
        <v>334.3</v>
      </c>
      <c r="L1267" s="46" t="n">
        <v>30755.51</v>
      </c>
    </row>
    <row r="1268" customFormat="false" ht="15" hidden="false" customHeight="false" outlineLevel="0" collapsed="false">
      <c r="A1268" s="37" t="n">
        <v>501295</v>
      </c>
      <c r="B1268" s="37" t="s">
        <v>1266</v>
      </c>
      <c r="C1268" s="37" t="n">
        <v>202602</v>
      </c>
      <c r="D1268" s="37" t="s">
        <v>61</v>
      </c>
      <c r="E1268" s="37" t="s">
        <v>106</v>
      </c>
      <c r="F1268" s="37" t="s">
        <v>194</v>
      </c>
      <c r="G1268" s="37" t="s">
        <v>354</v>
      </c>
      <c r="H1268" s="37"/>
      <c r="I1268" s="37" t="s">
        <v>355</v>
      </c>
      <c r="J1268" s="37" t="s">
        <v>1267</v>
      </c>
      <c r="K1268" s="45" t="n">
        <v>113.7</v>
      </c>
      <c r="L1268" s="46" t="n">
        <v>8070.88</v>
      </c>
    </row>
    <row r="1269" customFormat="false" ht="15" hidden="false" customHeight="false" outlineLevel="0" collapsed="false">
      <c r="A1269" s="37" t="n">
        <v>501396</v>
      </c>
      <c r="B1269" s="37" t="s">
        <v>1266</v>
      </c>
      <c r="C1269" s="37" t="n">
        <v>202602</v>
      </c>
      <c r="D1269" s="37" t="s">
        <v>62</v>
      </c>
      <c r="E1269" s="37" t="s">
        <v>97</v>
      </c>
      <c r="F1269" s="37" t="s">
        <v>194</v>
      </c>
      <c r="G1269" s="37" t="s">
        <v>354</v>
      </c>
      <c r="H1269" s="37"/>
      <c r="I1269" s="37" t="s">
        <v>355</v>
      </c>
      <c r="J1269" s="37" t="s">
        <v>1267</v>
      </c>
      <c r="K1269" s="45" t="n">
        <v>451.6</v>
      </c>
      <c r="L1269" s="46" t="n">
        <v>41545.27</v>
      </c>
    </row>
    <row r="1270" customFormat="false" ht="15" hidden="false" customHeight="false" outlineLevel="0" collapsed="false">
      <c r="A1270" s="37" t="n">
        <v>501442</v>
      </c>
      <c r="B1270" s="37" t="s">
        <v>1266</v>
      </c>
      <c r="C1270" s="37" t="n">
        <v>202602</v>
      </c>
      <c r="D1270" s="37" t="s">
        <v>62</v>
      </c>
      <c r="E1270" s="37" t="s">
        <v>98</v>
      </c>
      <c r="F1270" s="37" t="s">
        <v>196</v>
      </c>
      <c r="G1270" s="37" t="s">
        <v>358</v>
      </c>
      <c r="H1270" s="37" t="s">
        <v>359</v>
      </c>
      <c r="I1270" s="37" t="s">
        <v>360</v>
      </c>
      <c r="J1270" s="37" t="s">
        <v>1269</v>
      </c>
      <c r="K1270" s="45" t="n">
        <v>0</v>
      </c>
      <c r="L1270" s="46" t="n">
        <v>21022.18</v>
      </c>
    </row>
    <row r="1271" customFormat="false" ht="15" hidden="false" customHeight="false" outlineLevel="0" collapsed="false">
      <c r="A1271" s="37" t="n">
        <v>501500</v>
      </c>
      <c r="B1271" s="37" t="s">
        <v>1266</v>
      </c>
      <c r="C1271" s="37" t="n">
        <v>202602</v>
      </c>
      <c r="D1271" s="37" t="s">
        <v>62</v>
      </c>
      <c r="E1271" s="37" t="s">
        <v>101</v>
      </c>
      <c r="F1271" s="37" t="s">
        <v>194</v>
      </c>
      <c r="G1271" s="37" t="s">
        <v>354</v>
      </c>
      <c r="H1271" s="37"/>
      <c r="I1271" s="37" t="s">
        <v>355</v>
      </c>
      <c r="J1271" s="37" t="s">
        <v>1267</v>
      </c>
      <c r="K1271" s="45" t="n">
        <v>1402.4</v>
      </c>
      <c r="L1271" s="46" t="n">
        <v>103779.99</v>
      </c>
    </row>
    <row r="1272" customFormat="false" ht="15" hidden="false" customHeight="false" outlineLevel="0" collapsed="false">
      <c r="A1272" s="37" t="n">
        <v>501642</v>
      </c>
      <c r="B1272" s="37" t="s">
        <v>1266</v>
      </c>
      <c r="C1272" s="37" t="n">
        <v>202602</v>
      </c>
      <c r="D1272" s="37" t="s">
        <v>63</v>
      </c>
      <c r="E1272" s="37" t="s">
        <v>97</v>
      </c>
      <c r="F1272" s="37" t="s">
        <v>194</v>
      </c>
      <c r="G1272" s="37" t="s">
        <v>354</v>
      </c>
      <c r="H1272" s="37"/>
      <c r="I1272" s="37" t="s">
        <v>355</v>
      </c>
      <c r="J1272" s="37" t="s">
        <v>1267</v>
      </c>
      <c r="K1272" s="45" t="n">
        <v>129.9</v>
      </c>
      <c r="L1272" s="46" t="n">
        <v>11948.51</v>
      </c>
    </row>
    <row r="1273" customFormat="false" ht="15" hidden="false" customHeight="false" outlineLevel="0" collapsed="false">
      <c r="A1273" s="37" t="n">
        <v>501687</v>
      </c>
      <c r="B1273" s="37" t="s">
        <v>1266</v>
      </c>
      <c r="C1273" s="37" t="n">
        <v>202602</v>
      </c>
      <c r="D1273" s="37" t="s">
        <v>63</v>
      </c>
      <c r="E1273" s="37" t="s">
        <v>98</v>
      </c>
      <c r="F1273" s="37" t="s">
        <v>196</v>
      </c>
      <c r="G1273" s="37" t="s">
        <v>358</v>
      </c>
      <c r="H1273" s="37" t="s">
        <v>359</v>
      </c>
      <c r="I1273" s="37" t="s">
        <v>360</v>
      </c>
      <c r="J1273" s="37" t="s">
        <v>1270</v>
      </c>
      <c r="K1273" s="45" t="n">
        <v>0</v>
      </c>
      <c r="L1273" s="46" t="n">
        <v>10999.19</v>
      </c>
    </row>
    <row r="1274" customFormat="false" ht="15" hidden="false" customHeight="false" outlineLevel="0" collapsed="false">
      <c r="A1274" s="37" t="n">
        <v>501746</v>
      </c>
      <c r="B1274" s="37" t="s">
        <v>1266</v>
      </c>
      <c r="C1274" s="37" t="n">
        <v>202602</v>
      </c>
      <c r="D1274" s="37" t="s">
        <v>63</v>
      </c>
      <c r="E1274" s="37" t="s">
        <v>101</v>
      </c>
      <c r="F1274" s="37" t="s">
        <v>194</v>
      </c>
      <c r="G1274" s="37" t="s">
        <v>354</v>
      </c>
      <c r="H1274" s="37"/>
      <c r="I1274" s="37" t="s">
        <v>355</v>
      </c>
      <c r="J1274" s="37" t="s">
        <v>1267</v>
      </c>
      <c r="K1274" s="45" t="n">
        <v>297</v>
      </c>
      <c r="L1274" s="46" t="n">
        <v>21980.16</v>
      </c>
    </row>
    <row r="1275" customFormat="false" ht="15" hidden="false" customHeight="false" outlineLevel="0" collapsed="false">
      <c r="A1275" s="37" t="n">
        <v>501876</v>
      </c>
      <c r="B1275" s="37" t="s">
        <v>1266</v>
      </c>
      <c r="C1275" s="37" t="n">
        <v>202602</v>
      </c>
      <c r="D1275" s="37" t="s">
        <v>64</v>
      </c>
      <c r="E1275" s="37" t="s">
        <v>97</v>
      </c>
      <c r="F1275" s="37" t="s">
        <v>194</v>
      </c>
      <c r="G1275" s="37" t="s">
        <v>354</v>
      </c>
      <c r="H1275" s="37"/>
      <c r="I1275" s="37" t="s">
        <v>355</v>
      </c>
      <c r="J1275" s="37" t="s">
        <v>1267</v>
      </c>
      <c r="K1275" s="45" t="n">
        <v>173</v>
      </c>
      <c r="L1275" s="46" t="n">
        <v>15915.32</v>
      </c>
    </row>
    <row r="1276" customFormat="false" ht="15" hidden="false" customHeight="false" outlineLevel="0" collapsed="false">
      <c r="A1276" s="37" t="n">
        <v>501915</v>
      </c>
      <c r="B1276" s="37" t="s">
        <v>1266</v>
      </c>
      <c r="C1276" s="37" t="n">
        <v>202602</v>
      </c>
      <c r="D1276" s="37" t="s">
        <v>64</v>
      </c>
      <c r="E1276" s="37" t="s">
        <v>98</v>
      </c>
      <c r="F1276" s="37" t="s">
        <v>196</v>
      </c>
      <c r="G1276" s="37" t="s">
        <v>358</v>
      </c>
      <c r="H1276" s="37" t="s">
        <v>359</v>
      </c>
      <c r="I1276" s="37" t="s">
        <v>360</v>
      </c>
      <c r="J1276" s="37" t="s">
        <v>1271</v>
      </c>
      <c r="K1276" s="45" t="n">
        <v>0</v>
      </c>
      <c r="L1276" s="46" t="n">
        <v>3144.76</v>
      </c>
    </row>
    <row r="1277" customFormat="false" ht="15" hidden="false" customHeight="false" outlineLevel="0" collapsed="false">
      <c r="A1277" s="37" t="n">
        <v>501966</v>
      </c>
      <c r="B1277" s="37" t="s">
        <v>1266</v>
      </c>
      <c r="C1277" s="37" t="n">
        <v>202602</v>
      </c>
      <c r="D1277" s="37" t="s">
        <v>64</v>
      </c>
      <c r="E1277" s="37" t="s">
        <v>101</v>
      </c>
      <c r="F1277" s="37" t="s">
        <v>194</v>
      </c>
      <c r="G1277" s="37" t="s">
        <v>354</v>
      </c>
      <c r="H1277" s="37"/>
      <c r="I1277" s="37" t="s">
        <v>355</v>
      </c>
      <c r="J1277" s="37" t="s">
        <v>1267</v>
      </c>
      <c r="K1277" s="45" t="n">
        <v>979.3</v>
      </c>
      <c r="L1277" s="46" t="n">
        <v>72468.54</v>
      </c>
    </row>
    <row r="1278" customFormat="false" ht="15" hidden="false" customHeight="false" outlineLevel="0" collapsed="false">
      <c r="A1278" s="37" t="n">
        <v>502092</v>
      </c>
      <c r="B1278" s="37" t="s">
        <v>1266</v>
      </c>
      <c r="C1278" s="37" t="n">
        <v>202602</v>
      </c>
      <c r="D1278" s="37" t="s">
        <v>65</v>
      </c>
      <c r="E1278" s="37" t="s">
        <v>97</v>
      </c>
      <c r="F1278" s="37" t="s">
        <v>194</v>
      </c>
      <c r="G1278" s="37" t="s">
        <v>354</v>
      </c>
      <c r="H1278" s="37"/>
      <c r="I1278" s="37" t="s">
        <v>355</v>
      </c>
      <c r="J1278" s="37" t="s">
        <v>1267</v>
      </c>
      <c r="K1278" s="45" t="n">
        <v>130.1</v>
      </c>
      <c r="L1278" s="46" t="n">
        <v>11966.55</v>
      </c>
    </row>
    <row r="1279" customFormat="false" ht="15" hidden="false" customHeight="false" outlineLevel="0" collapsed="false">
      <c r="A1279" s="37" t="n">
        <v>502171</v>
      </c>
      <c r="B1279" s="37" t="s">
        <v>1266</v>
      </c>
      <c r="C1279" s="37" t="n">
        <v>202602</v>
      </c>
      <c r="D1279" s="37" t="s">
        <v>65</v>
      </c>
      <c r="E1279" s="37" t="s">
        <v>101</v>
      </c>
      <c r="F1279" s="37" t="s">
        <v>194</v>
      </c>
      <c r="G1279" s="37" t="s">
        <v>354</v>
      </c>
      <c r="H1279" s="37"/>
      <c r="I1279" s="37" t="s">
        <v>355</v>
      </c>
      <c r="J1279" s="37" t="s">
        <v>1267</v>
      </c>
      <c r="K1279" s="45" t="n">
        <v>361.8</v>
      </c>
      <c r="L1279" s="46" t="n">
        <v>26775.89</v>
      </c>
    </row>
    <row r="1280" customFormat="false" ht="15" hidden="false" customHeight="false" outlineLevel="0" collapsed="false">
      <c r="A1280" s="37" t="n">
        <v>502275</v>
      </c>
      <c r="B1280" s="37" t="s">
        <v>1266</v>
      </c>
      <c r="C1280" s="37" t="n">
        <v>202602</v>
      </c>
      <c r="D1280" s="37" t="s">
        <v>66</v>
      </c>
      <c r="E1280" s="37" t="s">
        <v>97</v>
      </c>
      <c r="F1280" s="37" t="s">
        <v>194</v>
      </c>
      <c r="G1280" s="37" t="s">
        <v>354</v>
      </c>
      <c r="H1280" s="37"/>
      <c r="I1280" s="37" t="s">
        <v>355</v>
      </c>
      <c r="J1280" s="37" t="s">
        <v>1267</v>
      </c>
      <c r="K1280" s="45" t="n">
        <v>116.5</v>
      </c>
      <c r="L1280" s="46" t="n">
        <v>10717.88</v>
      </c>
    </row>
    <row r="1281" customFormat="false" ht="15" hidden="false" customHeight="false" outlineLevel="0" collapsed="false">
      <c r="A1281" s="37" t="n">
        <v>502310</v>
      </c>
      <c r="B1281" s="37" t="s">
        <v>1266</v>
      </c>
      <c r="C1281" s="37" t="n">
        <v>202602</v>
      </c>
      <c r="D1281" s="37" t="s">
        <v>66</v>
      </c>
      <c r="E1281" s="37" t="s">
        <v>98</v>
      </c>
      <c r="F1281" s="37" t="s">
        <v>196</v>
      </c>
      <c r="G1281" s="37" t="s">
        <v>358</v>
      </c>
      <c r="H1281" s="37" t="s">
        <v>359</v>
      </c>
      <c r="I1281" s="37" t="s">
        <v>360</v>
      </c>
      <c r="J1281" s="37" t="s">
        <v>1272</v>
      </c>
      <c r="K1281" s="45" t="n">
        <v>0</v>
      </c>
      <c r="L1281" s="46" t="n">
        <v>3026.89</v>
      </c>
    </row>
    <row r="1282" customFormat="false" ht="15" hidden="false" customHeight="false" outlineLevel="0" collapsed="false">
      <c r="A1282" s="37" t="n">
        <v>500194</v>
      </c>
      <c r="B1282" s="37" t="s">
        <v>1273</v>
      </c>
      <c r="C1282" s="37" t="n">
        <v>202602</v>
      </c>
      <c r="D1282" s="37" t="s">
        <v>58</v>
      </c>
      <c r="E1282" s="37" t="s">
        <v>99</v>
      </c>
      <c r="F1282" s="37" t="s">
        <v>198</v>
      </c>
      <c r="G1282" s="37" t="s">
        <v>375</v>
      </c>
      <c r="H1282" s="37"/>
      <c r="I1282" s="37" t="s">
        <v>376</v>
      </c>
      <c r="J1282" s="37" t="s">
        <v>377</v>
      </c>
      <c r="K1282" s="45" t="n">
        <v>0</v>
      </c>
      <c r="L1282" s="46" t="n">
        <v>8433.71</v>
      </c>
    </row>
    <row r="1283" customFormat="false" ht="15" hidden="false" customHeight="false" outlineLevel="0" collapsed="false">
      <c r="A1283" s="37" t="n">
        <v>500581</v>
      </c>
      <c r="B1283" s="37" t="s">
        <v>1273</v>
      </c>
      <c r="C1283" s="37" t="n">
        <v>202602</v>
      </c>
      <c r="D1283" s="37" t="s">
        <v>59</v>
      </c>
      <c r="E1283" s="37" t="s">
        <v>99</v>
      </c>
      <c r="F1283" s="37" t="s">
        <v>198</v>
      </c>
      <c r="G1283" s="37" t="s">
        <v>375</v>
      </c>
      <c r="H1283" s="37"/>
      <c r="I1283" s="37" t="s">
        <v>376</v>
      </c>
      <c r="J1283" s="37" t="s">
        <v>377</v>
      </c>
      <c r="K1283" s="45" t="n">
        <v>0</v>
      </c>
      <c r="L1283" s="46" t="n">
        <v>67728.98</v>
      </c>
    </row>
    <row r="1284" customFormat="false" ht="15" hidden="false" customHeight="false" outlineLevel="0" collapsed="false">
      <c r="A1284" s="37" t="n">
        <v>500903</v>
      </c>
      <c r="B1284" s="37" t="s">
        <v>1273</v>
      </c>
      <c r="C1284" s="37" t="n">
        <v>202602</v>
      </c>
      <c r="D1284" s="37" t="s">
        <v>60</v>
      </c>
      <c r="E1284" s="37" t="s">
        <v>99</v>
      </c>
      <c r="F1284" s="37" t="s">
        <v>198</v>
      </c>
      <c r="G1284" s="37" t="s">
        <v>375</v>
      </c>
      <c r="H1284" s="37"/>
      <c r="I1284" s="37" t="s">
        <v>376</v>
      </c>
      <c r="J1284" s="37" t="s">
        <v>377</v>
      </c>
      <c r="K1284" s="45" t="n">
        <v>0</v>
      </c>
      <c r="L1284" s="46" t="n">
        <v>34436.59</v>
      </c>
    </row>
    <row r="1285" customFormat="false" ht="15" hidden="false" customHeight="false" outlineLevel="0" collapsed="false">
      <c r="A1285" s="37" t="n">
        <v>501203</v>
      </c>
      <c r="B1285" s="37" t="s">
        <v>1273</v>
      </c>
      <c r="C1285" s="37" t="n">
        <v>202602</v>
      </c>
      <c r="D1285" s="37" t="s">
        <v>61</v>
      </c>
      <c r="E1285" s="37" t="s">
        <v>99</v>
      </c>
      <c r="F1285" s="37" t="s">
        <v>198</v>
      </c>
      <c r="G1285" s="37" t="s">
        <v>375</v>
      </c>
      <c r="H1285" s="37"/>
      <c r="I1285" s="37" t="s">
        <v>376</v>
      </c>
      <c r="J1285" s="37" t="s">
        <v>377</v>
      </c>
      <c r="K1285" s="45" t="n">
        <v>0</v>
      </c>
      <c r="L1285" s="46" t="n">
        <v>41294.72</v>
      </c>
    </row>
    <row r="1286" customFormat="false" ht="15" hidden="false" customHeight="false" outlineLevel="0" collapsed="false">
      <c r="A1286" s="37" t="n">
        <v>501461</v>
      </c>
      <c r="B1286" s="37" t="s">
        <v>1273</v>
      </c>
      <c r="C1286" s="37" t="n">
        <v>202602</v>
      </c>
      <c r="D1286" s="37" t="s">
        <v>62</v>
      </c>
      <c r="E1286" s="37" t="s">
        <v>99</v>
      </c>
      <c r="F1286" s="37" t="s">
        <v>198</v>
      </c>
      <c r="G1286" s="37" t="s">
        <v>375</v>
      </c>
      <c r="H1286" s="37"/>
      <c r="I1286" s="37" t="s">
        <v>376</v>
      </c>
      <c r="J1286" s="37" t="s">
        <v>377</v>
      </c>
      <c r="K1286" s="45" t="n">
        <v>0</v>
      </c>
      <c r="L1286" s="46" t="n">
        <v>35970.85</v>
      </c>
    </row>
    <row r="1287" customFormat="false" ht="15" hidden="false" customHeight="false" outlineLevel="0" collapsed="false">
      <c r="A1287" s="37" t="n">
        <v>501712</v>
      </c>
      <c r="B1287" s="37" t="s">
        <v>1273</v>
      </c>
      <c r="C1287" s="37" t="n">
        <v>202602</v>
      </c>
      <c r="D1287" s="37" t="s">
        <v>63</v>
      </c>
      <c r="E1287" s="37" t="s">
        <v>99</v>
      </c>
      <c r="F1287" s="37" t="s">
        <v>198</v>
      </c>
      <c r="G1287" s="37" t="s">
        <v>375</v>
      </c>
      <c r="H1287" s="37"/>
      <c r="I1287" s="37" t="s">
        <v>376</v>
      </c>
      <c r="J1287" s="37" t="s">
        <v>377</v>
      </c>
      <c r="K1287" s="45" t="n">
        <v>0</v>
      </c>
      <c r="L1287" s="46" t="n">
        <v>29265.64</v>
      </c>
    </row>
    <row r="1288" customFormat="false" ht="15" hidden="false" customHeight="false" outlineLevel="0" collapsed="false">
      <c r="A1288" s="37" t="n">
        <v>501937</v>
      </c>
      <c r="B1288" s="37" t="s">
        <v>1273</v>
      </c>
      <c r="C1288" s="37" t="n">
        <v>202602</v>
      </c>
      <c r="D1288" s="37" t="s">
        <v>64</v>
      </c>
      <c r="E1288" s="37" t="s">
        <v>99</v>
      </c>
      <c r="F1288" s="37" t="s">
        <v>198</v>
      </c>
      <c r="G1288" s="37" t="s">
        <v>375</v>
      </c>
      <c r="H1288" s="37"/>
      <c r="I1288" s="37" t="s">
        <v>376</v>
      </c>
      <c r="J1288" s="37" t="s">
        <v>377</v>
      </c>
      <c r="K1288" s="45" t="n">
        <v>0</v>
      </c>
      <c r="L1288" s="46" t="n">
        <v>18675.03</v>
      </c>
    </row>
    <row r="1289" customFormat="false" ht="15" hidden="false" customHeight="false" outlineLevel="0" collapsed="false">
      <c r="A1289" s="37" t="n">
        <v>502146</v>
      </c>
      <c r="B1289" s="37" t="s">
        <v>1273</v>
      </c>
      <c r="C1289" s="37" t="n">
        <v>202602</v>
      </c>
      <c r="D1289" s="37" t="s">
        <v>65</v>
      </c>
      <c r="E1289" s="37" t="s">
        <v>99</v>
      </c>
      <c r="F1289" s="37" t="s">
        <v>198</v>
      </c>
      <c r="G1289" s="37" t="s">
        <v>375</v>
      </c>
      <c r="H1289" s="37"/>
      <c r="I1289" s="37" t="s">
        <v>376</v>
      </c>
      <c r="J1289" s="37" t="s">
        <v>377</v>
      </c>
      <c r="K1289" s="45" t="n">
        <v>0</v>
      </c>
      <c r="L1289" s="46" t="n">
        <v>47162.66</v>
      </c>
    </row>
    <row r="1290" customFormat="false" ht="15" hidden="false" customHeight="false" outlineLevel="0" collapsed="false">
      <c r="A1290" s="37" t="n">
        <v>502327</v>
      </c>
      <c r="B1290" s="37" t="s">
        <v>1273</v>
      </c>
      <c r="C1290" s="37" t="n">
        <v>202602</v>
      </c>
      <c r="D1290" s="37" t="s">
        <v>66</v>
      </c>
      <c r="E1290" s="37" t="s">
        <v>99</v>
      </c>
      <c r="F1290" s="37" t="s">
        <v>198</v>
      </c>
      <c r="G1290" s="37" t="s">
        <v>375</v>
      </c>
      <c r="H1290" s="37"/>
      <c r="I1290" s="37" t="s">
        <v>376</v>
      </c>
      <c r="J1290" s="37" t="s">
        <v>377</v>
      </c>
      <c r="K1290" s="45" t="n">
        <v>0</v>
      </c>
      <c r="L1290" s="46" t="n">
        <v>10093.35</v>
      </c>
    </row>
    <row r="1291" customFormat="false" ht="15" hidden="false" customHeight="false" outlineLevel="0" collapsed="false">
      <c r="A1291" s="37" t="n">
        <v>502450</v>
      </c>
      <c r="B1291" s="37" t="s">
        <v>1274</v>
      </c>
      <c r="C1291" s="37" t="n">
        <v>202603</v>
      </c>
      <c r="D1291" s="37" t="s">
        <v>67</v>
      </c>
      <c r="E1291" s="37" t="s">
        <v>98</v>
      </c>
      <c r="F1291" s="37" t="s">
        <v>196</v>
      </c>
      <c r="G1291" s="37" t="s">
        <v>358</v>
      </c>
      <c r="H1291" s="37" t="s">
        <v>359</v>
      </c>
      <c r="I1291" s="37" t="s">
        <v>360</v>
      </c>
      <c r="J1291" s="37" t="s">
        <v>1275</v>
      </c>
      <c r="K1291" s="45" t="n">
        <v>0</v>
      </c>
      <c r="L1291" s="46" t="n">
        <v>3286.12</v>
      </c>
    </row>
    <row r="1292" customFormat="false" ht="15" hidden="false" customHeight="false" outlineLevel="0" collapsed="false">
      <c r="A1292" s="37" t="n">
        <v>500994</v>
      </c>
      <c r="B1292" s="37" t="s">
        <v>1276</v>
      </c>
      <c r="C1292" s="37" t="n">
        <v>202603</v>
      </c>
      <c r="D1292" s="37" t="s">
        <v>60</v>
      </c>
      <c r="E1292" s="37" t="s">
        <v>103</v>
      </c>
      <c r="F1292" s="37" t="s">
        <v>205</v>
      </c>
      <c r="G1292" s="37" t="s">
        <v>358</v>
      </c>
      <c r="H1292" s="37" t="s">
        <v>727</v>
      </c>
      <c r="I1292" s="37" t="s">
        <v>728</v>
      </c>
      <c r="J1292" s="37" t="s">
        <v>1277</v>
      </c>
      <c r="K1292" s="45" t="n">
        <v>0</v>
      </c>
      <c r="L1292" s="46" t="n">
        <v>1407.19</v>
      </c>
    </row>
    <row r="1293" customFormat="false" ht="15" hidden="false" customHeight="false" outlineLevel="0" collapsed="false">
      <c r="A1293" s="37" t="n">
        <v>501544</v>
      </c>
      <c r="B1293" s="37" t="s">
        <v>1276</v>
      </c>
      <c r="C1293" s="37" t="n">
        <v>202603</v>
      </c>
      <c r="D1293" s="37" t="s">
        <v>62</v>
      </c>
      <c r="E1293" s="37" t="s">
        <v>103</v>
      </c>
      <c r="F1293" s="37" t="s">
        <v>205</v>
      </c>
      <c r="G1293" s="37" t="s">
        <v>358</v>
      </c>
      <c r="H1293" s="37" t="s">
        <v>897</v>
      </c>
      <c r="I1293" s="37" t="s">
        <v>898</v>
      </c>
      <c r="J1293" s="37" t="s">
        <v>1278</v>
      </c>
      <c r="K1293" s="45" t="n">
        <v>0</v>
      </c>
      <c r="L1293" s="46" t="n">
        <v>102227</v>
      </c>
    </row>
    <row r="1294" customFormat="false" ht="15" hidden="false" customHeight="false" outlineLevel="0" collapsed="false">
      <c r="A1294" s="37" t="n">
        <v>501920</v>
      </c>
      <c r="B1294" s="37" t="s">
        <v>1276</v>
      </c>
      <c r="C1294" s="37" t="n">
        <v>202603</v>
      </c>
      <c r="D1294" s="37" t="s">
        <v>64</v>
      </c>
      <c r="E1294" s="37" t="s">
        <v>98</v>
      </c>
      <c r="F1294" s="37" t="s">
        <v>196</v>
      </c>
      <c r="G1294" s="37" t="s">
        <v>358</v>
      </c>
      <c r="H1294" s="37" t="s">
        <v>359</v>
      </c>
      <c r="I1294" s="37" t="s">
        <v>360</v>
      </c>
      <c r="J1294" s="37" t="s">
        <v>1279</v>
      </c>
      <c r="K1294" s="45" t="n">
        <v>0</v>
      </c>
      <c r="L1294" s="46" t="n">
        <v>6113.77</v>
      </c>
    </row>
    <row r="1295" customFormat="false" ht="15" hidden="false" customHeight="false" outlineLevel="0" collapsed="false">
      <c r="A1295" s="37" t="n">
        <v>500092</v>
      </c>
      <c r="B1295" s="37" t="s">
        <v>1280</v>
      </c>
      <c r="C1295" s="37" t="n">
        <v>202603</v>
      </c>
      <c r="D1295" s="37" t="s">
        <v>58</v>
      </c>
      <c r="E1295" s="37" t="s">
        <v>97</v>
      </c>
      <c r="F1295" s="37" t="s">
        <v>194</v>
      </c>
      <c r="G1295" s="37" t="s">
        <v>354</v>
      </c>
      <c r="H1295" s="37"/>
      <c r="I1295" s="37" t="s">
        <v>355</v>
      </c>
      <c r="J1295" s="37" t="s">
        <v>1281</v>
      </c>
      <c r="K1295" s="45" t="n">
        <v>50</v>
      </c>
      <c r="L1295" s="46" t="n">
        <v>4599.89</v>
      </c>
    </row>
    <row r="1296" customFormat="false" ht="15" hidden="false" customHeight="false" outlineLevel="0" collapsed="false">
      <c r="A1296" s="37" t="n">
        <v>500366</v>
      </c>
      <c r="B1296" s="37" t="s">
        <v>1280</v>
      </c>
      <c r="C1296" s="37" t="n">
        <v>202603</v>
      </c>
      <c r="D1296" s="37" t="s">
        <v>58</v>
      </c>
      <c r="E1296" s="37" t="s">
        <v>106</v>
      </c>
      <c r="F1296" s="37" t="s">
        <v>194</v>
      </c>
      <c r="G1296" s="37" t="s">
        <v>354</v>
      </c>
      <c r="H1296" s="37"/>
      <c r="I1296" s="37" t="s">
        <v>355</v>
      </c>
      <c r="J1296" s="37" t="s">
        <v>1281</v>
      </c>
      <c r="K1296" s="45" t="n">
        <v>34.7</v>
      </c>
      <c r="L1296" s="46" t="n">
        <v>2466.7</v>
      </c>
    </row>
    <row r="1297" customFormat="false" ht="15" hidden="false" customHeight="false" outlineLevel="0" collapsed="false">
      <c r="A1297" s="37" t="n">
        <v>500500</v>
      </c>
      <c r="B1297" s="37" t="s">
        <v>1280</v>
      </c>
      <c r="C1297" s="37" t="n">
        <v>202603</v>
      </c>
      <c r="D1297" s="37" t="s">
        <v>59</v>
      </c>
      <c r="E1297" s="37" t="s">
        <v>97</v>
      </c>
      <c r="F1297" s="37" t="s">
        <v>194</v>
      </c>
      <c r="G1297" s="37" t="s">
        <v>354</v>
      </c>
      <c r="H1297" s="37"/>
      <c r="I1297" s="37" t="s">
        <v>355</v>
      </c>
      <c r="J1297" s="37" t="s">
        <v>1281</v>
      </c>
      <c r="K1297" s="45" t="n">
        <v>222.3</v>
      </c>
      <c r="L1297" s="46" t="n">
        <v>20452.2</v>
      </c>
    </row>
    <row r="1298" customFormat="false" ht="15" hidden="false" customHeight="false" outlineLevel="0" collapsed="false">
      <c r="A1298" s="37" t="n">
        <v>500702</v>
      </c>
      <c r="B1298" s="37" t="s">
        <v>1280</v>
      </c>
      <c r="C1298" s="37" t="n">
        <v>202603</v>
      </c>
      <c r="D1298" s="37" t="s">
        <v>59</v>
      </c>
      <c r="E1298" s="37" t="s">
        <v>106</v>
      </c>
      <c r="F1298" s="37" t="s">
        <v>194</v>
      </c>
      <c r="G1298" s="37" t="s">
        <v>354</v>
      </c>
      <c r="H1298" s="37"/>
      <c r="I1298" s="37" t="s">
        <v>355</v>
      </c>
      <c r="J1298" s="37" t="s">
        <v>1281</v>
      </c>
      <c r="K1298" s="45" t="n">
        <v>178.3</v>
      </c>
      <c r="L1298" s="46" t="n">
        <v>12656.54</v>
      </c>
    </row>
    <row r="1299" customFormat="false" ht="15" hidden="false" customHeight="false" outlineLevel="0" collapsed="false">
      <c r="A1299" s="37" t="n">
        <v>500829</v>
      </c>
      <c r="B1299" s="37" t="s">
        <v>1280</v>
      </c>
      <c r="C1299" s="37" t="n">
        <v>202603</v>
      </c>
      <c r="D1299" s="37" t="s">
        <v>60</v>
      </c>
      <c r="E1299" s="37" t="s">
        <v>97</v>
      </c>
      <c r="F1299" s="37" t="s">
        <v>194</v>
      </c>
      <c r="G1299" s="37" t="s">
        <v>354</v>
      </c>
      <c r="H1299" s="37"/>
      <c r="I1299" s="37" t="s">
        <v>355</v>
      </c>
      <c r="J1299" s="37" t="s">
        <v>1281</v>
      </c>
      <c r="K1299" s="45" t="n">
        <v>643.7</v>
      </c>
      <c r="L1299" s="46" t="n">
        <v>59218.17</v>
      </c>
    </row>
    <row r="1300" customFormat="false" ht="15" hidden="false" customHeight="false" outlineLevel="0" collapsed="false">
      <c r="A1300" s="37" t="n">
        <v>501022</v>
      </c>
      <c r="B1300" s="37" t="s">
        <v>1280</v>
      </c>
      <c r="C1300" s="37" t="n">
        <v>202603</v>
      </c>
      <c r="D1300" s="37" t="s">
        <v>60</v>
      </c>
      <c r="E1300" s="37" t="s">
        <v>106</v>
      </c>
      <c r="F1300" s="37" t="s">
        <v>194</v>
      </c>
      <c r="G1300" s="37" t="s">
        <v>354</v>
      </c>
      <c r="H1300" s="37"/>
      <c r="I1300" s="37" t="s">
        <v>355</v>
      </c>
      <c r="J1300" s="37" t="s">
        <v>1281</v>
      </c>
      <c r="K1300" s="45" t="n">
        <v>181.3</v>
      </c>
      <c r="L1300" s="46" t="n">
        <v>12870.29</v>
      </c>
    </row>
    <row r="1301" customFormat="false" ht="15" hidden="false" customHeight="false" outlineLevel="0" collapsed="false">
      <c r="A1301" s="37" t="n">
        <v>501136</v>
      </c>
      <c r="B1301" s="37" t="s">
        <v>1280</v>
      </c>
      <c r="C1301" s="37" t="n">
        <v>202603</v>
      </c>
      <c r="D1301" s="37" t="s">
        <v>61</v>
      </c>
      <c r="E1301" s="37" t="s">
        <v>97</v>
      </c>
      <c r="F1301" s="37" t="s">
        <v>194</v>
      </c>
      <c r="G1301" s="37" t="s">
        <v>354</v>
      </c>
      <c r="H1301" s="37"/>
      <c r="I1301" s="37" t="s">
        <v>355</v>
      </c>
      <c r="J1301" s="37" t="s">
        <v>1281</v>
      </c>
      <c r="K1301" s="45" t="n">
        <v>202.9</v>
      </c>
      <c r="L1301" s="46" t="n">
        <v>18669.14</v>
      </c>
    </row>
    <row r="1302" customFormat="false" ht="15" hidden="false" customHeight="false" outlineLevel="0" collapsed="false">
      <c r="A1302" s="37" t="n">
        <v>501296</v>
      </c>
      <c r="B1302" s="37" t="s">
        <v>1280</v>
      </c>
      <c r="C1302" s="37" t="n">
        <v>202603</v>
      </c>
      <c r="D1302" s="37" t="s">
        <v>61</v>
      </c>
      <c r="E1302" s="37" t="s">
        <v>106</v>
      </c>
      <c r="F1302" s="37" t="s">
        <v>194</v>
      </c>
      <c r="G1302" s="37" t="s">
        <v>354</v>
      </c>
      <c r="H1302" s="37"/>
      <c r="I1302" s="37" t="s">
        <v>355</v>
      </c>
      <c r="J1302" s="37" t="s">
        <v>1281</v>
      </c>
      <c r="K1302" s="45" t="n">
        <v>258.3</v>
      </c>
      <c r="L1302" s="46" t="n">
        <v>18337.04</v>
      </c>
    </row>
    <row r="1303" customFormat="false" ht="15" hidden="false" customHeight="false" outlineLevel="0" collapsed="false">
      <c r="A1303" s="37" t="n">
        <v>501397</v>
      </c>
      <c r="B1303" s="37" t="s">
        <v>1280</v>
      </c>
      <c r="C1303" s="37" t="n">
        <v>202603</v>
      </c>
      <c r="D1303" s="37" t="s">
        <v>62</v>
      </c>
      <c r="E1303" s="37" t="s">
        <v>97</v>
      </c>
      <c r="F1303" s="37" t="s">
        <v>194</v>
      </c>
      <c r="G1303" s="37" t="s">
        <v>354</v>
      </c>
      <c r="H1303" s="37"/>
      <c r="I1303" s="37" t="s">
        <v>355</v>
      </c>
      <c r="J1303" s="37" t="s">
        <v>1281</v>
      </c>
      <c r="K1303" s="45" t="n">
        <v>309.6</v>
      </c>
      <c r="L1303" s="46" t="n">
        <v>28483.63</v>
      </c>
    </row>
    <row r="1304" customFormat="false" ht="15" hidden="false" customHeight="false" outlineLevel="0" collapsed="false">
      <c r="A1304" s="37" t="n">
        <v>501501</v>
      </c>
      <c r="B1304" s="37" t="s">
        <v>1280</v>
      </c>
      <c r="C1304" s="37" t="n">
        <v>202603</v>
      </c>
      <c r="D1304" s="37" t="s">
        <v>62</v>
      </c>
      <c r="E1304" s="37" t="s">
        <v>101</v>
      </c>
      <c r="F1304" s="37" t="s">
        <v>194</v>
      </c>
      <c r="G1304" s="37" t="s">
        <v>354</v>
      </c>
      <c r="H1304" s="37"/>
      <c r="I1304" s="37" t="s">
        <v>355</v>
      </c>
      <c r="J1304" s="37" t="s">
        <v>1281</v>
      </c>
      <c r="K1304" s="45" t="n">
        <v>257</v>
      </c>
      <c r="L1304" s="46" t="n">
        <v>19015.97</v>
      </c>
    </row>
    <row r="1305" customFormat="false" ht="15" hidden="false" customHeight="false" outlineLevel="0" collapsed="false">
      <c r="A1305" s="37" t="n">
        <v>501643</v>
      </c>
      <c r="B1305" s="37" t="s">
        <v>1280</v>
      </c>
      <c r="C1305" s="37" t="n">
        <v>202603</v>
      </c>
      <c r="D1305" s="37" t="s">
        <v>63</v>
      </c>
      <c r="E1305" s="37" t="s">
        <v>97</v>
      </c>
      <c r="F1305" s="37" t="s">
        <v>194</v>
      </c>
      <c r="G1305" s="37" t="s">
        <v>354</v>
      </c>
      <c r="H1305" s="37"/>
      <c r="I1305" s="37" t="s">
        <v>355</v>
      </c>
      <c r="J1305" s="37" t="s">
        <v>1281</v>
      </c>
      <c r="K1305" s="45" t="n">
        <v>115.9</v>
      </c>
      <c r="L1305" s="46" t="n">
        <v>10665.4</v>
      </c>
    </row>
    <row r="1306" customFormat="false" ht="15" hidden="false" customHeight="false" outlineLevel="0" collapsed="false">
      <c r="A1306" s="37" t="n">
        <v>501747</v>
      </c>
      <c r="B1306" s="37" t="s">
        <v>1280</v>
      </c>
      <c r="C1306" s="37" t="n">
        <v>202603</v>
      </c>
      <c r="D1306" s="37" t="s">
        <v>63</v>
      </c>
      <c r="E1306" s="37" t="s">
        <v>101</v>
      </c>
      <c r="F1306" s="37" t="s">
        <v>194</v>
      </c>
      <c r="G1306" s="37" t="s">
        <v>354</v>
      </c>
      <c r="H1306" s="37"/>
      <c r="I1306" s="37" t="s">
        <v>355</v>
      </c>
      <c r="J1306" s="37" t="s">
        <v>1281</v>
      </c>
      <c r="K1306" s="45" t="n">
        <v>112.4</v>
      </c>
      <c r="L1306" s="46" t="n">
        <v>8314.94</v>
      </c>
    </row>
    <row r="1307" customFormat="false" ht="15" hidden="false" customHeight="false" outlineLevel="0" collapsed="false">
      <c r="A1307" s="37" t="n">
        <v>501793</v>
      </c>
      <c r="B1307" s="37" t="s">
        <v>1280</v>
      </c>
      <c r="C1307" s="37" t="n">
        <v>202603</v>
      </c>
      <c r="D1307" s="37" t="s">
        <v>63</v>
      </c>
      <c r="E1307" s="37" t="s">
        <v>106</v>
      </c>
      <c r="F1307" s="37" t="s">
        <v>194</v>
      </c>
      <c r="G1307" s="37" t="s">
        <v>354</v>
      </c>
      <c r="H1307" s="37"/>
      <c r="I1307" s="37" t="s">
        <v>355</v>
      </c>
      <c r="J1307" s="37" t="s">
        <v>1281</v>
      </c>
      <c r="K1307" s="45" t="n">
        <v>34</v>
      </c>
      <c r="L1307" s="46" t="n">
        <v>2416.89</v>
      </c>
    </row>
    <row r="1308" customFormat="false" ht="15" hidden="false" customHeight="false" outlineLevel="0" collapsed="false">
      <c r="A1308" s="37" t="n">
        <v>501877</v>
      </c>
      <c r="B1308" s="37" t="s">
        <v>1280</v>
      </c>
      <c r="C1308" s="37" t="n">
        <v>202603</v>
      </c>
      <c r="D1308" s="37" t="s">
        <v>64</v>
      </c>
      <c r="E1308" s="37" t="s">
        <v>97</v>
      </c>
      <c r="F1308" s="37" t="s">
        <v>194</v>
      </c>
      <c r="G1308" s="37" t="s">
        <v>354</v>
      </c>
      <c r="H1308" s="37"/>
      <c r="I1308" s="37" t="s">
        <v>355</v>
      </c>
      <c r="J1308" s="37" t="s">
        <v>1281</v>
      </c>
      <c r="K1308" s="45" t="n">
        <v>180.9</v>
      </c>
      <c r="L1308" s="46" t="n">
        <v>16644.15</v>
      </c>
    </row>
    <row r="1309" customFormat="false" ht="15" hidden="false" customHeight="false" outlineLevel="0" collapsed="false">
      <c r="A1309" s="37" t="n">
        <v>501967</v>
      </c>
      <c r="B1309" s="37" t="s">
        <v>1280</v>
      </c>
      <c r="C1309" s="37" t="n">
        <v>202603</v>
      </c>
      <c r="D1309" s="37" t="s">
        <v>64</v>
      </c>
      <c r="E1309" s="37" t="s">
        <v>101</v>
      </c>
      <c r="F1309" s="37" t="s">
        <v>194</v>
      </c>
      <c r="G1309" s="37" t="s">
        <v>354</v>
      </c>
      <c r="H1309" s="37"/>
      <c r="I1309" s="37" t="s">
        <v>355</v>
      </c>
      <c r="J1309" s="37" t="s">
        <v>1281</v>
      </c>
      <c r="K1309" s="45" t="n">
        <v>1130.7</v>
      </c>
      <c r="L1309" s="46" t="n">
        <v>83668.55</v>
      </c>
    </row>
    <row r="1310" customFormat="false" ht="15" hidden="false" customHeight="false" outlineLevel="0" collapsed="false">
      <c r="A1310" s="37" t="n">
        <v>502093</v>
      </c>
      <c r="B1310" s="37" t="s">
        <v>1280</v>
      </c>
      <c r="C1310" s="37" t="n">
        <v>202603</v>
      </c>
      <c r="D1310" s="37" t="s">
        <v>65</v>
      </c>
      <c r="E1310" s="37" t="s">
        <v>97</v>
      </c>
      <c r="F1310" s="37" t="s">
        <v>194</v>
      </c>
      <c r="G1310" s="37" t="s">
        <v>354</v>
      </c>
      <c r="H1310" s="37"/>
      <c r="I1310" s="37" t="s">
        <v>355</v>
      </c>
      <c r="J1310" s="37" t="s">
        <v>1281</v>
      </c>
      <c r="K1310" s="45" t="n">
        <v>359.6</v>
      </c>
      <c r="L1310" s="46" t="n">
        <v>33078.75</v>
      </c>
    </row>
    <row r="1311" customFormat="false" ht="15" hidden="false" customHeight="false" outlineLevel="0" collapsed="false">
      <c r="A1311" s="37" t="n">
        <v>502172</v>
      </c>
      <c r="B1311" s="37" t="s">
        <v>1280</v>
      </c>
      <c r="C1311" s="37" t="n">
        <v>202603</v>
      </c>
      <c r="D1311" s="37" t="s">
        <v>65</v>
      </c>
      <c r="E1311" s="37" t="s">
        <v>101</v>
      </c>
      <c r="F1311" s="37" t="s">
        <v>194</v>
      </c>
      <c r="G1311" s="37" t="s">
        <v>354</v>
      </c>
      <c r="H1311" s="37"/>
      <c r="I1311" s="37" t="s">
        <v>355</v>
      </c>
      <c r="J1311" s="37" t="s">
        <v>1281</v>
      </c>
      <c r="K1311" s="45" t="n">
        <v>338.9</v>
      </c>
      <c r="L1311" s="46" t="n">
        <v>25076.47</v>
      </c>
    </row>
    <row r="1312" customFormat="false" ht="15" hidden="false" customHeight="false" outlineLevel="0" collapsed="false">
      <c r="A1312" s="37" t="n">
        <v>502276</v>
      </c>
      <c r="B1312" s="37" t="s">
        <v>1280</v>
      </c>
      <c r="C1312" s="37" t="n">
        <v>202603</v>
      </c>
      <c r="D1312" s="37" t="s">
        <v>66</v>
      </c>
      <c r="E1312" s="37" t="s">
        <v>97</v>
      </c>
      <c r="F1312" s="37" t="s">
        <v>194</v>
      </c>
      <c r="G1312" s="37" t="s">
        <v>354</v>
      </c>
      <c r="H1312" s="37"/>
      <c r="I1312" s="37" t="s">
        <v>355</v>
      </c>
      <c r="J1312" s="37" t="s">
        <v>1281</v>
      </c>
      <c r="K1312" s="45" t="n">
        <v>27.1</v>
      </c>
      <c r="L1312" s="46" t="n">
        <v>2492.31</v>
      </c>
    </row>
    <row r="1313" customFormat="false" ht="15" hidden="false" customHeight="false" outlineLevel="0" collapsed="false">
      <c r="A1313" s="37" t="n">
        <v>502341</v>
      </c>
      <c r="B1313" s="37" t="s">
        <v>1280</v>
      </c>
      <c r="C1313" s="37" t="n">
        <v>202603</v>
      </c>
      <c r="D1313" s="37" t="s">
        <v>66</v>
      </c>
      <c r="E1313" s="37" t="s">
        <v>101</v>
      </c>
      <c r="F1313" s="37" t="s">
        <v>194</v>
      </c>
      <c r="G1313" s="37" t="s">
        <v>354</v>
      </c>
      <c r="H1313" s="37"/>
      <c r="I1313" s="37" t="s">
        <v>355</v>
      </c>
      <c r="J1313" s="37" t="s">
        <v>1281</v>
      </c>
      <c r="K1313" s="45" t="n">
        <v>163.8</v>
      </c>
      <c r="L1313" s="46" t="n">
        <v>12121.74</v>
      </c>
    </row>
    <row r="1314" customFormat="false" ht="15" hidden="false" customHeight="false" outlineLevel="0" collapsed="false">
      <c r="A1314" s="37" t="n">
        <v>502419</v>
      </c>
      <c r="B1314" s="37" t="s">
        <v>1280</v>
      </c>
      <c r="C1314" s="37" t="n">
        <v>202603</v>
      </c>
      <c r="D1314" s="37" t="s">
        <v>67</v>
      </c>
      <c r="E1314" s="37" t="s">
        <v>97</v>
      </c>
      <c r="F1314" s="37" t="s">
        <v>194</v>
      </c>
      <c r="G1314" s="37" t="s">
        <v>354</v>
      </c>
      <c r="H1314" s="37"/>
      <c r="I1314" s="37" t="s">
        <v>355</v>
      </c>
      <c r="J1314" s="37" t="s">
        <v>1281</v>
      </c>
      <c r="K1314" s="45" t="n">
        <v>56.3</v>
      </c>
      <c r="L1314" s="46" t="n">
        <v>5177.08</v>
      </c>
    </row>
    <row r="1315" customFormat="false" ht="15" hidden="false" customHeight="false" outlineLevel="0" collapsed="false">
      <c r="A1315" s="37" t="n">
        <v>500996</v>
      </c>
      <c r="B1315" s="37" t="s">
        <v>1282</v>
      </c>
      <c r="C1315" s="37" t="n">
        <v>202603</v>
      </c>
      <c r="D1315" s="37" t="s">
        <v>60</v>
      </c>
      <c r="E1315" s="37" t="s">
        <v>103</v>
      </c>
      <c r="F1315" s="37" t="s">
        <v>205</v>
      </c>
      <c r="G1315" s="37" t="s">
        <v>358</v>
      </c>
      <c r="H1315" s="37" t="s">
        <v>727</v>
      </c>
      <c r="I1315" s="37" t="s">
        <v>728</v>
      </c>
      <c r="J1315" s="37" t="s">
        <v>1283</v>
      </c>
      <c r="K1315" s="45" t="n">
        <v>0</v>
      </c>
      <c r="L1315" s="46" t="n">
        <v>2425.29</v>
      </c>
    </row>
    <row r="1316" customFormat="false" ht="15" hidden="false" customHeight="false" outlineLevel="0" collapsed="false">
      <c r="A1316" s="37" t="n">
        <v>501918</v>
      </c>
      <c r="B1316" s="37" t="s">
        <v>1282</v>
      </c>
      <c r="C1316" s="37" t="n">
        <v>202603</v>
      </c>
      <c r="D1316" s="37" t="s">
        <v>64</v>
      </c>
      <c r="E1316" s="37" t="s">
        <v>98</v>
      </c>
      <c r="F1316" s="37" t="s">
        <v>196</v>
      </c>
      <c r="G1316" s="37" t="s">
        <v>358</v>
      </c>
      <c r="H1316" s="37" t="s">
        <v>359</v>
      </c>
      <c r="I1316" s="37" t="s">
        <v>360</v>
      </c>
      <c r="J1316" s="37" t="s">
        <v>1284</v>
      </c>
      <c r="K1316" s="45" t="n">
        <v>0</v>
      </c>
      <c r="L1316" s="46" t="n">
        <v>10140.58</v>
      </c>
    </row>
    <row r="1317" customFormat="false" ht="15" hidden="false" customHeight="false" outlineLevel="0" collapsed="false">
      <c r="A1317" s="37" t="n">
        <v>502009</v>
      </c>
      <c r="B1317" s="37" t="s">
        <v>1282</v>
      </c>
      <c r="C1317" s="37" t="n">
        <v>202603</v>
      </c>
      <c r="D1317" s="37" t="s">
        <v>64</v>
      </c>
      <c r="E1317" s="37" t="s">
        <v>103</v>
      </c>
      <c r="F1317" s="37" t="s">
        <v>205</v>
      </c>
      <c r="G1317" s="37" t="s">
        <v>358</v>
      </c>
      <c r="H1317" s="37" t="s">
        <v>969</v>
      </c>
      <c r="I1317" s="37" t="s">
        <v>898</v>
      </c>
      <c r="J1317" s="37" t="s">
        <v>1285</v>
      </c>
      <c r="K1317" s="45" t="n">
        <v>0</v>
      </c>
      <c r="L1317" s="46" t="n">
        <v>202155.85</v>
      </c>
    </row>
    <row r="1318" customFormat="false" ht="15" hidden="false" customHeight="false" outlineLevel="0" collapsed="false">
      <c r="A1318" s="37" t="n">
        <v>502129</v>
      </c>
      <c r="B1318" s="37" t="s">
        <v>1286</v>
      </c>
      <c r="C1318" s="37" t="n">
        <v>202603</v>
      </c>
      <c r="D1318" s="37" t="s">
        <v>65</v>
      </c>
      <c r="E1318" s="37" t="s">
        <v>98</v>
      </c>
      <c r="F1318" s="37" t="s">
        <v>196</v>
      </c>
      <c r="G1318" s="37" t="s">
        <v>358</v>
      </c>
      <c r="H1318" s="37" t="s">
        <v>359</v>
      </c>
      <c r="I1318" s="37" t="s">
        <v>360</v>
      </c>
      <c r="J1318" s="37" t="s">
        <v>1287</v>
      </c>
      <c r="K1318" s="45" t="n">
        <v>0</v>
      </c>
      <c r="L1318" s="46" t="n">
        <v>8566.19</v>
      </c>
    </row>
    <row r="1319" customFormat="false" ht="15" hidden="false" customHeight="false" outlineLevel="0" collapsed="false">
      <c r="A1319" s="37" t="n">
        <v>500556</v>
      </c>
      <c r="B1319" s="37" t="s">
        <v>1288</v>
      </c>
      <c r="C1319" s="37" t="n">
        <v>202603</v>
      </c>
      <c r="D1319" s="37" t="s">
        <v>59</v>
      </c>
      <c r="E1319" s="37" t="s">
        <v>98</v>
      </c>
      <c r="F1319" s="37" t="s">
        <v>196</v>
      </c>
      <c r="G1319" s="37" t="s">
        <v>358</v>
      </c>
      <c r="H1319" s="37" t="s">
        <v>359</v>
      </c>
      <c r="I1319" s="37" t="s">
        <v>360</v>
      </c>
      <c r="J1319" s="37" t="s">
        <v>1289</v>
      </c>
      <c r="K1319" s="45" t="n">
        <v>0</v>
      </c>
      <c r="L1319" s="46" t="n">
        <v>9797.92</v>
      </c>
    </row>
    <row r="1320" customFormat="false" ht="15" hidden="false" customHeight="false" outlineLevel="0" collapsed="false">
      <c r="A1320" s="37" t="n">
        <v>501690</v>
      </c>
      <c r="B1320" s="37" t="s">
        <v>1290</v>
      </c>
      <c r="C1320" s="37" t="n">
        <v>202603</v>
      </c>
      <c r="D1320" s="37" t="s">
        <v>63</v>
      </c>
      <c r="E1320" s="37" t="s">
        <v>98</v>
      </c>
      <c r="F1320" s="37" t="s">
        <v>196</v>
      </c>
      <c r="G1320" s="37" t="s">
        <v>358</v>
      </c>
      <c r="H1320" s="37" t="s">
        <v>359</v>
      </c>
      <c r="I1320" s="37" t="s">
        <v>360</v>
      </c>
      <c r="J1320" s="37" t="s">
        <v>1291</v>
      </c>
      <c r="K1320" s="45" t="n">
        <v>0</v>
      </c>
      <c r="L1320" s="46" t="n">
        <v>8743.49</v>
      </c>
    </row>
    <row r="1321" customFormat="false" ht="15" hidden="false" customHeight="false" outlineLevel="0" collapsed="false">
      <c r="A1321" s="37" t="n">
        <v>501776</v>
      </c>
      <c r="B1321" s="37" t="s">
        <v>1290</v>
      </c>
      <c r="C1321" s="37" t="n">
        <v>202603</v>
      </c>
      <c r="D1321" s="37" t="s">
        <v>63</v>
      </c>
      <c r="E1321" s="37" t="s">
        <v>103</v>
      </c>
      <c r="F1321" s="37" t="s">
        <v>205</v>
      </c>
      <c r="G1321" s="37" t="s">
        <v>358</v>
      </c>
      <c r="H1321" s="37" t="s">
        <v>921</v>
      </c>
      <c r="I1321" s="37" t="s">
        <v>728</v>
      </c>
      <c r="J1321" s="37" t="s">
        <v>1292</v>
      </c>
      <c r="K1321" s="45" t="n">
        <v>0</v>
      </c>
      <c r="L1321" s="46" t="n">
        <v>51417.3</v>
      </c>
    </row>
    <row r="1322" customFormat="false" ht="15" hidden="false" customHeight="false" outlineLevel="0" collapsed="false">
      <c r="A1322" s="37" t="n">
        <v>502130</v>
      </c>
      <c r="B1322" s="37" t="s">
        <v>1290</v>
      </c>
      <c r="C1322" s="37" t="n">
        <v>202603</v>
      </c>
      <c r="D1322" s="37" t="s">
        <v>65</v>
      </c>
      <c r="E1322" s="37" t="s">
        <v>98</v>
      </c>
      <c r="F1322" s="37" t="s">
        <v>196</v>
      </c>
      <c r="G1322" s="37" t="s">
        <v>358</v>
      </c>
      <c r="H1322" s="37" t="s">
        <v>359</v>
      </c>
      <c r="I1322" s="37" t="s">
        <v>360</v>
      </c>
      <c r="J1322" s="37" t="s">
        <v>1293</v>
      </c>
      <c r="K1322" s="45" t="n">
        <v>0</v>
      </c>
      <c r="L1322" s="46" t="n">
        <v>25231.34</v>
      </c>
    </row>
    <row r="1323" customFormat="false" ht="15" hidden="false" customHeight="false" outlineLevel="0" collapsed="false">
      <c r="A1323" s="37" t="n">
        <v>500995</v>
      </c>
      <c r="B1323" s="37" t="s">
        <v>1294</v>
      </c>
      <c r="C1323" s="37" t="n">
        <v>202603</v>
      </c>
      <c r="D1323" s="37" t="s">
        <v>60</v>
      </c>
      <c r="E1323" s="37" t="s">
        <v>103</v>
      </c>
      <c r="F1323" s="37" t="s">
        <v>205</v>
      </c>
      <c r="G1323" s="37" t="s">
        <v>358</v>
      </c>
      <c r="H1323" s="37" t="s">
        <v>727</v>
      </c>
      <c r="I1323" s="37" t="s">
        <v>728</v>
      </c>
      <c r="J1323" s="37" t="s">
        <v>1295</v>
      </c>
      <c r="K1323" s="45" t="n">
        <v>0</v>
      </c>
      <c r="L1323" s="46" t="n">
        <v>1158.8</v>
      </c>
    </row>
    <row r="1324" customFormat="false" ht="15" hidden="false" customHeight="false" outlineLevel="0" collapsed="false">
      <c r="A1324" s="37" t="n">
        <v>502389</v>
      </c>
      <c r="B1324" s="37" t="s">
        <v>1294</v>
      </c>
      <c r="C1324" s="37" t="n">
        <v>202603</v>
      </c>
      <c r="D1324" s="37" t="s">
        <v>66</v>
      </c>
      <c r="E1324" s="37" t="s">
        <v>103</v>
      </c>
      <c r="F1324" s="37" t="s">
        <v>205</v>
      </c>
      <c r="G1324" s="37" t="s">
        <v>358</v>
      </c>
      <c r="H1324" s="37" t="s">
        <v>1296</v>
      </c>
      <c r="I1324" s="37" t="s">
        <v>1297</v>
      </c>
      <c r="J1324" s="37" t="s">
        <v>1298</v>
      </c>
      <c r="K1324" s="45" t="n">
        <v>0</v>
      </c>
      <c r="L1324" s="46" t="n">
        <v>21811.07</v>
      </c>
    </row>
    <row r="1325" customFormat="false" ht="15" hidden="false" customHeight="false" outlineLevel="0" collapsed="false">
      <c r="A1325" s="37" t="n">
        <v>500093</v>
      </c>
      <c r="B1325" s="37" t="s">
        <v>1299</v>
      </c>
      <c r="C1325" s="37" t="n">
        <v>202603</v>
      </c>
      <c r="D1325" s="37" t="s">
        <v>58</v>
      </c>
      <c r="E1325" s="37" t="s">
        <v>97</v>
      </c>
      <c r="F1325" s="37" t="s">
        <v>194</v>
      </c>
      <c r="G1325" s="37" t="s">
        <v>354</v>
      </c>
      <c r="H1325" s="37"/>
      <c r="I1325" s="37" t="s">
        <v>355</v>
      </c>
      <c r="J1325" s="37" t="s">
        <v>1300</v>
      </c>
      <c r="K1325" s="45" t="n">
        <v>38.9</v>
      </c>
      <c r="L1325" s="46" t="n">
        <v>3578.75</v>
      </c>
    </row>
    <row r="1326" customFormat="false" ht="15" hidden="false" customHeight="false" outlineLevel="0" collapsed="false">
      <c r="A1326" s="37" t="n">
        <v>500367</v>
      </c>
      <c r="B1326" s="37" t="s">
        <v>1299</v>
      </c>
      <c r="C1326" s="37" t="n">
        <v>202603</v>
      </c>
      <c r="D1326" s="37" t="s">
        <v>58</v>
      </c>
      <c r="E1326" s="37" t="s">
        <v>106</v>
      </c>
      <c r="F1326" s="37" t="s">
        <v>194</v>
      </c>
      <c r="G1326" s="37" t="s">
        <v>354</v>
      </c>
      <c r="H1326" s="37"/>
      <c r="I1326" s="37" t="s">
        <v>355</v>
      </c>
      <c r="J1326" s="37" t="s">
        <v>1300</v>
      </c>
      <c r="K1326" s="45" t="n">
        <v>41.1</v>
      </c>
      <c r="L1326" s="46" t="n">
        <v>2920.7</v>
      </c>
    </row>
    <row r="1327" customFormat="false" ht="15" hidden="false" customHeight="false" outlineLevel="0" collapsed="false">
      <c r="A1327" s="37" t="n">
        <v>500501</v>
      </c>
      <c r="B1327" s="37" t="s">
        <v>1299</v>
      </c>
      <c r="C1327" s="37" t="n">
        <v>202603</v>
      </c>
      <c r="D1327" s="37" t="s">
        <v>59</v>
      </c>
      <c r="E1327" s="37" t="s">
        <v>97</v>
      </c>
      <c r="F1327" s="37" t="s">
        <v>194</v>
      </c>
      <c r="G1327" s="37" t="s">
        <v>354</v>
      </c>
      <c r="H1327" s="37"/>
      <c r="I1327" s="37" t="s">
        <v>355</v>
      </c>
      <c r="J1327" s="37" t="s">
        <v>1300</v>
      </c>
      <c r="K1327" s="45" t="n">
        <v>170.4</v>
      </c>
      <c r="L1327" s="46" t="n">
        <v>15680.3</v>
      </c>
    </row>
    <row r="1328" customFormat="false" ht="15" hidden="false" customHeight="false" outlineLevel="0" collapsed="false">
      <c r="A1328" s="37" t="n">
        <v>500703</v>
      </c>
      <c r="B1328" s="37" t="s">
        <v>1299</v>
      </c>
      <c r="C1328" s="37" t="n">
        <v>202603</v>
      </c>
      <c r="D1328" s="37" t="s">
        <v>59</v>
      </c>
      <c r="E1328" s="37" t="s">
        <v>106</v>
      </c>
      <c r="F1328" s="37" t="s">
        <v>194</v>
      </c>
      <c r="G1328" s="37" t="s">
        <v>354</v>
      </c>
      <c r="H1328" s="37"/>
      <c r="I1328" s="37" t="s">
        <v>355</v>
      </c>
      <c r="J1328" s="37" t="s">
        <v>1300</v>
      </c>
      <c r="K1328" s="45" t="n">
        <v>584.8</v>
      </c>
      <c r="L1328" s="46" t="n">
        <v>41520.12</v>
      </c>
    </row>
    <row r="1329" customFormat="false" ht="15" hidden="false" customHeight="false" outlineLevel="0" collapsed="false">
      <c r="A1329" s="37" t="n">
        <v>500830</v>
      </c>
      <c r="B1329" s="37" t="s">
        <v>1299</v>
      </c>
      <c r="C1329" s="37" t="n">
        <v>202603</v>
      </c>
      <c r="D1329" s="37" t="s">
        <v>60</v>
      </c>
      <c r="E1329" s="37" t="s">
        <v>97</v>
      </c>
      <c r="F1329" s="37" t="s">
        <v>194</v>
      </c>
      <c r="G1329" s="37" t="s">
        <v>354</v>
      </c>
      <c r="H1329" s="37"/>
      <c r="I1329" s="37" t="s">
        <v>355</v>
      </c>
      <c r="J1329" s="37" t="s">
        <v>1300</v>
      </c>
      <c r="K1329" s="45" t="n">
        <v>267.6</v>
      </c>
      <c r="L1329" s="46" t="n">
        <v>24617.95</v>
      </c>
    </row>
    <row r="1330" customFormat="false" ht="15" hidden="false" customHeight="false" outlineLevel="0" collapsed="false">
      <c r="A1330" s="37" t="n">
        <v>500881</v>
      </c>
      <c r="B1330" s="37" t="s">
        <v>1299</v>
      </c>
      <c r="C1330" s="37" t="n">
        <v>202603</v>
      </c>
      <c r="D1330" s="37" t="s">
        <v>60</v>
      </c>
      <c r="E1330" s="37" t="s">
        <v>98</v>
      </c>
      <c r="F1330" s="37" t="s">
        <v>196</v>
      </c>
      <c r="G1330" s="37" t="s">
        <v>358</v>
      </c>
      <c r="H1330" s="37" t="s">
        <v>359</v>
      </c>
      <c r="I1330" s="37" t="s">
        <v>360</v>
      </c>
      <c r="J1330" s="37" t="s">
        <v>1301</v>
      </c>
      <c r="K1330" s="45" t="n">
        <v>0</v>
      </c>
      <c r="L1330" s="46" t="n">
        <v>43670.75</v>
      </c>
    </row>
    <row r="1331" customFormat="false" ht="15" hidden="false" customHeight="false" outlineLevel="0" collapsed="false">
      <c r="A1331" s="37" t="n">
        <v>501023</v>
      </c>
      <c r="B1331" s="37" t="s">
        <v>1299</v>
      </c>
      <c r="C1331" s="37" t="n">
        <v>202603</v>
      </c>
      <c r="D1331" s="37" t="s">
        <v>60</v>
      </c>
      <c r="E1331" s="37" t="s">
        <v>106</v>
      </c>
      <c r="F1331" s="37" t="s">
        <v>194</v>
      </c>
      <c r="G1331" s="37" t="s">
        <v>354</v>
      </c>
      <c r="H1331" s="37"/>
      <c r="I1331" s="37" t="s">
        <v>355</v>
      </c>
      <c r="J1331" s="37" t="s">
        <v>1300</v>
      </c>
      <c r="K1331" s="45" t="n">
        <v>254.5</v>
      </c>
      <c r="L1331" s="46" t="n">
        <v>18067.31</v>
      </c>
    </row>
    <row r="1332" customFormat="false" ht="15" hidden="false" customHeight="false" outlineLevel="0" collapsed="false">
      <c r="A1332" s="37" t="n">
        <v>501137</v>
      </c>
      <c r="B1332" s="37" t="s">
        <v>1299</v>
      </c>
      <c r="C1332" s="37" t="n">
        <v>202603</v>
      </c>
      <c r="D1332" s="37" t="s">
        <v>61</v>
      </c>
      <c r="E1332" s="37" t="s">
        <v>97</v>
      </c>
      <c r="F1332" s="37" t="s">
        <v>194</v>
      </c>
      <c r="G1332" s="37" t="s">
        <v>354</v>
      </c>
      <c r="H1332" s="37"/>
      <c r="I1332" s="37" t="s">
        <v>355</v>
      </c>
      <c r="J1332" s="37" t="s">
        <v>1300</v>
      </c>
      <c r="K1332" s="45" t="n">
        <v>330.2</v>
      </c>
      <c r="L1332" s="46" t="n">
        <v>30382.21</v>
      </c>
    </row>
    <row r="1333" customFormat="false" ht="15" hidden="false" customHeight="false" outlineLevel="0" collapsed="false">
      <c r="A1333" s="37" t="n">
        <v>501297</v>
      </c>
      <c r="B1333" s="37" t="s">
        <v>1299</v>
      </c>
      <c r="C1333" s="37" t="n">
        <v>202603</v>
      </c>
      <c r="D1333" s="37" t="s">
        <v>61</v>
      </c>
      <c r="E1333" s="37" t="s">
        <v>106</v>
      </c>
      <c r="F1333" s="37" t="s">
        <v>194</v>
      </c>
      <c r="G1333" s="37" t="s">
        <v>354</v>
      </c>
      <c r="H1333" s="37"/>
      <c r="I1333" s="37" t="s">
        <v>355</v>
      </c>
      <c r="J1333" s="37" t="s">
        <v>1300</v>
      </c>
      <c r="K1333" s="45" t="n">
        <v>102.9</v>
      </c>
      <c r="L1333" s="46" t="n">
        <v>7308.42</v>
      </c>
    </row>
    <row r="1334" customFormat="false" ht="15" hidden="false" customHeight="false" outlineLevel="0" collapsed="false">
      <c r="A1334" s="37" t="n">
        <v>501398</v>
      </c>
      <c r="B1334" s="37" t="s">
        <v>1299</v>
      </c>
      <c r="C1334" s="37" t="n">
        <v>202603</v>
      </c>
      <c r="D1334" s="37" t="s">
        <v>62</v>
      </c>
      <c r="E1334" s="37" t="s">
        <v>97</v>
      </c>
      <c r="F1334" s="37" t="s">
        <v>194</v>
      </c>
      <c r="G1334" s="37" t="s">
        <v>354</v>
      </c>
      <c r="H1334" s="37"/>
      <c r="I1334" s="37" t="s">
        <v>355</v>
      </c>
      <c r="J1334" s="37" t="s">
        <v>1300</v>
      </c>
      <c r="K1334" s="45" t="n">
        <v>443</v>
      </c>
      <c r="L1334" s="46" t="n">
        <v>40756.3</v>
      </c>
    </row>
    <row r="1335" customFormat="false" ht="15" hidden="false" customHeight="false" outlineLevel="0" collapsed="false">
      <c r="A1335" s="37" t="n">
        <v>501502</v>
      </c>
      <c r="B1335" s="37" t="s">
        <v>1299</v>
      </c>
      <c r="C1335" s="37" t="n">
        <v>202603</v>
      </c>
      <c r="D1335" s="37" t="s">
        <v>62</v>
      </c>
      <c r="E1335" s="37" t="s">
        <v>101</v>
      </c>
      <c r="F1335" s="37" t="s">
        <v>194</v>
      </c>
      <c r="G1335" s="37" t="s">
        <v>354</v>
      </c>
      <c r="H1335" s="37"/>
      <c r="I1335" s="37" t="s">
        <v>355</v>
      </c>
      <c r="J1335" s="37" t="s">
        <v>1300</v>
      </c>
      <c r="K1335" s="45" t="n">
        <v>1145.5</v>
      </c>
      <c r="L1335" s="46" t="n">
        <v>84764.54</v>
      </c>
    </row>
    <row r="1336" customFormat="false" ht="15" hidden="false" customHeight="false" outlineLevel="0" collapsed="false">
      <c r="A1336" s="37" t="n">
        <v>501644</v>
      </c>
      <c r="B1336" s="37" t="s">
        <v>1299</v>
      </c>
      <c r="C1336" s="37" t="n">
        <v>202603</v>
      </c>
      <c r="D1336" s="37" t="s">
        <v>63</v>
      </c>
      <c r="E1336" s="37" t="s">
        <v>97</v>
      </c>
      <c r="F1336" s="37" t="s">
        <v>194</v>
      </c>
      <c r="G1336" s="37" t="s">
        <v>354</v>
      </c>
      <c r="H1336" s="37"/>
      <c r="I1336" s="37" t="s">
        <v>355</v>
      </c>
      <c r="J1336" s="37" t="s">
        <v>1300</v>
      </c>
      <c r="K1336" s="45" t="n">
        <v>310.4</v>
      </c>
      <c r="L1336" s="46" t="n">
        <v>28555.71</v>
      </c>
    </row>
    <row r="1337" customFormat="false" ht="15" hidden="false" customHeight="false" outlineLevel="0" collapsed="false">
      <c r="A1337" s="37" t="n">
        <v>501748</v>
      </c>
      <c r="B1337" s="37" t="s">
        <v>1299</v>
      </c>
      <c r="C1337" s="37" t="n">
        <v>202603</v>
      </c>
      <c r="D1337" s="37" t="s">
        <v>63</v>
      </c>
      <c r="E1337" s="37" t="s">
        <v>101</v>
      </c>
      <c r="F1337" s="37" t="s">
        <v>194</v>
      </c>
      <c r="G1337" s="37" t="s">
        <v>354</v>
      </c>
      <c r="H1337" s="37"/>
      <c r="I1337" s="37" t="s">
        <v>355</v>
      </c>
      <c r="J1337" s="37" t="s">
        <v>1300</v>
      </c>
      <c r="K1337" s="45" t="n">
        <v>150.4</v>
      </c>
      <c r="L1337" s="46" t="n">
        <v>11131.25</v>
      </c>
    </row>
    <row r="1338" customFormat="false" ht="15" hidden="false" customHeight="false" outlineLevel="0" collapsed="false">
      <c r="A1338" s="37" t="n">
        <v>501794</v>
      </c>
      <c r="B1338" s="37" t="s">
        <v>1299</v>
      </c>
      <c r="C1338" s="37" t="n">
        <v>202603</v>
      </c>
      <c r="D1338" s="37" t="s">
        <v>63</v>
      </c>
      <c r="E1338" s="37" t="s">
        <v>106</v>
      </c>
      <c r="F1338" s="37" t="s">
        <v>194</v>
      </c>
      <c r="G1338" s="37" t="s">
        <v>354</v>
      </c>
      <c r="H1338" s="37"/>
      <c r="I1338" s="37" t="s">
        <v>355</v>
      </c>
      <c r="J1338" s="37" t="s">
        <v>1300</v>
      </c>
      <c r="K1338" s="45" t="n">
        <v>59.4</v>
      </c>
      <c r="L1338" s="46" t="n">
        <v>4217.41</v>
      </c>
    </row>
    <row r="1339" customFormat="false" ht="15" hidden="false" customHeight="false" outlineLevel="0" collapsed="false">
      <c r="A1339" s="37" t="n">
        <v>501878</v>
      </c>
      <c r="B1339" s="37" t="s">
        <v>1299</v>
      </c>
      <c r="C1339" s="37" t="n">
        <v>202603</v>
      </c>
      <c r="D1339" s="37" t="s">
        <v>64</v>
      </c>
      <c r="E1339" s="37" t="s">
        <v>97</v>
      </c>
      <c r="F1339" s="37" t="s">
        <v>194</v>
      </c>
      <c r="G1339" s="37" t="s">
        <v>354</v>
      </c>
      <c r="H1339" s="37"/>
      <c r="I1339" s="37" t="s">
        <v>355</v>
      </c>
      <c r="J1339" s="37" t="s">
        <v>1300</v>
      </c>
      <c r="K1339" s="45" t="n">
        <v>196.1</v>
      </c>
      <c r="L1339" s="46" t="n">
        <v>18043.99</v>
      </c>
    </row>
    <row r="1340" customFormat="false" ht="15" hidden="false" customHeight="false" outlineLevel="0" collapsed="false">
      <c r="A1340" s="37" t="n">
        <v>501968</v>
      </c>
      <c r="B1340" s="37" t="s">
        <v>1299</v>
      </c>
      <c r="C1340" s="37" t="n">
        <v>202603</v>
      </c>
      <c r="D1340" s="37" t="s">
        <v>64</v>
      </c>
      <c r="E1340" s="37" t="s">
        <v>101</v>
      </c>
      <c r="F1340" s="37" t="s">
        <v>194</v>
      </c>
      <c r="G1340" s="37" t="s">
        <v>354</v>
      </c>
      <c r="H1340" s="37"/>
      <c r="I1340" s="37" t="s">
        <v>355</v>
      </c>
      <c r="J1340" s="37" t="s">
        <v>1300</v>
      </c>
      <c r="K1340" s="45" t="n">
        <v>785.4</v>
      </c>
      <c r="L1340" s="46" t="n">
        <v>58119.05</v>
      </c>
    </row>
    <row r="1341" customFormat="false" ht="15" hidden="false" customHeight="false" outlineLevel="0" collapsed="false">
      <c r="A1341" s="37" t="n">
        <v>502094</v>
      </c>
      <c r="B1341" s="37" t="s">
        <v>1299</v>
      </c>
      <c r="C1341" s="37" t="n">
        <v>202603</v>
      </c>
      <c r="D1341" s="37" t="s">
        <v>65</v>
      </c>
      <c r="E1341" s="37" t="s">
        <v>97</v>
      </c>
      <c r="F1341" s="37" t="s">
        <v>194</v>
      </c>
      <c r="G1341" s="37" t="s">
        <v>354</v>
      </c>
      <c r="H1341" s="37"/>
      <c r="I1341" s="37" t="s">
        <v>355</v>
      </c>
      <c r="J1341" s="37" t="s">
        <v>1300</v>
      </c>
      <c r="K1341" s="45" t="n">
        <v>198.4</v>
      </c>
      <c r="L1341" s="46" t="n">
        <v>18251.08</v>
      </c>
    </row>
    <row r="1342" customFormat="false" ht="15" hidden="false" customHeight="false" outlineLevel="0" collapsed="false">
      <c r="A1342" s="37" t="n">
        <v>502173</v>
      </c>
      <c r="B1342" s="37" t="s">
        <v>1299</v>
      </c>
      <c r="C1342" s="37" t="n">
        <v>202603</v>
      </c>
      <c r="D1342" s="37" t="s">
        <v>65</v>
      </c>
      <c r="E1342" s="37" t="s">
        <v>101</v>
      </c>
      <c r="F1342" s="37" t="s">
        <v>194</v>
      </c>
      <c r="G1342" s="37" t="s">
        <v>354</v>
      </c>
      <c r="H1342" s="37"/>
      <c r="I1342" s="37" t="s">
        <v>355</v>
      </c>
      <c r="J1342" s="37" t="s">
        <v>1300</v>
      </c>
      <c r="K1342" s="45" t="n">
        <v>623.1</v>
      </c>
      <c r="L1342" s="46" t="n">
        <v>46109.24</v>
      </c>
    </row>
    <row r="1343" customFormat="false" ht="15" hidden="false" customHeight="false" outlineLevel="0" collapsed="false">
      <c r="A1343" s="37" t="n">
        <v>502197</v>
      </c>
      <c r="B1343" s="37" t="s">
        <v>1299</v>
      </c>
      <c r="C1343" s="37" t="n">
        <v>202603</v>
      </c>
      <c r="D1343" s="37" t="s">
        <v>65</v>
      </c>
      <c r="E1343" s="37" t="s">
        <v>102</v>
      </c>
      <c r="F1343" s="37" t="s">
        <v>205</v>
      </c>
      <c r="G1343" s="37" t="s">
        <v>358</v>
      </c>
      <c r="H1343" s="37" t="s">
        <v>1039</v>
      </c>
      <c r="I1343" s="37" t="s">
        <v>715</v>
      </c>
      <c r="J1343" s="37" t="s">
        <v>1302</v>
      </c>
      <c r="K1343" s="45" t="n">
        <v>0</v>
      </c>
      <c r="L1343" s="46" t="n">
        <v>60926.39</v>
      </c>
    </row>
    <row r="1344" customFormat="false" ht="15" hidden="false" customHeight="false" outlineLevel="0" collapsed="false">
      <c r="A1344" s="37" t="n">
        <v>502277</v>
      </c>
      <c r="B1344" s="37" t="s">
        <v>1299</v>
      </c>
      <c r="C1344" s="37" t="n">
        <v>202603</v>
      </c>
      <c r="D1344" s="37" t="s">
        <v>66</v>
      </c>
      <c r="E1344" s="37" t="s">
        <v>97</v>
      </c>
      <c r="F1344" s="37" t="s">
        <v>194</v>
      </c>
      <c r="G1344" s="37" t="s">
        <v>354</v>
      </c>
      <c r="H1344" s="37"/>
      <c r="I1344" s="37" t="s">
        <v>355</v>
      </c>
      <c r="J1344" s="37" t="s">
        <v>1300</v>
      </c>
      <c r="K1344" s="45" t="n">
        <v>103.4</v>
      </c>
      <c r="L1344" s="46" t="n">
        <v>9516.03</v>
      </c>
    </row>
    <row r="1345" customFormat="false" ht="15" hidden="false" customHeight="false" outlineLevel="0" collapsed="false">
      <c r="A1345" s="37" t="n">
        <v>502342</v>
      </c>
      <c r="B1345" s="37" t="s">
        <v>1299</v>
      </c>
      <c r="C1345" s="37" t="n">
        <v>202603</v>
      </c>
      <c r="D1345" s="37" t="s">
        <v>66</v>
      </c>
      <c r="E1345" s="37" t="s">
        <v>101</v>
      </c>
      <c r="F1345" s="37" t="s">
        <v>194</v>
      </c>
      <c r="G1345" s="37" t="s">
        <v>354</v>
      </c>
      <c r="H1345" s="37"/>
      <c r="I1345" s="37" t="s">
        <v>355</v>
      </c>
      <c r="J1345" s="37" t="s">
        <v>1300</v>
      </c>
      <c r="K1345" s="45" t="n">
        <v>131.9</v>
      </c>
      <c r="L1345" s="46" t="n">
        <v>9760.87</v>
      </c>
    </row>
    <row r="1346" customFormat="false" ht="15" hidden="false" customHeight="false" outlineLevel="0" collapsed="false">
      <c r="A1346" s="37" t="n">
        <v>502420</v>
      </c>
      <c r="B1346" s="37" t="s">
        <v>1299</v>
      </c>
      <c r="C1346" s="37" t="n">
        <v>202603</v>
      </c>
      <c r="D1346" s="37" t="s">
        <v>67</v>
      </c>
      <c r="E1346" s="37" t="s">
        <v>97</v>
      </c>
      <c r="F1346" s="37" t="s">
        <v>194</v>
      </c>
      <c r="G1346" s="37" t="s">
        <v>354</v>
      </c>
      <c r="H1346" s="37"/>
      <c r="I1346" s="37" t="s">
        <v>355</v>
      </c>
      <c r="J1346" s="37" t="s">
        <v>1300</v>
      </c>
      <c r="K1346" s="45" t="n">
        <v>29.4</v>
      </c>
      <c r="L1346" s="46" t="n">
        <v>2703.23</v>
      </c>
    </row>
    <row r="1347" customFormat="false" ht="15" hidden="false" customHeight="false" outlineLevel="0" collapsed="false">
      <c r="A1347" s="37" t="n">
        <v>502449</v>
      </c>
      <c r="B1347" s="37" t="s">
        <v>1299</v>
      </c>
      <c r="C1347" s="37" t="n">
        <v>202603</v>
      </c>
      <c r="D1347" s="37" t="s">
        <v>67</v>
      </c>
      <c r="E1347" s="37" t="s">
        <v>98</v>
      </c>
      <c r="F1347" s="37" t="s">
        <v>196</v>
      </c>
      <c r="G1347" s="37" t="s">
        <v>358</v>
      </c>
      <c r="H1347" s="37" t="s">
        <v>359</v>
      </c>
      <c r="I1347" s="37" t="s">
        <v>360</v>
      </c>
      <c r="J1347" s="37" t="s">
        <v>1303</v>
      </c>
      <c r="K1347" s="45" t="n">
        <v>0</v>
      </c>
      <c r="L1347" s="46" t="n">
        <v>2226.29</v>
      </c>
    </row>
    <row r="1348" customFormat="false" ht="15" hidden="false" customHeight="false" outlineLevel="0" collapsed="false">
      <c r="A1348" s="37" t="n">
        <v>500558</v>
      </c>
      <c r="B1348" s="37" t="s">
        <v>1304</v>
      </c>
      <c r="C1348" s="37" t="n">
        <v>202603</v>
      </c>
      <c r="D1348" s="37" t="s">
        <v>59</v>
      </c>
      <c r="E1348" s="37" t="s">
        <v>98</v>
      </c>
      <c r="F1348" s="37" t="s">
        <v>196</v>
      </c>
      <c r="G1348" s="37" t="s">
        <v>358</v>
      </c>
      <c r="H1348" s="37" t="s">
        <v>359</v>
      </c>
      <c r="I1348" s="37" t="s">
        <v>360</v>
      </c>
      <c r="J1348" s="37" t="s">
        <v>1305</v>
      </c>
      <c r="K1348" s="45" t="n">
        <v>0</v>
      </c>
      <c r="L1348" s="46" t="n">
        <v>29504.34</v>
      </c>
    </row>
    <row r="1349" customFormat="false" ht="15" hidden="false" customHeight="false" outlineLevel="0" collapsed="false">
      <c r="A1349" s="37" t="n">
        <v>501543</v>
      </c>
      <c r="B1349" s="37" t="s">
        <v>1304</v>
      </c>
      <c r="C1349" s="37" t="n">
        <v>202603</v>
      </c>
      <c r="D1349" s="37" t="s">
        <v>62</v>
      </c>
      <c r="E1349" s="37" t="s">
        <v>103</v>
      </c>
      <c r="F1349" s="37" t="s">
        <v>205</v>
      </c>
      <c r="G1349" s="37" t="s">
        <v>358</v>
      </c>
      <c r="H1349" s="37" t="s">
        <v>897</v>
      </c>
      <c r="I1349" s="37" t="s">
        <v>898</v>
      </c>
      <c r="J1349" s="37" t="s">
        <v>1306</v>
      </c>
      <c r="K1349" s="45" t="n">
        <v>0</v>
      </c>
      <c r="L1349" s="46" t="n">
        <v>121182.79</v>
      </c>
    </row>
    <row r="1350" customFormat="false" ht="15" hidden="false" customHeight="false" outlineLevel="0" collapsed="false">
      <c r="A1350" s="37" t="n">
        <v>501529</v>
      </c>
      <c r="B1350" s="37" t="s">
        <v>1307</v>
      </c>
      <c r="C1350" s="37" t="n">
        <v>202603</v>
      </c>
      <c r="D1350" s="37" t="s">
        <v>62</v>
      </c>
      <c r="E1350" s="37" t="s">
        <v>102</v>
      </c>
      <c r="F1350" s="37" t="s">
        <v>205</v>
      </c>
      <c r="G1350" s="37" t="s">
        <v>358</v>
      </c>
      <c r="H1350" s="37" t="s">
        <v>810</v>
      </c>
      <c r="I1350" s="37" t="s">
        <v>811</v>
      </c>
      <c r="J1350" s="37" t="s">
        <v>1308</v>
      </c>
      <c r="K1350" s="45" t="n">
        <v>0</v>
      </c>
      <c r="L1350" s="46" t="n">
        <v>26828.88</v>
      </c>
    </row>
    <row r="1351" customFormat="false" ht="15" hidden="false" customHeight="false" outlineLevel="0" collapsed="false">
      <c r="A1351" s="37" t="n">
        <v>501919</v>
      </c>
      <c r="B1351" s="37" t="s">
        <v>1307</v>
      </c>
      <c r="C1351" s="37" t="n">
        <v>202603</v>
      </c>
      <c r="D1351" s="37" t="s">
        <v>64</v>
      </c>
      <c r="E1351" s="37" t="s">
        <v>98</v>
      </c>
      <c r="F1351" s="37" t="s">
        <v>196</v>
      </c>
      <c r="G1351" s="37" t="s">
        <v>358</v>
      </c>
      <c r="H1351" s="37" t="s">
        <v>359</v>
      </c>
      <c r="I1351" s="37" t="s">
        <v>360</v>
      </c>
      <c r="J1351" s="37" t="s">
        <v>1309</v>
      </c>
      <c r="K1351" s="45" t="n">
        <v>0</v>
      </c>
      <c r="L1351" s="46" t="n">
        <v>6085.9</v>
      </c>
    </row>
    <row r="1352" customFormat="false" ht="15" hidden="false" customHeight="false" outlineLevel="0" collapsed="false">
      <c r="A1352" s="37" t="n">
        <v>501692</v>
      </c>
      <c r="B1352" s="37" t="s">
        <v>1310</v>
      </c>
      <c r="C1352" s="37" t="n">
        <v>202603</v>
      </c>
      <c r="D1352" s="37" t="s">
        <v>63</v>
      </c>
      <c r="E1352" s="37" t="s">
        <v>98</v>
      </c>
      <c r="F1352" s="37" t="s">
        <v>196</v>
      </c>
      <c r="G1352" s="37" t="s">
        <v>358</v>
      </c>
      <c r="H1352" s="37" t="s">
        <v>359</v>
      </c>
      <c r="I1352" s="37" t="s">
        <v>360</v>
      </c>
      <c r="J1352" s="37" t="s">
        <v>1311</v>
      </c>
      <c r="K1352" s="45" t="n">
        <v>0</v>
      </c>
      <c r="L1352" s="46" t="n">
        <v>2821.33</v>
      </c>
    </row>
    <row r="1353" customFormat="false" ht="15" hidden="false" customHeight="false" outlineLevel="0" collapsed="false">
      <c r="A1353" s="37" t="n">
        <v>502198</v>
      </c>
      <c r="B1353" s="37" t="s">
        <v>1310</v>
      </c>
      <c r="C1353" s="37" t="n">
        <v>202603</v>
      </c>
      <c r="D1353" s="37" t="s">
        <v>65</v>
      </c>
      <c r="E1353" s="37" t="s">
        <v>102</v>
      </c>
      <c r="F1353" s="37" t="s">
        <v>205</v>
      </c>
      <c r="G1353" s="37" t="s">
        <v>358</v>
      </c>
      <c r="H1353" s="37" t="s">
        <v>1039</v>
      </c>
      <c r="I1353" s="37" t="s">
        <v>715</v>
      </c>
      <c r="J1353" s="37" t="s">
        <v>1312</v>
      </c>
      <c r="K1353" s="45" t="n">
        <v>0</v>
      </c>
      <c r="L1353" s="46" t="n">
        <v>142908.04</v>
      </c>
    </row>
    <row r="1354" customFormat="false" ht="15" hidden="false" customHeight="false" outlineLevel="0" collapsed="false">
      <c r="A1354" s="37" t="n">
        <v>502311</v>
      </c>
      <c r="B1354" s="37" t="s">
        <v>1310</v>
      </c>
      <c r="C1354" s="37" t="n">
        <v>202603</v>
      </c>
      <c r="D1354" s="37" t="s">
        <v>66</v>
      </c>
      <c r="E1354" s="37" t="s">
        <v>98</v>
      </c>
      <c r="F1354" s="37" t="s">
        <v>196</v>
      </c>
      <c r="G1354" s="37" t="s">
        <v>358</v>
      </c>
      <c r="H1354" s="37" t="s">
        <v>359</v>
      </c>
      <c r="I1354" s="37" t="s">
        <v>360</v>
      </c>
      <c r="J1354" s="37" t="s">
        <v>1313</v>
      </c>
      <c r="K1354" s="45" t="n">
        <v>0</v>
      </c>
      <c r="L1354" s="46" t="n">
        <v>18370.5</v>
      </c>
    </row>
    <row r="1355" customFormat="false" ht="15" hidden="false" customHeight="false" outlineLevel="0" collapsed="false">
      <c r="A1355" s="37" t="n">
        <v>500159</v>
      </c>
      <c r="B1355" s="37" t="s">
        <v>1314</v>
      </c>
      <c r="C1355" s="37" t="n">
        <v>202603</v>
      </c>
      <c r="D1355" s="37" t="s">
        <v>58</v>
      </c>
      <c r="E1355" s="37" t="s">
        <v>98</v>
      </c>
      <c r="F1355" s="37" t="s">
        <v>196</v>
      </c>
      <c r="G1355" s="37" t="s">
        <v>358</v>
      </c>
      <c r="H1355" s="37" t="s">
        <v>359</v>
      </c>
      <c r="I1355" s="37" t="s">
        <v>360</v>
      </c>
      <c r="J1355" s="37" t="s">
        <v>1315</v>
      </c>
      <c r="K1355" s="45" t="n">
        <v>0</v>
      </c>
      <c r="L1355" s="46" t="n">
        <v>4987.07</v>
      </c>
    </row>
    <row r="1356" customFormat="false" ht="15" hidden="false" customHeight="false" outlineLevel="0" collapsed="false">
      <c r="A1356" s="37" t="n">
        <v>501180</v>
      </c>
      <c r="B1356" s="37" t="s">
        <v>1314</v>
      </c>
      <c r="C1356" s="37" t="n">
        <v>202603</v>
      </c>
      <c r="D1356" s="37" t="s">
        <v>61</v>
      </c>
      <c r="E1356" s="37" t="s">
        <v>98</v>
      </c>
      <c r="F1356" s="37" t="s">
        <v>196</v>
      </c>
      <c r="G1356" s="37" t="s">
        <v>358</v>
      </c>
      <c r="H1356" s="37" t="s">
        <v>359</v>
      </c>
      <c r="I1356" s="37" t="s">
        <v>360</v>
      </c>
      <c r="J1356" s="37" t="s">
        <v>1316</v>
      </c>
      <c r="K1356" s="45" t="n">
        <v>0</v>
      </c>
      <c r="L1356" s="46" t="n">
        <v>6900.64</v>
      </c>
    </row>
    <row r="1357" customFormat="false" ht="15" hidden="false" customHeight="false" outlineLevel="0" collapsed="false">
      <c r="A1357" s="37" t="n">
        <v>501762</v>
      </c>
      <c r="B1357" s="37" t="s">
        <v>1314</v>
      </c>
      <c r="C1357" s="37" t="n">
        <v>202603</v>
      </c>
      <c r="D1357" s="37" t="s">
        <v>63</v>
      </c>
      <c r="E1357" s="37" t="s">
        <v>102</v>
      </c>
      <c r="F1357" s="37" t="s">
        <v>205</v>
      </c>
      <c r="G1357" s="37" t="s">
        <v>358</v>
      </c>
      <c r="H1357" s="37" t="s">
        <v>891</v>
      </c>
      <c r="I1357" s="37" t="s">
        <v>892</v>
      </c>
      <c r="J1357" s="37" t="s">
        <v>1317</v>
      </c>
      <c r="K1357" s="45" t="n">
        <v>0</v>
      </c>
      <c r="L1357" s="46" t="n">
        <v>9853.46</v>
      </c>
    </row>
    <row r="1358" customFormat="false" ht="15" hidden="false" customHeight="false" outlineLevel="0" collapsed="false">
      <c r="A1358" s="37" t="n">
        <v>502209</v>
      </c>
      <c r="B1358" s="37" t="s">
        <v>1314</v>
      </c>
      <c r="C1358" s="37" t="n">
        <v>202603</v>
      </c>
      <c r="D1358" s="37" t="s">
        <v>65</v>
      </c>
      <c r="E1358" s="37" t="s">
        <v>103</v>
      </c>
      <c r="F1358" s="37" t="s">
        <v>205</v>
      </c>
      <c r="G1358" s="37" t="s">
        <v>358</v>
      </c>
      <c r="H1358" s="37" t="s">
        <v>1051</v>
      </c>
      <c r="I1358" s="37" t="s">
        <v>898</v>
      </c>
      <c r="J1358" s="37" t="s">
        <v>1318</v>
      </c>
      <c r="K1358" s="45" t="n">
        <v>0</v>
      </c>
      <c r="L1358" s="46" t="n">
        <v>331809.24</v>
      </c>
    </row>
    <row r="1359" customFormat="false" ht="15" hidden="false" customHeight="false" outlineLevel="0" collapsed="false">
      <c r="A1359" s="37" t="n">
        <v>500557</v>
      </c>
      <c r="B1359" s="37" t="s">
        <v>1319</v>
      </c>
      <c r="C1359" s="37" t="n">
        <v>202603</v>
      </c>
      <c r="D1359" s="37" t="s">
        <v>59</v>
      </c>
      <c r="E1359" s="37" t="s">
        <v>98</v>
      </c>
      <c r="F1359" s="37" t="s">
        <v>196</v>
      </c>
      <c r="G1359" s="37" t="s">
        <v>358</v>
      </c>
      <c r="H1359" s="37" t="s">
        <v>359</v>
      </c>
      <c r="I1359" s="37" t="s">
        <v>360</v>
      </c>
      <c r="J1359" s="37" t="s">
        <v>1320</v>
      </c>
      <c r="K1359" s="45" t="n">
        <v>0</v>
      </c>
      <c r="L1359" s="46" t="n">
        <v>35835.73</v>
      </c>
    </row>
    <row r="1360" customFormat="false" ht="15" hidden="false" customHeight="false" outlineLevel="0" collapsed="false">
      <c r="A1360" s="37" t="n">
        <v>500094</v>
      </c>
      <c r="B1360" s="37" t="s">
        <v>1321</v>
      </c>
      <c r="C1360" s="37" t="n">
        <v>202603</v>
      </c>
      <c r="D1360" s="37" t="s">
        <v>58</v>
      </c>
      <c r="E1360" s="37" t="s">
        <v>97</v>
      </c>
      <c r="F1360" s="37" t="s">
        <v>194</v>
      </c>
      <c r="G1360" s="37" t="s">
        <v>354</v>
      </c>
      <c r="H1360" s="37"/>
      <c r="I1360" s="37" t="s">
        <v>355</v>
      </c>
      <c r="J1360" s="37" t="s">
        <v>1322</v>
      </c>
      <c r="K1360" s="45" t="n">
        <v>67</v>
      </c>
      <c r="L1360" s="46" t="n">
        <v>6166.82</v>
      </c>
    </row>
    <row r="1361" customFormat="false" ht="15" hidden="false" customHeight="false" outlineLevel="0" collapsed="false">
      <c r="A1361" s="37" t="n">
        <v>500368</v>
      </c>
      <c r="B1361" s="37" t="s">
        <v>1321</v>
      </c>
      <c r="C1361" s="37" t="n">
        <v>202603</v>
      </c>
      <c r="D1361" s="37" t="s">
        <v>58</v>
      </c>
      <c r="E1361" s="37" t="s">
        <v>106</v>
      </c>
      <c r="F1361" s="37" t="s">
        <v>194</v>
      </c>
      <c r="G1361" s="37" t="s">
        <v>354</v>
      </c>
      <c r="H1361" s="37"/>
      <c r="I1361" s="37" t="s">
        <v>355</v>
      </c>
      <c r="J1361" s="37" t="s">
        <v>1322</v>
      </c>
      <c r="K1361" s="45" t="n">
        <v>32</v>
      </c>
      <c r="L1361" s="46" t="n">
        <v>2268.96</v>
      </c>
    </row>
    <row r="1362" customFormat="false" ht="15" hidden="false" customHeight="false" outlineLevel="0" collapsed="false">
      <c r="A1362" s="37" t="n">
        <v>500502</v>
      </c>
      <c r="B1362" s="37" t="s">
        <v>1321</v>
      </c>
      <c r="C1362" s="37" t="n">
        <v>202603</v>
      </c>
      <c r="D1362" s="37" t="s">
        <v>59</v>
      </c>
      <c r="E1362" s="37" t="s">
        <v>97</v>
      </c>
      <c r="F1362" s="37" t="s">
        <v>194</v>
      </c>
      <c r="G1362" s="37" t="s">
        <v>354</v>
      </c>
      <c r="H1362" s="37"/>
      <c r="I1362" s="37" t="s">
        <v>355</v>
      </c>
      <c r="J1362" s="37" t="s">
        <v>1322</v>
      </c>
      <c r="K1362" s="45" t="n">
        <v>262.3</v>
      </c>
      <c r="L1362" s="46" t="n">
        <v>24130.06</v>
      </c>
    </row>
    <row r="1363" customFormat="false" ht="15" hidden="false" customHeight="false" outlineLevel="0" collapsed="false">
      <c r="A1363" s="37" t="n">
        <v>500704</v>
      </c>
      <c r="B1363" s="37" t="s">
        <v>1321</v>
      </c>
      <c r="C1363" s="37" t="n">
        <v>202603</v>
      </c>
      <c r="D1363" s="37" t="s">
        <v>59</v>
      </c>
      <c r="E1363" s="37" t="s">
        <v>106</v>
      </c>
      <c r="F1363" s="37" t="s">
        <v>194</v>
      </c>
      <c r="G1363" s="37" t="s">
        <v>354</v>
      </c>
      <c r="H1363" s="37"/>
      <c r="I1363" s="37" t="s">
        <v>355</v>
      </c>
      <c r="J1363" s="37" t="s">
        <v>1322</v>
      </c>
      <c r="K1363" s="45" t="n">
        <v>138.4</v>
      </c>
      <c r="L1363" s="46" t="n">
        <v>9823.77</v>
      </c>
    </row>
    <row r="1364" customFormat="false" ht="15" hidden="false" customHeight="false" outlineLevel="0" collapsed="false">
      <c r="A1364" s="37" t="n">
        <v>500831</v>
      </c>
      <c r="B1364" s="37" t="s">
        <v>1321</v>
      </c>
      <c r="C1364" s="37" t="n">
        <v>202603</v>
      </c>
      <c r="D1364" s="37" t="s">
        <v>60</v>
      </c>
      <c r="E1364" s="37" t="s">
        <v>97</v>
      </c>
      <c r="F1364" s="37" t="s">
        <v>194</v>
      </c>
      <c r="G1364" s="37" t="s">
        <v>354</v>
      </c>
      <c r="H1364" s="37"/>
      <c r="I1364" s="37" t="s">
        <v>355</v>
      </c>
      <c r="J1364" s="37" t="s">
        <v>1322</v>
      </c>
      <c r="K1364" s="45" t="n">
        <v>162.6</v>
      </c>
      <c r="L1364" s="46" t="n">
        <v>14958.68</v>
      </c>
    </row>
    <row r="1365" customFormat="false" ht="15" hidden="false" customHeight="false" outlineLevel="0" collapsed="false">
      <c r="A1365" s="37" t="n">
        <v>501024</v>
      </c>
      <c r="B1365" s="37" t="s">
        <v>1321</v>
      </c>
      <c r="C1365" s="37" t="n">
        <v>202603</v>
      </c>
      <c r="D1365" s="37" t="s">
        <v>60</v>
      </c>
      <c r="E1365" s="37" t="s">
        <v>106</v>
      </c>
      <c r="F1365" s="37" t="s">
        <v>194</v>
      </c>
      <c r="G1365" s="37" t="s">
        <v>354</v>
      </c>
      <c r="H1365" s="37"/>
      <c r="I1365" s="37" t="s">
        <v>355</v>
      </c>
      <c r="J1365" s="37" t="s">
        <v>1322</v>
      </c>
      <c r="K1365" s="45" t="n">
        <v>129.3</v>
      </c>
      <c r="L1365" s="46" t="n">
        <v>9178.46</v>
      </c>
    </row>
    <row r="1366" customFormat="false" ht="15" hidden="false" customHeight="false" outlineLevel="0" collapsed="false">
      <c r="A1366" s="37" t="n">
        <v>501138</v>
      </c>
      <c r="B1366" s="37" t="s">
        <v>1321</v>
      </c>
      <c r="C1366" s="37" t="n">
        <v>202603</v>
      </c>
      <c r="D1366" s="37" t="s">
        <v>61</v>
      </c>
      <c r="E1366" s="37" t="s">
        <v>97</v>
      </c>
      <c r="F1366" s="37" t="s">
        <v>194</v>
      </c>
      <c r="G1366" s="37" t="s">
        <v>354</v>
      </c>
      <c r="H1366" s="37"/>
      <c r="I1366" s="37" t="s">
        <v>355</v>
      </c>
      <c r="J1366" s="37" t="s">
        <v>1322</v>
      </c>
      <c r="K1366" s="45" t="n">
        <v>498.8</v>
      </c>
      <c r="L1366" s="46" t="n">
        <v>45893.78</v>
      </c>
    </row>
    <row r="1367" customFormat="false" ht="15" hidden="false" customHeight="false" outlineLevel="0" collapsed="false">
      <c r="A1367" s="37" t="n">
        <v>501298</v>
      </c>
      <c r="B1367" s="37" t="s">
        <v>1321</v>
      </c>
      <c r="C1367" s="37" t="n">
        <v>202603</v>
      </c>
      <c r="D1367" s="37" t="s">
        <v>61</v>
      </c>
      <c r="E1367" s="37" t="s">
        <v>106</v>
      </c>
      <c r="F1367" s="37" t="s">
        <v>194</v>
      </c>
      <c r="G1367" s="37" t="s">
        <v>354</v>
      </c>
      <c r="H1367" s="37"/>
      <c r="I1367" s="37" t="s">
        <v>355</v>
      </c>
      <c r="J1367" s="37" t="s">
        <v>1322</v>
      </c>
      <c r="K1367" s="45" t="n">
        <v>60.5</v>
      </c>
      <c r="L1367" s="46" t="n">
        <v>4292.39</v>
      </c>
    </row>
    <row r="1368" customFormat="false" ht="15" hidden="false" customHeight="false" outlineLevel="0" collapsed="false">
      <c r="A1368" s="37" t="n">
        <v>501399</v>
      </c>
      <c r="B1368" s="37" t="s">
        <v>1321</v>
      </c>
      <c r="C1368" s="37" t="n">
        <v>202603</v>
      </c>
      <c r="D1368" s="37" t="s">
        <v>62</v>
      </c>
      <c r="E1368" s="37" t="s">
        <v>97</v>
      </c>
      <c r="F1368" s="37" t="s">
        <v>194</v>
      </c>
      <c r="G1368" s="37" t="s">
        <v>354</v>
      </c>
      <c r="H1368" s="37"/>
      <c r="I1368" s="37" t="s">
        <v>355</v>
      </c>
      <c r="J1368" s="37" t="s">
        <v>1322</v>
      </c>
      <c r="K1368" s="45" t="n">
        <v>282.3</v>
      </c>
      <c r="L1368" s="46" t="n">
        <v>25972.65</v>
      </c>
    </row>
    <row r="1369" customFormat="false" ht="15" hidden="false" customHeight="false" outlineLevel="0" collapsed="false">
      <c r="A1369" s="37" t="n">
        <v>501503</v>
      </c>
      <c r="B1369" s="37" t="s">
        <v>1321</v>
      </c>
      <c r="C1369" s="37" t="n">
        <v>202603</v>
      </c>
      <c r="D1369" s="37" t="s">
        <v>62</v>
      </c>
      <c r="E1369" s="37" t="s">
        <v>101</v>
      </c>
      <c r="F1369" s="37" t="s">
        <v>194</v>
      </c>
      <c r="G1369" s="37" t="s">
        <v>354</v>
      </c>
      <c r="H1369" s="37"/>
      <c r="I1369" s="37" t="s">
        <v>355</v>
      </c>
      <c r="J1369" s="37" t="s">
        <v>1322</v>
      </c>
      <c r="K1369" s="45" t="n">
        <v>490.4</v>
      </c>
      <c r="L1369" s="46" t="n">
        <v>36286.79</v>
      </c>
    </row>
    <row r="1370" customFormat="false" ht="15" hidden="false" customHeight="false" outlineLevel="0" collapsed="false">
      <c r="A1370" s="37" t="n">
        <v>501645</v>
      </c>
      <c r="B1370" s="37" t="s">
        <v>1321</v>
      </c>
      <c r="C1370" s="37" t="n">
        <v>202603</v>
      </c>
      <c r="D1370" s="37" t="s">
        <v>63</v>
      </c>
      <c r="E1370" s="37" t="s">
        <v>97</v>
      </c>
      <c r="F1370" s="37" t="s">
        <v>194</v>
      </c>
      <c r="G1370" s="37" t="s">
        <v>354</v>
      </c>
      <c r="H1370" s="37"/>
      <c r="I1370" s="37" t="s">
        <v>355</v>
      </c>
      <c r="J1370" s="37" t="s">
        <v>1322</v>
      </c>
      <c r="K1370" s="45" t="n">
        <v>258.3</v>
      </c>
      <c r="L1370" s="46" t="n">
        <v>23759.01</v>
      </c>
    </row>
    <row r="1371" customFormat="false" ht="15" hidden="false" customHeight="false" outlineLevel="0" collapsed="false">
      <c r="A1371" s="37" t="n">
        <v>501749</v>
      </c>
      <c r="B1371" s="37" t="s">
        <v>1321</v>
      </c>
      <c r="C1371" s="37" t="n">
        <v>202603</v>
      </c>
      <c r="D1371" s="37" t="s">
        <v>63</v>
      </c>
      <c r="E1371" s="37" t="s">
        <v>101</v>
      </c>
      <c r="F1371" s="37" t="s">
        <v>194</v>
      </c>
      <c r="G1371" s="37" t="s">
        <v>354</v>
      </c>
      <c r="H1371" s="37"/>
      <c r="I1371" s="37" t="s">
        <v>355</v>
      </c>
      <c r="J1371" s="37" t="s">
        <v>1322</v>
      </c>
      <c r="K1371" s="45" t="n">
        <v>54</v>
      </c>
      <c r="L1371" s="46" t="n">
        <v>3997.46</v>
      </c>
    </row>
    <row r="1372" customFormat="false" ht="15" hidden="false" customHeight="false" outlineLevel="0" collapsed="false">
      <c r="A1372" s="37" t="n">
        <v>501795</v>
      </c>
      <c r="B1372" s="37" t="s">
        <v>1321</v>
      </c>
      <c r="C1372" s="37" t="n">
        <v>202603</v>
      </c>
      <c r="D1372" s="37" t="s">
        <v>63</v>
      </c>
      <c r="E1372" s="37" t="s">
        <v>106</v>
      </c>
      <c r="F1372" s="37" t="s">
        <v>194</v>
      </c>
      <c r="G1372" s="37" t="s">
        <v>354</v>
      </c>
      <c r="H1372" s="37"/>
      <c r="I1372" s="37" t="s">
        <v>355</v>
      </c>
      <c r="J1372" s="37" t="s">
        <v>1322</v>
      </c>
      <c r="K1372" s="45" t="n">
        <v>114.8</v>
      </c>
      <c r="L1372" s="46" t="n">
        <v>8151.89</v>
      </c>
    </row>
    <row r="1373" customFormat="false" ht="15" hidden="false" customHeight="false" outlineLevel="0" collapsed="false">
      <c r="A1373" s="37" t="n">
        <v>501879</v>
      </c>
      <c r="B1373" s="37" t="s">
        <v>1321</v>
      </c>
      <c r="C1373" s="37" t="n">
        <v>202603</v>
      </c>
      <c r="D1373" s="37" t="s">
        <v>64</v>
      </c>
      <c r="E1373" s="37" t="s">
        <v>97</v>
      </c>
      <c r="F1373" s="37" t="s">
        <v>194</v>
      </c>
      <c r="G1373" s="37" t="s">
        <v>354</v>
      </c>
      <c r="H1373" s="37"/>
      <c r="I1373" s="37" t="s">
        <v>355</v>
      </c>
      <c r="J1373" s="37" t="s">
        <v>1322</v>
      </c>
      <c r="K1373" s="45" t="n">
        <v>164.7</v>
      </c>
      <c r="L1373" s="46" t="n">
        <v>15151.84</v>
      </c>
    </row>
    <row r="1374" customFormat="false" ht="15" hidden="false" customHeight="false" outlineLevel="0" collapsed="false">
      <c r="A1374" s="37" t="n">
        <v>501969</v>
      </c>
      <c r="B1374" s="37" t="s">
        <v>1321</v>
      </c>
      <c r="C1374" s="37" t="n">
        <v>202603</v>
      </c>
      <c r="D1374" s="37" t="s">
        <v>64</v>
      </c>
      <c r="E1374" s="37" t="s">
        <v>101</v>
      </c>
      <c r="F1374" s="37" t="s">
        <v>194</v>
      </c>
      <c r="G1374" s="37" t="s">
        <v>354</v>
      </c>
      <c r="H1374" s="37"/>
      <c r="I1374" s="37" t="s">
        <v>355</v>
      </c>
      <c r="J1374" s="37" t="s">
        <v>1322</v>
      </c>
      <c r="K1374" s="45" t="n">
        <v>1929.2</v>
      </c>
      <c r="L1374" s="46" t="n">
        <v>142757.26</v>
      </c>
    </row>
    <row r="1375" customFormat="false" ht="15" hidden="false" customHeight="false" outlineLevel="0" collapsed="false">
      <c r="A1375" s="37" t="n">
        <v>502095</v>
      </c>
      <c r="B1375" s="37" t="s">
        <v>1321</v>
      </c>
      <c r="C1375" s="37" t="n">
        <v>202603</v>
      </c>
      <c r="D1375" s="37" t="s">
        <v>65</v>
      </c>
      <c r="E1375" s="37" t="s">
        <v>97</v>
      </c>
      <c r="F1375" s="37" t="s">
        <v>194</v>
      </c>
      <c r="G1375" s="37" t="s">
        <v>354</v>
      </c>
      <c r="H1375" s="37"/>
      <c r="I1375" s="37" t="s">
        <v>355</v>
      </c>
      <c r="J1375" s="37" t="s">
        <v>1322</v>
      </c>
      <c r="K1375" s="45" t="n">
        <v>64.7</v>
      </c>
      <c r="L1375" s="46" t="n">
        <v>5949.95</v>
      </c>
    </row>
    <row r="1376" customFormat="false" ht="15" hidden="false" customHeight="false" outlineLevel="0" collapsed="false">
      <c r="A1376" s="37" t="n">
        <v>502174</v>
      </c>
      <c r="B1376" s="37" t="s">
        <v>1321</v>
      </c>
      <c r="C1376" s="37" t="n">
        <v>202603</v>
      </c>
      <c r="D1376" s="37" t="s">
        <v>65</v>
      </c>
      <c r="E1376" s="37" t="s">
        <v>101</v>
      </c>
      <c r="F1376" s="37" t="s">
        <v>194</v>
      </c>
      <c r="G1376" s="37" t="s">
        <v>354</v>
      </c>
      <c r="H1376" s="37"/>
      <c r="I1376" s="37" t="s">
        <v>355</v>
      </c>
      <c r="J1376" s="37" t="s">
        <v>1322</v>
      </c>
      <c r="K1376" s="45" t="n">
        <v>1935.4</v>
      </c>
      <c r="L1376" s="46" t="n">
        <v>143220.74</v>
      </c>
    </row>
    <row r="1377" customFormat="false" ht="15" hidden="false" customHeight="false" outlineLevel="0" collapsed="false">
      <c r="A1377" s="37" t="n">
        <v>502278</v>
      </c>
      <c r="B1377" s="37" t="s">
        <v>1321</v>
      </c>
      <c r="C1377" s="37" t="n">
        <v>202603</v>
      </c>
      <c r="D1377" s="37" t="s">
        <v>66</v>
      </c>
      <c r="E1377" s="37" t="s">
        <v>97</v>
      </c>
      <c r="F1377" s="37" t="s">
        <v>194</v>
      </c>
      <c r="G1377" s="37" t="s">
        <v>354</v>
      </c>
      <c r="H1377" s="37"/>
      <c r="I1377" s="37" t="s">
        <v>355</v>
      </c>
      <c r="J1377" s="37" t="s">
        <v>1322</v>
      </c>
      <c r="K1377" s="45" t="n">
        <v>53.2</v>
      </c>
      <c r="L1377" s="46" t="n">
        <v>4896.71</v>
      </c>
    </row>
    <row r="1378" customFormat="false" ht="15" hidden="false" customHeight="false" outlineLevel="0" collapsed="false">
      <c r="A1378" s="37" t="n">
        <v>502343</v>
      </c>
      <c r="B1378" s="37" t="s">
        <v>1321</v>
      </c>
      <c r="C1378" s="37" t="n">
        <v>202603</v>
      </c>
      <c r="D1378" s="37" t="s">
        <v>66</v>
      </c>
      <c r="E1378" s="37" t="s">
        <v>101</v>
      </c>
      <c r="F1378" s="37" t="s">
        <v>194</v>
      </c>
      <c r="G1378" s="37" t="s">
        <v>354</v>
      </c>
      <c r="H1378" s="37"/>
      <c r="I1378" s="37" t="s">
        <v>355</v>
      </c>
      <c r="J1378" s="37" t="s">
        <v>1322</v>
      </c>
      <c r="K1378" s="45" t="n">
        <v>31.5</v>
      </c>
      <c r="L1378" s="46" t="n">
        <v>2331.09</v>
      </c>
    </row>
    <row r="1379" customFormat="false" ht="15" hidden="false" customHeight="false" outlineLevel="0" collapsed="false">
      <c r="A1379" s="37" t="n">
        <v>502373</v>
      </c>
      <c r="B1379" s="37" t="s">
        <v>1321</v>
      </c>
      <c r="C1379" s="37" t="n">
        <v>202603</v>
      </c>
      <c r="D1379" s="37" t="s">
        <v>66</v>
      </c>
      <c r="E1379" s="37" t="s">
        <v>102</v>
      </c>
      <c r="F1379" s="37" t="s">
        <v>205</v>
      </c>
      <c r="G1379" s="37" t="s">
        <v>358</v>
      </c>
      <c r="H1379" s="37" t="s">
        <v>1323</v>
      </c>
      <c r="I1379" s="37" t="s">
        <v>715</v>
      </c>
      <c r="J1379" s="37" t="s">
        <v>1324</v>
      </c>
      <c r="K1379" s="45" t="n">
        <v>0</v>
      </c>
      <c r="L1379" s="46" t="n">
        <v>11965.74</v>
      </c>
    </row>
    <row r="1380" customFormat="false" ht="15" hidden="false" customHeight="false" outlineLevel="0" collapsed="false">
      <c r="A1380" s="37" t="n">
        <v>502421</v>
      </c>
      <c r="B1380" s="37" t="s">
        <v>1321</v>
      </c>
      <c r="C1380" s="37" t="n">
        <v>202603</v>
      </c>
      <c r="D1380" s="37" t="s">
        <v>67</v>
      </c>
      <c r="E1380" s="37" t="s">
        <v>97</v>
      </c>
      <c r="F1380" s="37" t="s">
        <v>194</v>
      </c>
      <c r="G1380" s="37" t="s">
        <v>354</v>
      </c>
      <c r="H1380" s="37"/>
      <c r="I1380" s="37" t="s">
        <v>355</v>
      </c>
      <c r="J1380" s="37" t="s">
        <v>1322</v>
      </c>
      <c r="K1380" s="45" t="n">
        <v>37.9</v>
      </c>
      <c r="L1380" s="46" t="n">
        <v>3487.72</v>
      </c>
    </row>
    <row r="1381" customFormat="false" ht="15" hidden="false" customHeight="false" outlineLevel="0" collapsed="false">
      <c r="A1381" s="37" t="n">
        <v>500390</v>
      </c>
      <c r="B1381" s="37" t="s">
        <v>1325</v>
      </c>
      <c r="C1381" s="37" t="n">
        <v>202603</v>
      </c>
      <c r="D1381" s="37" t="s">
        <v>58</v>
      </c>
      <c r="E1381" s="37" t="s">
        <v>108</v>
      </c>
      <c r="F1381" s="37" t="s">
        <v>205</v>
      </c>
      <c r="G1381" s="37" t="s">
        <v>358</v>
      </c>
      <c r="H1381" s="37" t="s">
        <v>885</v>
      </c>
      <c r="I1381" s="37" t="s">
        <v>886</v>
      </c>
      <c r="J1381" s="37" t="s">
        <v>1326</v>
      </c>
      <c r="K1381" s="45" t="n">
        <v>0</v>
      </c>
      <c r="L1381" s="46" t="n">
        <v>112016.01</v>
      </c>
    </row>
    <row r="1382" customFormat="false" ht="15" hidden="false" customHeight="false" outlineLevel="0" collapsed="false">
      <c r="A1382" s="37" t="n">
        <v>501443</v>
      </c>
      <c r="B1382" s="37" t="s">
        <v>1327</v>
      </c>
      <c r="C1382" s="37" t="n">
        <v>202603</v>
      </c>
      <c r="D1382" s="37" t="s">
        <v>62</v>
      </c>
      <c r="E1382" s="37" t="s">
        <v>98</v>
      </c>
      <c r="F1382" s="37" t="s">
        <v>196</v>
      </c>
      <c r="G1382" s="37" t="s">
        <v>358</v>
      </c>
      <c r="H1382" s="37" t="s">
        <v>359</v>
      </c>
      <c r="I1382" s="37" t="s">
        <v>360</v>
      </c>
      <c r="J1382" s="37" t="s">
        <v>1328</v>
      </c>
      <c r="K1382" s="45" t="n">
        <v>0</v>
      </c>
      <c r="L1382" s="46" t="n">
        <v>56476.19</v>
      </c>
    </row>
    <row r="1383" customFormat="false" ht="15" hidden="false" customHeight="false" outlineLevel="0" collapsed="false">
      <c r="A1383" s="37" t="n">
        <v>501528</v>
      </c>
      <c r="B1383" s="37" t="s">
        <v>1327</v>
      </c>
      <c r="C1383" s="37" t="n">
        <v>202603</v>
      </c>
      <c r="D1383" s="37" t="s">
        <v>62</v>
      </c>
      <c r="E1383" s="37" t="s">
        <v>102</v>
      </c>
      <c r="F1383" s="37" t="s">
        <v>205</v>
      </c>
      <c r="G1383" s="37" t="s">
        <v>358</v>
      </c>
      <c r="H1383" s="37" t="s">
        <v>810</v>
      </c>
      <c r="I1383" s="37" t="s">
        <v>811</v>
      </c>
      <c r="J1383" s="37" t="s">
        <v>1329</v>
      </c>
      <c r="K1383" s="45" t="n">
        <v>0</v>
      </c>
      <c r="L1383" s="46" t="n">
        <v>81411.06</v>
      </c>
    </row>
    <row r="1384" customFormat="false" ht="15" hidden="false" customHeight="false" outlineLevel="0" collapsed="false">
      <c r="A1384" s="37" t="n">
        <v>501691</v>
      </c>
      <c r="B1384" s="37" t="s">
        <v>1330</v>
      </c>
      <c r="C1384" s="37" t="n">
        <v>202603</v>
      </c>
      <c r="D1384" s="37" t="s">
        <v>63</v>
      </c>
      <c r="E1384" s="37" t="s">
        <v>98</v>
      </c>
      <c r="F1384" s="37" t="s">
        <v>196</v>
      </c>
      <c r="G1384" s="37" t="s">
        <v>358</v>
      </c>
      <c r="H1384" s="37" t="s">
        <v>359</v>
      </c>
      <c r="I1384" s="37" t="s">
        <v>360</v>
      </c>
      <c r="J1384" s="37" t="s">
        <v>1331</v>
      </c>
      <c r="K1384" s="45" t="n">
        <v>0</v>
      </c>
      <c r="L1384" s="46" t="n">
        <v>17091.71</v>
      </c>
    </row>
    <row r="1385" customFormat="false" ht="15" hidden="false" customHeight="false" outlineLevel="0" collapsed="false">
      <c r="A1385" s="37" t="n">
        <v>502371</v>
      </c>
      <c r="B1385" s="37" t="s">
        <v>1330</v>
      </c>
      <c r="C1385" s="37" t="n">
        <v>202603</v>
      </c>
      <c r="D1385" s="37" t="s">
        <v>66</v>
      </c>
      <c r="E1385" s="37" t="s">
        <v>102</v>
      </c>
      <c r="F1385" s="37" t="s">
        <v>205</v>
      </c>
      <c r="G1385" s="37" t="s">
        <v>358</v>
      </c>
      <c r="H1385" s="37" t="s">
        <v>1323</v>
      </c>
      <c r="I1385" s="37" t="s">
        <v>715</v>
      </c>
      <c r="J1385" s="37" t="s">
        <v>1332</v>
      </c>
      <c r="K1385" s="45" t="n">
        <v>0</v>
      </c>
      <c r="L1385" s="46" t="n">
        <v>8055.29</v>
      </c>
    </row>
    <row r="1386" customFormat="false" ht="15" hidden="false" customHeight="false" outlineLevel="0" collapsed="false">
      <c r="A1386" s="37" t="n">
        <v>501545</v>
      </c>
      <c r="B1386" s="37" t="s">
        <v>1333</v>
      </c>
      <c r="C1386" s="37" t="n">
        <v>202603</v>
      </c>
      <c r="D1386" s="37" t="s">
        <v>62</v>
      </c>
      <c r="E1386" s="37" t="s">
        <v>103</v>
      </c>
      <c r="F1386" s="37" t="s">
        <v>205</v>
      </c>
      <c r="G1386" s="37" t="s">
        <v>358</v>
      </c>
      <c r="H1386" s="37" t="s">
        <v>897</v>
      </c>
      <c r="I1386" s="37" t="s">
        <v>898</v>
      </c>
      <c r="J1386" s="37" t="s">
        <v>1334</v>
      </c>
      <c r="K1386" s="45" t="n">
        <v>0</v>
      </c>
      <c r="L1386" s="46" t="n">
        <v>87466.36</v>
      </c>
    </row>
    <row r="1387" customFormat="false" ht="15" hidden="false" customHeight="false" outlineLevel="0" collapsed="false">
      <c r="A1387" s="37" t="n">
        <v>502199</v>
      </c>
      <c r="B1387" s="37" t="s">
        <v>1333</v>
      </c>
      <c r="C1387" s="37" t="n">
        <v>202603</v>
      </c>
      <c r="D1387" s="37" t="s">
        <v>65</v>
      </c>
      <c r="E1387" s="37" t="s">
        <v>102</v>
      </c>
      <c r="F1387" s="37" t="s">
        <v>205</v>
      </c>
      <c r="G1387" s="37" t="s">
        <v>358</v>
      </c>
      <c r="H1387" s="37" t="s">
        <v>1039</v>
      </c>
      <c r="I1387" s="37" t="s">
        <v>715</v>
      </c>
      <c r="J1387" s="37" t="s">
        <v>1335</v>
      </c>
      <c r="K1387" s="45" t="n">
        <v>0</v>
      </c>
      <c r="L1387" s="46" t="n">
        <v>39016.68</v>
      </c>
    </row>
    <row r="1388" customFormat="false" ht="15" hidden="false" customHeight="false" outlineLevel="0" collapsed="false">
      <c r="A1388" s="37" t="n">
        <v>500158</v>
      </c>
      <c r="B1388" s="37" t="s">
        <v>1336</v>
      </c>
      <c r="C1388" s="37" t="n">
        <v>202603</v>
      </c>
      <c r="D1388" s="37" t="s">
        <v>58</v>
      </c>
      <c r="E1388" s="37" t="s">
        <v>98</v>
      </c>
      <c r="F1388" s="37" t="s">
        <v>196</v>
      </c>
      <c r="G1388" s="37" t="s">
        <v>358</v>
      </c>
      <c r="H1388" s="37" t="s">
        <v>359</v>
      </c>
      <c r="I1388" s="37" t="s">
        <v>360</v>
      </c>
      <c r="J1388" s="37" t="s">
        <v>1337</v>
      </c>
      <c r="K1388" s="45" t="n">
        <v>0</v>
      </c>
      <c r="L1388" s="46" t="n">
        <v>5781.16</v>
      </c>
    </row>
    <row r="1389" customFormat="false" ht="15" hidden="false" customHeight="false" outlineLevel="0" collapsed="false">
      <c r="A1389" s="37" t="n">
        <v>500405</v>
      </c>
      <c r="B1389" s="37" t="s">
        <v>1336</v>
      </c>
      <c r="C1389" s="37" t="n">
        <v>202603</v>
      </c>
      <c r="D1389" s="37" t="s">
        <v>58</v>
      </c>
      <c r="E1389" s="37" t="s">
        <v>109</v>
      </c>
      <c r="F1389" s="37" t="s">
        <v>201</v>
      </c>
      <c r="G1389" s="37" t="s">
        <v>358</v>
      </c>
      <c r="H1389" s="37" t="s">
        <v>928</v>
      </c>
      <c r="I1389" s="37" t="s">
        <v>929</v>
      </c>
      <c r="J1389" s="37" t="s">
        <v>1338</v>
      </c>
      <c r="K1389" s="45" t="n">
        <v>0</v>
      </c>
      <c r="L1389" s="46" t="n">
        <v>202945.99</v>
      </c>
    </row>
    <row r="1390" customFormat="false" ht="15" hidden="false" customHeight="false" outlineLevel="0" collapsed="false">
      <c r="A1390" s="37" t="n">
        <v>500423</v>
      </c>
      <c r="B1390" s="37" t="s">
        <v>1336</v>
      </c>
      <c r="C1390" s="37" t="n">
        <v>202603</v>
      </c>
      <c r="D1390" s="37" t="s">
        <v>58</v>
      </c>
      <c r="E1390" s="37" t="s">
        <v>110</v>
      </c>
      <c r="F1390" s="37" t="s">
        <v>201</v>
      </c>
      <c r="G1390" s="37" t="s">
        <v>358</v>
      </c>
      <c r="H1390" s="37" t="s">
        <v>547</v>
      </c>
      <c r="I1390" s="37" t="s">
        <v>548</v>
      </c>
      <c r="J1390" s="37" t="s">
        <v>1338</v>
      </c>
      <c r="K1390" s="45" t="n">
        <v>0</v>
      </c>
      <c r="L1390" s="46" t="n">
        <v>158802.18</v>
      </c>
    </row>
    <row r="1391" customFormat="false" ht="15" hidden="false" customHeight="false" outlineLevel="0" collapsed="false">
      <c r="A1391" s="37" t="n">
        <v>500442</v>
      </c>
      <c r="B1391" s="37" t="s">
        <v>1336</v>
      </c>
      <c r="C1391" s="37" t="n">
        <v>202603</v>
      </c>
      <c r="D1391" s="37" t="s">
        <v>58</v>
      </c>
      <c r="E1391" s="37" t="s">
        <v>111</v>
      </c>
      <c r="F1391" s="37" t="s">
        <v>201</v>
      </c>
      <c r="G1391" s="37" t="s">
        <v>358</v>
      </c>
      <c r="H1391" s="37" t="s">
        <v>549</v>
      </c>
      <c r="I1391" s="37" t="s">
        <v>550</v>
      </c>
      <c r="J1391" s="37" t="s">
        <v>1338</v>
      </c>
      <c r="K1391" s="45" t="n">
        <v>0</v>
      </c>
      <c r="L1391" s="46" t="n">
        <v>91089.54</v>
      </c>
    </row>
    <row r="1392" customFormat="false" ht="15" hidden="false" customHeight="false" outlineLevel="0" collapsed="false">
      <c r="A1392" s="37" t="n">
        <v>500735</v>
      </c>
      <c r="B1392" s="37" t="s">
        <v>1336</v>
      </c>
      <c r="C1392" s="37" t="n">
        <v>202603</v>
      </c>
      <c r="D1392" s="37" t="s">
        <v>59</v>
      </c>
      <c r="E1392" s="37" t="s">
        <v>107</v>
      </c>
      <c r="F1392" s="37" t="s">
        <v>201</v>
      </c>
      <c r="G1392" s="37" t="s">
        <v>358</v>
      </c>
      <c r="H1392" s="37" t="s">
        <v>1095</v>
      </c>
      <c r="I1392" s="37" t="s">
        <v>1096</v>
      </c>
      <c r="J1392" s="37" t="s">
        <v>1338</v>
      </c>
      <c r="K1392" s="45" t="n">
        <v>0</v>
      </c>
      <c r="L1392" s="46" t="n">
        <v>353179.63</v>
      </c>
    </row>
    <row r="1393" customFormat="false" ht="15" hidden="false" customHeight="false" outlineLevel="0" collapsed="false">
      <c r="A1393" s="37" t="n">
        <v>500765</v>
      </c>
      <c r="B1393" s="37" t="s">
        <v>1336</v>
      </c>
      <c r="C1393" s="37" t="n">
        <v>202603</v>
      </c>
      <c r="D1393" s="37" t="s">
        <v>59</v>
      </c>
      <c r="E1393" s="37" t="s">
        <v>110</v>
      </c>
      <c r="F1393" s="37" t="s">
        <v>201</v>
      </c>
      <c r="G1393" s="37" t="s">
        <v>358</v>
      </c>
      <c r="H1393" s="37" t="s">
        <v>849</v>
      </c>
      <c r="I1393" s="37" t="s">
        <v>850</v>
      </c>
      <c r="J1393" s="37" t="s">
        <v>1338</v>
      </c>
      <c r="K1393" s="45" t="n">
        <v>0</v>
      </c>
      <c r="L1393" s="46" t="n">
        <v>322462.6</v>
      </c>
    </row>
    <row r="1394" customFormat="false" ht="15" hidden="false" customHeight="false" outlineLevel="0" collapsed="false">
      <c r="A1394" s="37" t="n">
        <v>500778</v>
      </c>
      <c r="B1394" s="37" t="s">
        <v>1336</v>
      </c>
      <c r="C1394" s="37" t="n">
        <v>202603</v>
      </c>
      <c r="D1394" s="37" t="s">
        <v>59</v>
      </c>
      <c r="E1394" s="37" t="s">
        <v>111</v>
      </c>
      <c r="F1394" s="37" t="s">
        <v>201</v>
      </c>
      <c r="G1394" s="37" t="s">
        <v>358</v>
      </c>
      <c r="H1394" s="37" t="s">
        <v>851</v>
      </c>
      <c r="I1394" s="37" t="s">
        <v>852</v>
      </c>
      <c r="J1394" s="37" t="s">
        <v>1338</v>
      </c>
      <c r="K1394" s="45" t="n">
        <v>0</v>
      </c>
      <c r="L1394" s="46" t="n">
        <v>278478.37</v>
      </c>
    </row>
    <row r="1395" customFormat="false" ht="15" hidden="false" customHeight="false" outlineLevel="0" collapsed="false">
      <c r="A1395" s="37" t="n">
        <v>501002</v>
      </c>
      <c r="B1395" s="37" t="s">
        <v>1336</v>
      </c>
      <c r="C1395" s="37" t="n">
        <v>202603</v>
      </c>
      <c r="D1395" s="37" t="s">
        <v>60</v>
      </c>
      <c r="E1395" s="37" t="s">
        <v>104</v>
      </c>
      <c r="F1395" s="37" t="s">
        <v>201</v>
      </c>
      <c r="G1395" s="37" t="s">
        <v>358</v>
      </c>
      <c r="H1395" s="37" t="s">
        <v>1097</v>
      </c>
      <c r="I1395" s="37" t="s">
        <v>1098</v>
      </c>
      <c r="J1395" s="37" t="s">
        <v>1338</v>
      </c>
      <c r="K1395" s="45" t="n">
        <v>0</v>
      </c>
      <c r="L1395" s="46" t="n">
        <v>258402.25</v>
      </c>
    </row>
    <row r="1396" customFormat="false" ht="15" hidden="false" customHeight="false" outlineLevel="0" collapsed="false">
      <c r="A1396" s="37" t="n">
        <v>501011</v>
      </c>
      <c r="B1396" s="37" t="s">
        <v>1336</v>
      </c>
      <c r="C1396" s="37" t="n">
        <v>202603</v>
      </c>
      <c r="D1396" s="37" t="s">
        <v>60</v>
      </c>
      <c r="E1396" s="37" t="s">
        <v>105</v>
      </c>
      <c r="F1396" s="37" t="s">
        <v>201</v>
      </c>
      <c r="G1396" s="37" t="s">
        <v>358</v>
      </c>
      <c r="H1396" s="37" t="s">
        <v>931</v>
      </c>
      <c r="I1396" s="37" t="s">
        <v>932</v>
      </c>
      <c r="J1396" s="37" t="s">
        <v>1338</v>
      </c>
      <c r="K1396" s="45" t="n">
        <v>0</v>
      </c>
      <c r="L1396" s="46" t="n">
        <v>153788.31</v>
      </c>
    </row>
    <row r="1397" customFormat="false" ht="15" hidden="false" customHeight="false" outlineLevel="0" collapsed="false">
      <c r="A1397" s="37" t="n">
        <v>501053</v>
      </c>
      <c r="B1397" s="37" t="s">
        <v>1336</v>
      </c>
      <c r="C1397" s="37" t="n">
        <v>202603</v>
      </c>
      <c r="D1397" s="37" t="s">
        <v>60</v>
      </c>
      <c r="E1397" s="37" t="s">
        <v>107</v>
      </c>
      <c r="F1397" s="37" t="s">
        <v>201</v>
      </c>
      <c r="G1397" s="37" t="s">
        <v>358</v>
      </c>
      <c r="H1397" s="37" t="s">
        <v>1253</v>
      </c>
      <c r="I1397" s="37" t="s">
        <v>1254</v>
      </c>
      <c r="J1397" s="37" t="s">
        <v>1338</v>
      </c>
      <c r="K1397" s="45" t="n">
        <v>0</v>
      </c>
      <c r="L1397" s="46" t="n">
        <v>146296.25</v>
      </c>
    </row>
    <row r="1398" customFormat="false" ht="15" hidden="false" customHeight="false" outlineLevel="0" collapsed="false">
      <c r="A1398" s="37" t="n">
        <v>501079</v>
      </c>
      <c r="B1398" s="37" t="s">
        <v>1336</v>
      </c>
      <c r="C1398" s="37" t="n">
        <v>202603</v>
      </c>
      <c r="D1398" s="37" t="s">
        <v>60</v>
      </c>
      <c r="E1398" s="37" t="s">
        <v>110</v>
      </c>
      <c r="F1398" s="37" t="s">
        <v>201</v>
      </c>
      <c r="G1398" s="37" t="s">
        <v>358</v>
      </c>
      <c r="H1398" s="37" t="s">
        <v>1010</v>
      </c>
      <c r="I1398" s="37" t="s">
        <v>548</v>
      </c>
      <c r="J1398" s="37" t="s">
        <v>1338</v>
      </c>
      <c r="K1398" s="45" t="n">
        <v>0</v>
      </c>
      <c r="L1398" s="46" t="n">
        <v>161794.73</v>
      </c>
    </row>
    <row r="1399" customFormat="false" ht="15" hidden="false" customHeight="false" outlineLevel="0" collapsed="false">
      <c r="A1399" s="37" t="n">
        <v>501090</v>
      </c>
      <c r="B1399" s="37" t="s">
        <v>1336</v>
      </c>
      <c r="C1399" s="37" t="n">
        <v>202603</v>
      </c>
      <c r="D1399" s="37" t="s">
        <v>60</v>
      </c>
      <c r="E1399" s="37" t="s">
        <v>111</v>
      </c>
      <c r="F1399" s="37" t="s">
        <v>201</v>
      </c>
      <c r="G1399" s="37" t="s">
        <v>358</v>
      </c>
      <c r="H1399" s="37" t="s">
        <v>1011</v>
      </c>
      <c r="I1399" s="37" t="s">
        <v>1012</v>
      </c>
      <c r="J1399" s="37" t="s">
        <v>1338</v>
      </c>
      <c r="K1399" s="45" t="n">
        <v>0</v>
      </c>
      <c r="L1399" s="46" t="n">
        <v>160335.66</v>
      </c>
    </row>
    <row r="1400" customFormat="false" ht="15" hidden="false" customHeight="false" outlineLevel="0" collapsed="false">
      <c r="A1400" s="37" t="n">
        <v>501282</v>
      </c>
      <c r="B1400" s="37" t="s">
        <v>1336</v>
      </c>
      <c r="C1400" s="37" t="n">
        <v>202603</v>
      </c>
      <c r="D1400" s="37" t="s">
        <v>61</v>
      </c>
      <c r="E1400" s="37" t="s">
        <v>105</v>
      </c>
      <c r="F1400" s="37" t="s">
        <v>201</v>
      </c>
      <c r="G1400" s="37" t="s">
        <v>358</v>
      </c>
      <c r="H1400" s="37" t="s">
        <v>933</v>
      </c>
      <c r="I1400" s="37" t="s">
        <v>934</v>
      </c>
      <c r="J1400" s="37" t="s">
        <v>1338</v>
      </c>
      <c r="K1400" s="45" t="n">
        <v>0</v>
      </c>
      <c r="L1400" s="46" t="n">
        <v>25613.58</v>
      </c>
    </row>
    <row r="1401" customFormat="false" ht="15" hidden="false" customHeight="false" outlineLevel="0" collapsed="false">
      <c r="A1401" s="37" t="n">
        <v>501320</v>
      </c>
      <c r="B1401" s="37" t="s">
        <v>1336</v>
      </c>
      <c r="C1401" s="37" t="n">
        <v>202603</v>
      </c>
      <c r="D1401" s="37" t="s">
        <v>61</v>
      </c>
      <c r="E1401" s="37" t="s">
        <v>107</v>
      </c>
      <c r="F1401" s="37" t="s">
        <v>201</v>
      </c>
      <c r="G1401" s="37" t="s">
        <v>358</v>
      </c>
      <c r="H1401" s="37" t="s">
        <v>1176</v>
      </c>
      <c r="I1401" s="37" t="s">
        <v>1096</v>
      </c>
      <c r="J1401" s="37" t="s">
        <v>1338</v>
      </c>
      <c r="K1401" s="45" t="n">
        <v>0</v>
      </c>
      <c r="L1401" s="46" t="n">
        <v>179153</v>
      </c>
    </row>
    <row r="1402" customFormat="false" ht="15" hidden="false" customHeight="false" outlineLevel="0" collapsed="false">
      <c r="A1402" s="37" t="n">
        <v>501348</v>
      </c>
      <c r="B1402" s="37" t="s">
        <v>1336</v>
      </c>
      <c r="C1402" s="37" t="n">
        <v>202603</v>
      </c>
      <c r="D1402" s="37" t="s">
        <v>61</v>
      </c>
      <c r="E1402" s="37" t="s">
        <v>110</v>
      </c>
      <c r="F1402" s="37" t="s">
        <v>201</v>
      </c>
      <c r="G1402" s="37" t="s">
        <v>358</v>
      </c>
      <c r="H1402" s="37" t="s">
        <v>1014</v>
      </c>
      <c r="I1402" s="37" t="s">
        <v>1015</v>
      </c>
      <c r="J1402" s="37" t="s">
        <v>1338</v>
      </c>
      <c r="K1402" s="45" t="n">
        <v>0</v>
      </c>
      <c r="L1402" s="46" t="n">
        <v>145033.74</v>
      </c>
    </row>
    <row r="1403" customFormat="false" ht="15" hidden="false" customHeight="false" outlineLevel="0" collapsed="false">
      <c r="A1403" s="37" t="n">
        <v>501359</v>
      </c>
      <c r="B1403" s="37" t="s">
        <v>1336</v>
      </c>
      <c r="C1403" s="37" t="n">
        <v>202603</v>
      </c>
      <c r="D1403" s="37" t="s">
        <v>61</v>
      </c>
      <c r="E1403" s="37" t="s">
        <v>111</v>
      </c>
      <c r="F1403" s="37" t="s">
        <v>201</v>
      </c>
      <c r="G1403" s="37" t="s">
        <v>358</v>
      </c>
      <c r="H1403" s="37" t="s">
        <v>1016</v>
      </c>
      <c r="I1403" s="37" t="s">
        <v>1017</v>
      </c>
      <c r="J1403" s="37" t="s">
        <v>1338</v>
      </c>
      <c r="K1403" s="45" t="n">
        <v>0</v>
      </c>
      <c r="L1403" s="46" t="n">
        <v>182051.29</v>
      </c>
    </row>
    <row r="1404" customFormat="false" ht="15" hidden="false" customHeight="false" outlineLevel="0" collapsed="false">
      <c r="A1404" s="37" t="n">
        <v>501551</v>
      </c>
      <c r="B1404" s="37" t="s">
        <v>1336</v>
      </c>
      <c r="C1404" s="37" t="n">
        <v>202603</v>
      </c>
      <c r="D1404" s="37" t="s">
        <v>62</v>
      </c>
      <c r="E1404" s="37" t="s">
        <v>104</v>
      </c>
      <c r="F1404" s="37" t="s">
        <v>201</v>
      </c>
      <c r="G1404" s="37" t="s">
        <v>358</v>
      </c>
      <c r="H1404" s="37" t="s">
        <v>1339</v>
      </c>
      <c r="I1404" s="37" t="s">
        <v>1340</v>
      </c>
      <c r="J1404" s="37" t="s">
        <v>1338</v>
      </c>
      <c r="K1404" s="45" t="n">
        <v>0</v>
      </c>
      <c r="L1404" s="46" t="n">
        <v>6916.01</v>
      </c>
    </row>
    <row r="1405" customFormat="false" ht="15" hidden="false" customHeight="false" outlineLevel="0" collapsed="false">
      <c r="A1405" s="37" t="n">
        <v>501560</v>
      </c>
      <c r="B1405" s="37" t="s">
        <v>1336</v>
      </c>
      <c r="C1405" s="37" t="n">
        <v>202603</v>
      </c>
      <c r="D1405" s="37" t="s">
        <v>62</v>
      </c>
      <c r="E1405" s="37" t="s">
        <v>105</v>
      </c>
      <c r="F1405" s="37" t="s">
        <v>201</v>
      </c>
      <c r="G1405" s="37" t="s">
        <v>358</v>
      </c>
      <c r="H1405" s="37" t="s">
        <v>1178</v>
      </c>
      <c r="I1405" s="37" t="s">
        <v>1179</v>
      </c>
      <c r="J1405" s="37" t="s">
        <v>1338</v>
      </c>
      <c r="K1405" s="45" t="n">
        <v>0</v>
      </c>
      <c r="L1405" s="46" t="n">
        <v>502652.96</v>
      </c>
    </row>
    <row r="1406" customFormat="false" ht="15" hidden="false" customHeight="false" outlineLevel="0" collapsed="false">
      <c r="A1406" s="37" t="n">
        <v>501602</v>
      </c>
      <c r="B1406" s="37" t="s">
        <v>1336</v>
      </c>
      <c r="C1406" s="37" t="n">
        <v>202603</v>
      </c>
      <c r="D1406" s="37" t="s">
        <v>62</v>
      </c>
      <c r="E1406" s="37" t="s">
        <v>110</v>
      </c>
      <c r="F1406" s="37" t="s">
        <v>201</v>
      </c>
      <c r="G1406" s="37" t="s">
        <v>358</v>
      </c>
      <c r="H1406" s="37" t="s">
        <v>1257</v>
      </c>
      <c r="I1406" s="37" t="s">
        <v>548</v>
      </c>
      <c r="J1406" s="37" t="s">
        <v>1338</v>
      </c>
      <c r="K1406" s="45" t="n">
        <v>0</v>
      </c>
      <c r="L1406" s="46" t="n">
        <v>83553.36</v>
      </c>
    </row>
    <row r="1407" customFormat="false" ht="15" hidden="false" customHeight="false" outlineLevel="0" collapsed="false">
      <c r="A1407" s="37" t="n">
        <v>501610</v>
      </c>
      <c r="B1407" s="37" t="s">
        <v>1336</v>
      </c>
      <c r="C1407" s="37" t="n">
        <v>202603</v>
      </c>
      <c r="D1407" s="37" t="s">
        <v>62</v>
      </c>
      <c r="E1407" s="37" t="s">
        <v>111</v>
      </c>
      <c r="F1407" s="37" t="s">
        <v>201</v>
      </c>
      <c r="G1407" s="37" t="s">
        <v>358</v>
      </c>
      <c r="H1407" s="37" t="s">
        <v>1258</v>
      </c>
      <c r="I1407" s="37" t="s">
        <v>1259</v>
      </c>
      <c r="J1407" s="37" t="s">
        <v>1338</v>
      </c>
      <c r="K1407" s="45" t="n">
        <v>0</v>
      </c>
      <c r="L1407" s="46" t="n">
        <v>67278.67</v>
      </c>
    </row>
    <row r="1408" customFormat="false" ht="15" hidden="false" customHeight="false" outlineLevel="0" collapsed="false">
      <c r="A1408" s="37" t="n">
        <v>501783</v>
      </c>
      <c r="B1408" s="37" t="s">
        <v>1336</v>
      </c>
      <c r="C1408" s="37" t="n">
        <v>202603</v>
      </c>
      <c r="D1408" s="37" t="s">
        <v>63</v>
      </c>
      <c r="E1408" s="37" t="s">
        <v>104</v>
      </c>
      <c r="F1408" s="37" t="s">
        <v>201</v>
      </c>
      <c r="G1408" s="37" t="s">
        <v>358</v>
      </c>
      <c r="H1408" s="37" t="s">
        <v>1261</v>
      </c>
      <c r="I1408" s="37" t="s">
        <v>1098</v>
      </c>
      <c r="J1408" s="37" t="s">
        <v>1338</v>
      </c>
      <c r="K1408" s="45" t="n">
        <v>0</v>
      </c>
      <c r="L1408" s="46" t="n">
        <v>104469.02</v>
      </c>
    </row>
    <row r="1409" customFormat="false" ht="15" hidden="false" customHeight="false" outlineLevel="0" collapsed="false">
      <c r="A1409" s="37" t="n">
        <v>501790</v>
      </c>
      <c r="B1409" s="37" t="s">
        <v>1336</v>
      </c>
      <c r="C1409" s="37" t="n">
        <v>202603</v>
      </c>
      <c r="D1409" s="37" t="s">
        <v>63</v>
      </c>
      <c r="E1409" s="37" t="s">
        <v>105</v>
      </c>
      <c r="F1409" s="37" t="s">
        <v>201</v>
      </c>
      <c r="G1409" s="37" t="s">
        <v>358</v>
      </c>
      <c r="H1409" s="37" t="s">
        <v>1100</v>
      </c>
      <c r="I1409" s="37" t="s">
        <v>1101</v>
      </c>
      <c r="J1409" s="37" t="s">
        <v>1338</v>
      </c>
      <c r="K1409" s="45" t="n">
        <v>0</v>
      </c>
      <c r="L1409" s="46" t="n">
        <v>240921.85</v>
      </c>
    </row>
    <row r="1410" customFormat="false" ht="15" hidden="false" customHeight="false" outlineLevel="0" collapsed="false">
      <c r="A1410" s="37" t="n">
        <v>501819</v>
      </c>
      <c r="B1410" s="37" t="s">
        <v>1336</v>
      </c>
      <c r="C1410" s="37" t="n">
        <v>202603</v>
      </c>
      <c r="D1410" s="37" t="s">
        <v>63</v>
      </c>
      <c r="E1410" s="37" t="s">
        <v>107</v>
      </c>
      <c r="F1410" s="37" t="s">
        <v>201</v>
      </c>
      <c r="G1410" s="37" t="s">
        <v>358</v>
      </c>
      <c r="H1410" s="37" t="s">
        <v>1341</v>
      </c>
      <c r="I1410" s="37" t="s">
        <v>1096</v>
      </c>
      <c r="J1410" s="37" t="s">
        <v>1338</v>
      </c>
      <c r="K1410" s="45" t="n">
        <v>0</v>
      </c>
      <c r="L1410" s="46" t="n">
        <v>3395.56</v>
      </c>
    </row>
    <row r="1411" customFormat="false" ht="15" hidden="false" customHeight="false" outlineLevel="0" collapsed="false">
      <c r="A1411" s="37" t="n">
        <v>501839</v>
      </c>
      <c r="B1411" s="37" t="s">
        <v>1336</v>
      </c>
      <c r="C1411" s="37" t="n">
        <v>202603</v>
      </c>
      <c r="D1411" s="37" t="s">
        <v>63</v>
      </c>
      <c r="E1411" s="37" t="s">
        <v>110</v>
      </c>
      <c r="F1411" s="37" t="s">
        <v>201</v>
      </c>
      <c r="G1411" s="37" t="s">
        <v>358</v>
      </c>
      <c r="H1411" s="37" t="s">
        <v>1180</v>
      </c>
      <c r="I1411" s="37" t="s">
        <v>1181</v>
      </c>
      <c r="J1411" s="37" t="s">
        <v>1338</v>
      </c>
      <c r="K1411" s="45" t="n">
        <v>0</v>
      </c>
      <c r="L1411" s="46" t="n">
        <v>96043.18</v>
      </c>
    </row>
    <row r="1412" customFormat="false" ht="15" hidden="false" customHeight="false" outlineLevel="0" collapsed="false">
      <c r="A1412" s="37" t="n">
        <v>501848</v>
      </c>
      <c r="B1412" s="37" t="s">
        <v>1336</v>
      </c>
      <c r="C1412" s="37" t="n">
        <v>202603</v>
      </c>
      <c r="D1412" s="37" t="s">
        <v>63</v>
      </c>
      <c r="E1412" s="37" t="s">
        <v>111</v>
      </c>
      <c r="F1412" s="37" t="s">
        <v>201</v>
      </c>
      <c r="G1412" s="37" t="s">
        <v>358</v>
      </c>
      <c r="H1412" s="37" t="s">
        <v>1182</v>
      </c>
      <c r="I1412" s="37" t="s">
        <v>852</v>
      </c>
      <c r="J1412" s="37" t="s">
        <v>1338</v>
      </c>
      <c r="K1412" s="45" t="n">
        <v>0</v>
      </c>
      <c r="L1412" s="46" t="n">
        <v>65651.08</v>
      </c>
    </row>
    <row r="1413" customFormat="false" ht="15" hidden="false" customHeight="false" outlineLevel="0" collapsed="false">
      <c r="A1413" s="37" t="n">
        <v>502025</v>
      </c>
      <c r="B1413" s="37" t="s">
        <v>1336</v>
      </c>
      <c r="C1413" s="37" t="n">
        <v>202603</v>
      </c>
      <c r="D1413" s="37" t="s">
        <v>64</v>
      </c>
      <c r="E1413" s="37" t="s">
        <v>105</v>
      </c>
      <c r="F1413" s="37" t="s">
        <v>201</v>
      </c>
      <c r="G1413" s="37" t="s">
        <v>358</v>
      </c>
      <c r="H1413" s="37" t="s">
        <v>1262</v>
      </c>
      <c r="I1413" s="37" t="s">
        <v>796</v>
      </c>
      <c r="J1413" s="37" t="s">
        <v>1338</v>
      </c>
      <c r="K1413" s="45" t="n">
        <v>0</v>
      </c>
      <c r="L1413" s="46" t="n">
        <v>97280.91</v>
      </c>
    </row>
    <row r="1414" customFormat="false" ht="15" hidden="false" customHeight="false" outlineLevel="0" collapsed="false">
      <c r="A1414" s="37" t="n">
        <v>502062</v>
      </c>
      <c r="B1414" s="37" t="s">
        <v>1336</v>
      </c>
      <c r="C1414" s="37" t="n">
        <v>202603</v>
      </c>
      <c r="D1414" s="37" t="s">
        <v>64</v>
      </c>
      <c r="E1414" s="37" t="s">
        <v>110</v>
      </c>
      <c r="F1414" s="37" t="s">
        <v>201</v>
      </c>
      <c r="G1414" s="37" t="s">
        <v>358</v>
      </c>
      <c r="H1414" s="37" t="s">
        <v>1342</v>
      </c>
      <c r="I1414" s="37" t="s">
        <v>1343</v>
      </c>
      <c r="J1414" s="37" t="s">
        <v>1338</v>
      </c>
      <c r="K1414" s="45" t="n">
        <v>0</v>
      </c>
      <c r="L1414" s="46" t="n">
        <v>21954.27</v>
      </c>
    </row>
    <row r="1415" customFormat="false" ht="15" hidden="false" customHeight="false" outlineLevel="0" collapsed="false">
      <c r="A1415" s="37" t="n">
        <v>502069</v>
      </c>
      <c r="B1415" s="37" t="s">
        <v>1336</v>
      </c>
      <c r="C1415" s="37" t="n">
        <v>202603</v>
      </c>
      <c r="D1415" s="37" t="s">
        <v>64</v>
      </c>
      <c r="E1415" s="37" t="s">
        <v>111</v>
      </c>
      <c r="F1415" s="37" t="s">
        <v>201</v>
      </c>
      <c r="G1415" s="37" t="s">
        <v>358</v>
      </c>
      <c r="H1415" s="37" t="s">
        <v>1344</v>
      </c>
      <c r="I1415" s="37" t="s">
        <v>1345</v>
      </c>
      <c r="J1415" s="37" t="s">
        <v>1338</v>
      </c>
      <c r="K1415" s="45" t="n">
        <v>0</v>
      </c>
      <c r="L1415" s="46" t="n">
        <v>10735.7</v>
      </c>
    </row>
    <row r="1416" customFormat="false" ht="15" hidden="false" customHeight="false" outlineLevel="0" collapsed="false">
      <c r="A1416" s="37" t="n">
        <v>502158</v>
      </c>
      <c r="B1416" s="37" t="s">
        <v>1336</v>
      </c>
      <c r="C1416" s="37" t="n">
        <v>202603</v>
      </c>
      <c r="D1416" s="37" t="s">
        <v>65</v>
      </c>
      <c r="E1416" s="37" t="s">
        <v>100</v>
      </c>
      <c r="F1416" s="37" t="s">
        <v>201</v>
      </c>
      <c r="G1416" s="37" t="s">
        <v>358</v>
      </c>
      <c r="H1416" s="37" t="s">
        <v>1019</v>
      </c>
      <c r="I1416" s="37" t="s">
        <v>646</v>
      </c>
      <c r="J1416" s="37" t="s">
        <v>1338</v>
      </c>
      <c r="K1416" s="45" t="n">
        <v>0</v>
      </c>
      <c r="L1416" s="46" t="n">
        <v>9966.71</v>
      </c>
    </row>
    <row r="1417" customFormat="false" ht="15" hidden="false" customHeight="false" outlineLevel="0" collapsed="false">
      <c r="A1417" s="37" t="n">
        <v>502216</v>
      </c>
      <c r="B1417" s="37" t="s">
        <v>1336</v>
      </c>
      <c r="C1417" s="37" t="n">
        <v>202603</v>
      </c>
      <c r="D1417" s="37" t="s">
        <v>65</v>
      </c>
      <c r="E1417" s="37" t="s">
        <v>105</v>
      </c>
      <c r="F1417" s="37" t="s">
        <v>201</v>
      </c>
      <c r="G1417" s="37" t="s">
        <v>358</v>
      </c>
      <c r="H1417" s="37" t="s">
        <v>1346</v>
      </c>
      <c r="I1417" s="37" t="s">
        <v>934</v>
      </c>
      <c r="J1417" s="37" t="s">
        <v>1338</v>
      </c>
      <c r="K1417" s="45" t="n">
        <v>0</v>
      </c>
      <c r="L1417" s="46" t="n">
        <v>241056.26</v>
      </c>
    </row>
    <row r="1418" customFormat="false" ht="15" hidden="false" customHeight="false" outlineLevel="0" collapsed="false">
      <c r="A1418" s="37" t="n">
        <v>502253</v>
      </c>
      <c r="B1418" s="37" t="s">
        <v>1336</v>
      </c>
      <c r="C1418" s="37" t="n">
        <v>202603</v>
      </c>
      <c r="D1418" s="37" t="s">
        <v>65</v>
      </c>
      <c r="E1418" s="37" t="s">
        <v>110</v>
      </c>
      <c r="F1418" s="37" t="s">
        <v>201</v>
      </c>
      <c r="G1418" s="37" t="s">
        <v>358</v>
      </c>
      <c r="H1418" s="37" t="s">
        <v>1347</v>
      </c>
      <c r="I1418" s="37" t="s">
        <v>1181</v>
      </c>
      <c r="J1418" s="37" t="s">
        <v>1338</v>
      </c>
      <c r="K1418" s="45" t="n">
        <v>0</v>
      </c>
      <c r="L1418" s="46" t="n">
        <v>8096.53</v>
      </c>
    </row>
    <row r="1419" customFormat="false" ht="15" hidden="false" customHeight="false" outlineLevel="0" collapsed="false">
      <c r="A1419" s="37" t="n">
        <v>502260</v>
      </c>
      <c r="B1419" s="37" t="s">
        <v>1336</v>
      </c>
      <c r="C1419" s="37" t="n">
        <v>202603</v>
      </c>
      <c r="D1419" s="37" t="s">
        <v>65</v>
      </c>
      <c r="E1419" s="37" t="s">
        <v>111</v>
      </c>
      <c r="F1419" s="37" t="s">
        <v>201</v>
      </c>
      <c r="G1419" s="37" t="s">
        <v>358</v>
      </c>
      <c r="H1419" s="37" t="s">
        <v>1348</v>
      </c>
      <c r="I1419" s="37" t="s">
        <v>1017</v>
      </c>
      <c r="J1419" s="37" t="s">
        <v>1338</v>
      </c>
      <c r="K1419" s="45" t="n">
        <v>0</v>
      </c>
      <c r="L1419" s="46" t="n">
        <v>6192.82</v>
      </c>
    </row>
    <row r="1420" customFormat="false" ht="15" hidden="false" customHeight="false" outlineLevel="0" collapsed="false">
      <c r="A1420" s="37" t="n">
        <v>502337</v>
      </c>
      <c r="B1420" s="37" t="s">
        <v>1336</v>
      </c>
      <c r="C1420" s="37" t="n">
        <v>202603</v>
      </c>
      <c r="D1420" s="37" t="s">
        <v>66</v>
      </c>
      <c r="E1420" s="37" t="s">
        <v>100</v>
      </c>
      <c r="F1420" s="37" t="s">
        <v>201</v>
      </c>
      <c r="G1420" s="37" t="s">
        <v>358</v>
      </c>
      <c r="H1420" s="37" t="s">
        <v>1185</v>
      </c>
      <c r="I1420" s="37" t="s">
        <v>370</v>
      </c>
      <c r="J1420" s="37" t="s">
        <v>1338</v>
      </c>
      <c r="K1420" s="45" t="n">
        <v>0</v>
      </c>
      <c r="L1420" s="46" t="n">
        <v>224608.86</v>
      </c>
    </row>
    <row r="1421" customFormat="false" ht="15" hidden="false" customHeight="false" outlineLevel="0" collapsed="false">
      <c r="A1421" s="37" t="n">
        <v>502372</v>
      </c>
      <c r="B1421" s="37" t="s">
        <v>1336</v>
      </c>
      <c r="C1421" s="37" t="n">
        <v>202603</v>
      </c>
      <c r="D1421" s="37" t="s">
        <v>66</v>
      </c>
      <c r="E1421" s="37" t="s">
        <v>102</v>
      </c>
      <c r="F1421" s="37" t="s">
        <v>205</v>
      </c>
      <c r="G1421" s="37" t="s">
        <v>358</v>
      </c>
      <c r="H1421" s="37" t="s">
        <v>1323</v>
      </c>
      <c r="I1421" s="37" t="s">
        <v>715</v>
      </c>
      <c r="J1421" s="37" t="s">
        <v>1349</v>
      </c>
      <c r="K1421" s="45" t="n">
        <v>0</v>
      </c>
      <c r="L1421" s="46" t="n">
        <v>8106.53</v>
      </c>
    </row>
    <row r="1422" customFormat="false" ht="15" hidden="false" customHeight="false" outlineLevel="0" collapsed="false">
      <c r="A1422" s="37" t="n">
        <v>502472</v>
      </c>
      <c r="B1422" s="37" t="s">
        <v>1336</v>
      </c>
      <c r="C1422" s="37" t="n">
        <v>202603</v>
      </c>
      <c r="D1422" s="37" t="s">
        <v>67</v>
      </c>
      <c r="E1422" s="37" t="s">
        <v>100</v>
      </c>
      <c r="F1422" s="37" t="s">
        <v>201</v>
      </c>
      <c r="G1422" s="37" t="s">
        <v>358</v>
      </c>
      <c r="H1422" s="37" t="s">
        <v>1350</v>
      </c>
      <c r="I1422" s="37" t="s">
        <v>646</v>
      </c>
      <c r="J1422" s="37" t="s">
        <v>1338</v>
      </c>
      <c r="K1422" s="45" t="n">
        <v>0</v>
      </c>
      <c r="L1422" s="46" t="n">
        <v>129778.99</v>
      </c>
    </row>
    <row r="1423" customFormat="false" ht="15" hidden="false" customHeight="false" outlineLevel="0" collapsed="false">
      <c r="A1423" s="37" t="n">
        <v>500391</v>
      </c>
      <c r="B1423" s="37" t="s">
        <v>1351</v>
      </c>
      <c r="C1423" s="37" t="n">
        <v>202603</v>
      </c>
      <c r="D1423" s="37" t="s">
        <v>58</v>
      </c>
      <c r="E1423" s="37" t="s">
        <v>108</v>
      </c>
      <c r="F1423" s="37" t="s">
        <v>205</v>
      </c>
      <c r="G1423" s="37" t="s">
        <v>358</v>
      </c>
      <c r="H1423" s="37" t="s">
        <v>885</v>
      </c>
      <c r="I1423" s="37" t="s">
        <v>886</v>
      </c>
      <c r="J1423" s="37" t="s">
        <v>1352</v>
      </c>
      <c r="K1423" s="45" t="n">
        <v>0</v>
      </c>
      <c r="L1423" s="46" t="n">
        <v>80485.19</v>
      </c>
    </row>
    <row r="1424" customFormat="false" ht="15" hidden="false" customHeight="false" outlineLevel="0" collapsed="false">
      <c r="A1424" s="37" t="n">
        <v>501178</v>
      </c>
      <c r="B1424" s="37" t="s">
        <v>1351</v>
      </c>
      <c r="C1424" s="37" t="n">
        <v>202603</v>
      </c>
      <c r="D1424" s="37" t="s">
        <v>61</v>
      </c>
      <c r="E1424" s="37" t="s">
        <v>98</v>
      </c>
      <c r="F1424" s="37" t="s">
        <v>196</v>
      </c>
      <c r="G1424" s="37" t="s">
        <v>358</v>
      </c>
      <c r="H1424" s="37" t="s">
        <v>359</v>
      </c>
      <c r="I1424" s="37" t="s">
        <v>360</v>
      </c>
      <c r="J1424" s="37" t="s">
        <v>1353</v>
      </c>
      <c r="K1424" s="45" t="n">
        <v>0</v>
      </c>
      <c r="L1424" s="46" t="n">
        <v>6058.74</v>
      </c>
    </row>
    <row r="1425" customFormat="false" ht="15" hidden="false" customHeight="false" outlineLevel="0" collapsed="false">
      <c r="A1425" s="37" t="n">
        <v>501179</v>
      </c>
      <c r="B1425" s="37" t="s">
        <v>1351</v>
      </c>
      <c r="C1425" s="37" t="n">
        <v>202603</v>
      </c>
      <c r="D1425" s="37" t="s">
        <v>61</v>
      </c>
      <c r="E1425" s="37" t="s">
        <v>98</v>
      </c>
      <c r="F1425" s="37" t="s">
        <v>196</v>
      </c>
      <c r="G1425" s="37" t="s">
        <v>358</v>
      </c>
      <c r="H1425" s="37" t="s">
        <v>359</v>
      </c>
      <c r="I1425" s="37" t="s">
        <v>360</v>
      </c>
      <c r="J1425" s="37" t="s">
        <v>1354</v>
      </c>
      <c r="K1425" s="45" t="n">
        <v>0</v>
      </c>
      <c r="L1425" s="46" t="n">
        <v>8674.93</v>
      </c>
    </row>
    <row r="1426" customFormat="false" ht="15" hidden="false" customHeight="false" outlineLevel="0" collapsed="false">
      <c r="A1426" s="37" t="n">
        <v>500095</v>
      </c>
      <c r="B1426" s="37" t="s">
        <v>1355</v>
      </c>
      <c r="C1426" s="37" t="n">
        <v>202603</v>
      </c>
      <c r="D1426" s="37" t="s">
        <v>58</v>
      </c>
      <c r="E1426" s="37" t="s">
        <v>97</v>
      </c>
      <c r="F1426" s="37" t="s">
        <v>194</v>
      </c>
      <c r="G1426" s="37" t="s">
        <v>354</v>
      </c>
      <c r="H1426" s="37"/>
      <c r="I1426" s="37" t="s">
        <v>355</v>
      </c>
      <c r="J1426" s="37" t="s">
        <v>1356</v>
      </c>
      <c r="K1426" s="45" t="n">
        <v>152.8</v>
      </c>
      <c r="L1426" s="46" t="n">
        <v>14058.21</v>
      </c>
    </row>
    <row r="1427" customFormat="false" ht="15" hidden="false" customHeight="false" outlineLevel="0" collapsed="false">
      <c r="A1427" s="37" t="n">
        <v>500369</v>
      </c>
      <c r="B1427" s="37" t="s">
        <v>1355</v>
      </c>
      <c r="C1427" s="37" t="n">
        <v>202603</v>
      </c>
      <c r="D1427" s="37" t="s">
        <v>58</v>
      </c>
      <c r="E1427" s="37" t="s">
        <v>106</v>
      </c>
      <c r="F1427" s="37" t="s">
        <v>194</v>
      </c>
      <c r="G1427" s="37" t="s">
        <v>354</v>
      </c>
      <c r="H1427" s="37"/>
      <c r="I1427" s="37" t="s">
        <v>355</v>
      </c>
      <c r="J1427" s="37" t="s">
        <v>1356</v>
      </c>
      <c r="K1427" s="45" t="n">
        <v>26.8</v>
      </c>
      <c r="L1427" s="46" t="n">
        <v>1904.43</v>
      </c>
    </row>
    <row r="1428" customFormat="false" ht="15" hidden="false" customHeight="false" outlineLevel="0" collapsed="false">
      <c r="A1428" s="37" t="n">
        <v>500503</v>
      </c>
      <c r="B1428" s="37" t="s">
        <v>1355</v>
      </c>
      <c r="C1428" s="37" t="n">
        <v>202603</v>
      </c>
      <c r="D1428" s="37" t="s">
        <v>59</v>
      </c>
      <c r="E1428" s="37" t="s">
        <v>97</v>
      </c>
      <c r="F1428" s="37" t="s">
        <v>194</v>
      </c>
      <c r="G1428" s="37" t="s">
        <v>354</v>
      </c>
      <c r="H1428" s="37"/>
      <c r="I1428" s="37" t="s">
        <v>355</v>
      </c>
      <c r="J1428" s="37" t="s">
        <v>1356</v>
      </c>
      <c r="K1428" s="45" t="n">
        <v>606.2</v>
      </c>
      <c r="L1428" s="46" t="n">
        <v>55771.08</v>
      </c>
    </row>
    <row r="1429" customFormat="false" ht="15" hidden="false" customHeight="false" outlineLevel="0" collapsed="false">
      <c r="A1429" s="37" t="n">
        <v>500705</v>
      </c>
      <c r="B1429" s="37" t="s">
        <v>1355</v>
      </c>
      <c r="C1429" s="37" t="n">
        <v>202603</v>
      </c>
      <c r="D1429" s="37" t="s">
        <v>59</v>
      </c>
      <c r="E1429" s="37" t="s">
        <v>106</v>
      </c>
      <c r="F1429" s="37" t="s">
        <v>194</v>
      </c>
      <c r="G1429" s="37" t="s">
        <v>354</v>
      </c>
      <c r="H1429" s="37"/>
      <c r="I1429" s="37" t="s">
        <v>355</v>
      </c>
      <c r="J1429" s="37" t="s">
        <v>1356</v>
      </c>
      <c r="K1429" s="45" t="n">
        <v>218.1</v>
      </c>
      <c r="L1429" s="46" t="n">
        <v>15487.63</v>
      </c>
    </row>
    <row r="1430" customFormat="false" ht="15" hidden="false" customHeight="false" outlineLevel="0" collapsed="false">
      <c r="A1430" s="37" t="n">
        <v>500832</v>
      </c>
      <c r="B1430" s="37" t="s">
        <v>1355</v>
      </c>
      <c r="C1430" s="37" t="n">
        <v>202603</v>
      </c>
      <c r="D1430" s="37" t="s">
        <v>60</v>
      </c>
      <c r="E1430" s="37" t="s">
        <v>97</v>
      </c>
      <c r="F1430" s="37" t="s">
        <v>194</v>
      </c>
      <c r="G1430" s="37" t="s">
        <v>354</v>
      </c>
      <c r="H1430" s="37"/>
      <c r="I1430" s="37" t="s">
        <v>355</v>
      </c>
      <c r="J1430" s="37" t="s">
        <v>1356</v>
      </c>
      <c r="K1430" s="45" t="n">
        <v>279.8</v>
      </c>
      <c r="L1430" s="46" t="n">
        <v>25739.93</v>
      </c>
    </row>
    <row r="1431" customFormat="false" ht="15" hidden="false" customHeight="false" outlineLevel="0" collapsed="false">
      <c r="A1431" s="37" t="n">
        <v>501025</v>
      </c>
      <c r="B1431" s="37" t="s">
        <v>1355</v>
      </c>
      <c r="C1431" s="37" t="n">
        <v>202603</v>
      </c>
      <c r="D1431" s="37" t="s">
        <v>60</v>
      </c>
      <c r="E1431" s="37" t="s">
        <v>106</v>
      </c>
      <c r="F1431" s="37" t="s">
        <v>194</v>
      </c>
      <c r="G1431" s="37" t="s">
        <v>354</v>
      </c>
      <c r="H1431" s="37"/>
      <c r="I1431" s="37" t="s">
        <v>355</v>
      </c>
      <c r="J1431" s="37" t="s">
        <v>1356</v>
      </c>
      <c r="K1431" s="45" t="n">
        <v>230.9</v>
      </c>
      <c r="L1431" s="46" t="n">
        <v>16396.62</v>
      </c>
    </row>
    <row r="1432" customFormat="false" ht="15" hidden="false" customHeight="false" outlineLevel="0" collapsed="false">
      <c r="A1432" s="37" t="n">
        <v>501139</v>
      </c>
      <c r="B1432" s="37" t="s">
        <v>1355</v>
      </c>
      <c r="C1432" s="37" t="n">
        <v>202603</v>
      </c>
      <c r="D1432" s="37" t="s">
        <v>61</v>
      </c>
      <c r="E1432" s="37" t="s">
        <v>97</v>
      </c>
      <c r="F1432" s="37" t="s">
        <v>194</v>
      </c>
      <c r="G1432" s="37" t="s">
        <v>354</v>
      </c>
      <c r="H1432" s="37"/>
      <c r="I1432" s="37" t="s">
        <v>355</v>
      </c>
      <c r="J1432" s="37" t="s">
        <v>1356</v>
      </c>
      <c r="K1432" s="45" t="n">
        <v>155.8</v>
      </c>
      <c r="L1432" s="46" t="n">
        <v>14335.91</v>
      </c>
    </row>
    <row r="1433" customFormat="false" ht="15" hidden="false" customHeight="false" outlineLevel="0" collapsed="false">
      <c r="A1433" s="37" t="n">
        <v>501299</v>
      </c>
      <c r="B1433" s="37" t="s">
        <v>1355</v>
      </c>
      <c r="C1433" s="37" t="n">
        <v>202603</v>
      </c>
      <c r="D1433" s="37" t="s">
        <v>61</v>
      </c>
      <c r="E1433" s="37" t="s">
        <v>106</v>
      </c>
      <c r="F1433" s="37" t="s">
        <v>194</v>
      </c>
      <c r="G1433" s="37" t="s">
        <v>354</v>
      </c>
      <c r="H1433" s="37"/>
      <c r="I1433" s="37" t="s">
        <v>355</v>
      </c>
      <c r="J1433" s="37" t="s">
        <v>1356</v>
      </c>
      <c r="K1433" s="45" t="n">
        <v>61.4</v>
      </c>
      <c r="L1433" s="46" t="n">
        <v>4359.45</v>
      </c>
    </row>
    <row r="1434" customFormat="false" ht="15" hidden="false" customHeight="false" outlineLevel="0" collapsed="false">
      <c r="A1434" s="37" t="n">
        <v>501400</v>
      </c>
      <c r="B1434" s="37" t="s">
        <v>1355</v>
      </c>
      <c r="C1434" s="37" t="n">
        <v>202603</v>
      </c>
      <c r="D1434" s="37" t="s">
        <v>62</v>
      </c>
      <c r="E1434" s="37" t="s">
        <v>97</v>
      </c>
      <c r="F1434" s="37" t="s">
        <v>194</v>
      </c>
      <c r="G1434" s="37" t="s">
        <v>354</v>
      </c>
      <c r="H1434" s="37"/>
      <c r="I1434" s="37" t="s">
        <v>355</v>
      </c>
      <c r="J1434" s="37" t="s">
        <v>1356</v>
      </c>
      <c r="K1434" s="45" t="n">
        <v>364.6</v>
      </c>
      <c r="L1434" s="46" t="n">
        <v>33547.43</v>
      </c>
    </row>
    <row r="1435" customFormat="false" ht="15" hidden="false" customHeight="false" outlineLevel="0" collapsed="false">
      <c r="A1435" s="37" t="n">
        <v>501504</v>
      </c>
      <c r="B1435" s="37" t="s">
        <v>1355</v>
      </c>
      <c r="C1435" s="37" t="n">
        <v>202603</v>
      </c>
      <c r="D1435" s="37" t="s">
        <v>62</v>
      </c>
      <c r="E1435" s="37" t="s">
        <v>101</v>
      </c>
      <c r="F1435" s="37" t="s">
        <v>194</v>
      </c>
      <c r="G1435" s="37" t="s">
        <v>354</v>
      </c>
      <c r="H1435" s="37"/>
      <c r="I1435" s="37" t="s">
        <v>355</v>
      </c>
      <c r="J1435" s="37" t="s">
        <v>1356</v>
      </c>
      <c r="K1435" s="45" t="n">
        <v>485</v>
      </c>
      <c r="L1435" s="46" t="n">
        <v>35888.94</v>
      </c>
    </row>
    <row r="1436" customFormat="false" ht="15" hidden="false" customHeight="false" outlineLevel="0" collapsed="false">
      <c r="A1436" s="37" t="n">
        <v>501646</v>
      </c>
      <c r="B1436" s="37" t="s">
        <v>1355</v>
      </c>
      <c r="C1436" s="37" t="n">
        <v>202603</v>
      </c>
      <c r="D1436" s="37" t="s">
        <v>63</v>
      </c>
      <c r="E1436" s="37" t="s">
        <v>97</v>
      </c>
      <c r="F1436" s="37" t="s">
        <v>194</v>
      </c>
      <c r="G1436" s="37" t="s">
        <v>354</v>
      </c>
      <c r="H1436" s="37"/>
      <c r="I1436" s="37" t="s">
        <v>355</v>
      </c>
      <c r="J1436" s="37" t="s">
        <v>1356</v>
      </c>
      <c r="K1436" s="45" t="n">
        <v>311.1</v>
      </c>
      <c r="L1436" s="46" t="n">
        <v>28618.89</v>
      </c>
    </row>
    <row r="1437" customFormat="false" ht="15" hidden="false" customHeight="false" outlineLevel="0" collapsed="false">
      <c r="A1437" s="37" t="n">
        <v>501750</v>
      </c>
      <c r="B1437" s="37" t="s">
        <v>1355</v>
      </c>
      <c r="C1437" s="37" t="n">
        <v>202603</v>
      </c>
      <c r="D1437" s="37" t="s">
        <v>63</v>
      </c>
      <c r="E1437" s="37" t="s">
        <v>101</v>
      </c>
      <c r="F1437" s="37" t="s">
        <v>194</v>
      </c>
      <c r="G1437" s="37" t="s">
        <v>354</v>
      </c>
      <c r="H1437" s="37"/>
      <c r="I1437" s="37" t="s">
        <v>355</v>
      </c>
      <c r="J1437" s="37" t="s">
        <v>1356</v>
      </c>
      <c r="K1437" s="45" t="n">
        <v>61.4</v>
      </c>
      <c r="L1437" s="46" t="n">
        <v>4546.59</v>
      </c>
    </row>
    <row r="1438" customFormat="false" ht="15" hidden="false" customHeight="false" outlineLevel="0" collapsed="false">
      <c r="A1438" s="37" t="n">
        <v>501796</v>
      </c>
      <c r="B1438" s="37" t="s">
        <v>1355</v>
      </c>
      <c r="C1438" s="37" t="n">
        <v>202603</v>
      </c>
      <c r="D1438" s="37" t="s">
        <v>63</v>
      </c>
      <c r="E1438" s="37" t="s">
        <v>106</v>
      </c>
      <c r="F1438" s="37" t="s">
        <v>194</v>
      </c>
      <c r="G1438" s="37" t="s">
        <v>354</v>
      </c>
      <c r="H1438" s="37"/>
      <c r="I1438" s="37" t="s">
        <v>355</v>
      </c>
      <c r="J1438" s="37" t="s">
        <v>1356</v>
      </c>
      <c r="K1438" s="45" t="n">
        <v>59</v>
      </c>
      <c r="L1438" s="46" t="n">
        <v>4186.85</v>
      </c>
    </row>
    <row r="1439" customFormat="false" ht="15" hidden="false" customHeight="false" outlineLevel="0" collapsed="false">
      <c r="A1439" s="37" t="n">
        <v>501880</v>
      </c>
      <c r="B1439" s="37" t="s">
        <v>1355</v>
      </c>
      <c r="C1439" s="37" t="n">
        <v>202603</v>
      </c>
      <c r="D1439" s="37" t="s">
        <v>64</v>
      </c>
      <c r="E1439" s="37" t="s">
        <v>97</v>
      </c>
      <c r="F1439" s="37" t="s">
        <v>194</v>
      </c>
      <c r="G1439" s="37" t="s">
        <v>354</v>
      </c>
      <c r="H1439" s="37"/>
      <c r="I1439" s="37" t="s">
        <v>355</v>
      </c>
      <c r="J1439" s="37" t="s">
        <v>1356</v>
      </c>
      <c r="K1439" s="45" t="n">
        <v>147.6</v>
      </c>
      <c r="L1439" s="46" t="n">
        <v>13577.4</v>
      </c>
    </row>
    <row r="1440" customFormat="false" ht="15" hidden="false" customHeight="false" outlineLevel="0" collapsed="false">
      <c r="A1440" s="37" t="n">
        <v>501970</v>
      </c>
      <c r="B1440" s="37" t="s">
        <v>1355</v>
      </c>
      <c r="C1440" s="37" t="n">
        <v>202603</v>
      </c>
      <c r="D1440" s="37" t="s">
        <v>64</v>
      </c>
      <c r="E1440" s="37" t="s">
        <v>101</v>
      </c>
      <c r="F1440" s="37" t="s">
        <v>194</v>
      </c>
      <c r="G1440" s="37" t="s">
        <v>354</v>
      </c>
      <c r="H1440" s="37"/>
      <c r="I1440" s="37" t="s">
        <v>355</v>
      </c>
      <c r="J1440" s="37" t="s">
        <v>1356</v>
      </c>
      <c r="K1440" s="45" t="n">
        <v>606.2</v>
      </c>
      <c r="L1440" s="46" t="n">
        <v>44859.35</v>
      </c>
    </row>
    <row r="1441" customFormat="false" ht="15" hidden="false" customHeight="false" outlineLevel="0" collapsed="false">
      <c r="A1441" s="37" t="n">
        <v>501993</v>
      </c>
      <c r="B1441" s="37" t="s">
        <v>1355</v>
      </c>
      <c r="C1441" s="37" t="n">
        <v>202603</v>
      </c>
      <c r="D1441" s="37" t="s">
        <v>64</v>
      </c>
      <c r="E1441" s="37" t="s">
        <v>102</v>
      </c>
      <c r="F1441" s="37" t="s">
        <v>205</v>
      </c>
      <c r="G1441" s="37" t="s">
        <v>358</v>
      </c>
      <c r="H1441" s="37" t="s">
        <v>947</v>
      </c>
      <c r="I1441" s="37" t="s">
        <v>811</v>
      </c>
      <c r="J1441" s="37" t="s">
        <v>1357</v>
      </c>
      <c r="K1441" s="45" t="n">
        <v>0</v>
      </c>
      <c r="L1441" s="46" t="n">
        <v>103186.98</v>
      </c>
    </row>
    <row r="1442" customFormat="false" ht="15" hidden="false" customHeight="false" outlineLevel="0" collapsed="false">
      <c r="A1442" s="37" t="n">
        <v>502096</v>
      </c>
      <c r="B1442" s="37" t="s">
        <v>1355</v>
      </c>
      <c r="C1442" s="37" t="n">
        <v>202603</v>
      </c>
      <c r="D1442" s="37" t="s">
        <v>65</v>
      </c>
      <c r="E1442" s="37" t="s">
        <v>97</v>
      </c>
      <c r="F1442" s="37" t="s">
        <v>194</v>
      </c>
      <c r="G1442" s="37" t="s">
        <v>354</v>
      </c>
      <c r="H1442" s="37"/>
      <c r="I1442" s="37" t="s">
        <v>355</v>
      </c>
      <c r="J1442" s="37" t="s">
        <v>1356</v>
      </c>
      <c r="K1442" s="45" t="n">
        <v>257.3</v>
      </c>
      <c r="L1442" s="46" t="n">
        <v>23667.64</v>
      </c>
    </row>
    <row r="1443" customFormat="false" ht="15" hidden="false" customHeight="false" outlineLevel="0" collapsed="false">
      <c r="A1443" s="37" t="n">
        <v>502175</v>
      </c>
      <c r="B1443" s="37" t="s">
        <v>1355</v>
      </c>
      <c r="C1443" s="37" t="n">
        <v>202603</v>
      </c>
      <c r="D1443" s="37" t="s">
        <v>65</v>
      </c>
      <c r="E1443" s="37" t="s">
        <v>101</v>
      </c>
      <c r="F1443" s="37" t="s">
        <v>194</v>
      </c>
      <c r="G1443" s="37" t="s">
        <v>354</v>
      </c>
      <c r="H1443" s="37"/>
      <c r="I1443" s="37" t="s">
        <v>355</v>
      </c>
      <c r="J1443" s="37" t="s">
        <v>1356</v>
      </c>
      <c r="K1443" s="45" t="n">
        <v>708.6</v>
      </c>
      <c r="L1443" s="46" t="n">
        <v>52438.74</v>
      </c>
    </row>
    <row r="1444" customFormat="false" ht="15" hidden="false" customHeight="false" outlineLevel="0" collapsed="false">
      <c r="A1444" s="37" t="n">
        <v>502279</v>
      </c>
      <c r="B1444" s="37" t="s">
        <v>1355</v>
      </c>
      <c r="C1444" s="37" t="n">
        <v>202603</v>
      </c>
      <c r="D1444" s="37" t="s">
        <v>66</v>
      </c>
      <c r="E1444" s="37" t="s">
        <v>97</v>
      </c>
      <c r="F1444" s="37" t="s">
        <v>194</v>
      </c>
      <c r="G1444" s="37" t="s">
        <v>354</v>
      </c>
      <c r="H1444" s="37"/>
      <c r="I1444" s="37" t="s">
        <v>355</v>
      </c>
      <c r="J1444" s="37" t="s">
        <v>1356</v>
      </c>
      <c r="K1444" s="45" t="n">
        <v>155.9</v>
      </c>
      <c r="L1444" s="46" t="n">
        <v>14339.16</v>
      </c>
    </row>
    <row r="1445" customFormat="false" ht="15" hidden="false" customHeight="false" outlineLevel="0" collapsed="false">
      <c r="A1445" s="37" t="n">
        <v>502344</v>
      </c>
      <c r="B1445" s="37" t="s">
        <v>1355</v>
      </c>
      <c r="C1445" s="37" t="n">
        <v>202603</v>
      </c>
      <c r="D1445" s="37" t="s">
        <v>66</v>
      </c>
      <c r="E1445" s="37" t="s">
        <v>101</v>
      </c>
      <c r="F1445" s="37" t="s">
        <v>194</v>
      </c>
      <c r="G1445" s="37" t="s">
        <v>354</v>
      </c>
      <c r="H1445" s="37"/>
      <c r="I1445" s="37" t="s">
        <v>355</v>
      </c>
      <c r="J1445" s="37" t="s">
        <v>1356</v>
      </c>
      <c r="K1445" s="45" t="n">
        <v>378.4</v>
      </c>
      <c r="L1445" s="46" t="n">
        <v>27999.23</v>
      </c>
    </row>
    <row r="1446" customFormat="false" ht="15" hidden="false" customHeight="false" outlineLevel="0" collapsed="false">
      <c r="A1446" s="37" t="n">
        <v>502422</v>
      </c>
      <c r="B1446" s="37" t="s">
        <v>1355</v>
      </c>
      <c r="C1446" s="37" t="n">
        <v>202603</v>
      </c>
      <c r="D1446" s="37" t="s">
        <v>67</v>
      </c>
      <c r="E1446" s="37" t="s">
        <v>97</v>
      </c>
      <c r="F1446" s="37" t="s">
        <v>194</v>
      </c>
      <c r="G1446" s="37" t="s">
        <v>354</v>
      </c>
      <c r="H1446" s="37"/>
      <c r="I1446" s="37" t="s">
        <v>355</v>
      </c>
      <c r="J1446" s="37" t="s">
        <v>1356</v>
      </c>
      <c r="K1446" s="45" t="n">
        <v>54.5</v>
      </c>
      <c r="L1446" s="46" t="n">
        <v>5013.03</v>
      </c>
    </row>
    <row r="1447" customFormat="false" ht="15" hidden="false" customHeight="false" outlineLevel="0" collapsed="false">
      <c r="A1447" s="37" t="n">
        <v>500195</v>
      </c>
      <c r="B1447" s="37" t="s">
        <v>1358</v>
      </c>
      <c r="C1447" s="37" t="n">
        <v>202603</v>
      </c>
      <c r="D1447" s="37" t="s">
        <v>58</v>
      </c>
      <c r="E1447" s="37" t="s">
        <v>99</v>
      </c>
      <c r="F1447" s="37" t="s">
        <v>198</v>
      </c>
      <c r="G1447" s="37" t="s">
        <v>375</v>
      </c>
      <c r="H1447" s="37"/>
      <c r="I1447" s="37" t="s">
        <v>376</v>
      </c>
      <c r="J1447" s="37" t="s">
        <v>377</v>
      </c>
      <c r="K1447" s="45" t="n">
        <v>0</v>
      </c>
      <c r="L1447" s="46" t="n">
        <v>6900.01</v>
      </c>
    </row>
    <row r="1448" customFormat="false" ht="15" hidden="false" customHeight="false" outlineLevel="0" collapsed="false">
      <c r="A1448" s="37" t="n">
        <v>500582</v>
      </c>
      <c r="B1448" s="37" t="s">
        <v>1358</v>
      </c>
      <c r="C1448" s="37" t="n">
        <v>202603</v>
      </c>
      <c r="D1448" s="37" t="s">
        <v>59</v>
      </c>
      <c r="E1448" s="37" t="s">
        <v>99</v>
      </c>
      <c r="F1448" s="37" t="s">
        <v>198</v>
      </c>
      <c r="G1448" s="37" t="s">
        <v>375</v>
      </c>
      <c r="H1448" s="37"/>
      <c r="I1448" s="37" t="s">
        <v>376</v>
      </c>
      <c r="J1448" s="37" t="s">
        <v>377</v>
      </c>
      <c r="K1448" s="45" t="n">
        <v>0</v>
      </c>
      <c r="L1448" s="46" t="n">
        <v>59296.82</v>
      </c>
    </row>
    <row r="1449" customFormat="false" ht="15" hidden="false" customHeight="false" outlineLevel="0" collapsed="false">
      <c r="A1449" s="37" t="n">
        <v>500904</v>
      </c>
      <c r="B1449" s="37" t="s">
        <v>1358</v>
      </c>
      <c r="C1449" s="37" t="n">
        <v>202603</v>
      </c>
      <c r="D1449" s="37" t="s">
        <v>60</v>
      </c>
      <c r="E1449" s="37" t="s">
        <v>99</v>
      </c>
      <c r="F1449" s="37" t="s">
        <v>198</v>
      </c>
      <c r="G1449" s="37" t="s">
        <v>375</v>
      </c>
      <c r="H1449" s="37"/>
      <c r="I1449" s="37" t="s">
        <v>376</v>
      </c>
      <c r="J1449" s="37" t="s">
        <v>377</v>
      </c>
      <c r="K1449" s="45" t="n">
        <v>0</v>
      </c>
      <c r="L1449" s="46" t="n">
        <v>33303.98</v>
      </c>
    </row>
    <row r="1450" customFormat="false" ht="15" hidden="false" customHeight="false" outlineLevel="0" collapsed="false">
      <c r="A1450" s="37" t="n">
        <v>501204</v>
      </c>
      <c r="B1450" s="37" t="s">
        <v>1358</v>
      </c>
      <c r="C1450" s="37" t="n">
        <v>202603</v>
      </c>
      <c r="D1450" s="37" t="s">
        <v>61</v>
      </c>
      <c r="E1450" s="37" t="s">
        <v>99</v>
      </c>
      <c r="F1450" s="37" t="s">
        <v>198</v>
      </c>
      <c r="G1450" s="37" t="s">
        <v>375</v>
      </c>
      <c r="H1450" s="37"/>
      <c r="I1450" s="37" t="s">
        <v>376</v>
      </c>
      <c r="J1450" s="37" t="s">
        <v>377</v>
      </c>
      <c r="K1450" s="45" t="n">
        <v>0</v>
      </c>
      <c r="L1450" s="46" t="n">
        <v>39548.78</v>
      </c>
    </row>
    <row r="1451" customFormat="false" ht="15" hidden="false" customHeight="false" outlineLevel="0" collapsed="false">
      <c r="A1451" s="37" t="n">
        <v>501462</v>
      </c>
      <c r="B1451" s="37" t="s">
        <v>1358</v>
      </c>
      <c r="C1451" s="37" t="n">
        <v>202603</v>
      </c>
      <c r="D1451" s="37" t="s">
        <v>62</v>
      </c>
      <c r="E1451" s="37" t="s">
        <v>99</v>
      </c>
      <c r="F1451" s="37" t="s">
        <v>198</v>
      </c>
      <c r="G1451" s="37" t="s">
        <v>375</v>
      </c>
      <c r="H1451" s="37"/>
      <c r="I1451" s="37" t="s">
        <v>376</v>
      </c>
      <c r="J1451" s="37" t="s">
        <v>377</v>
      </c>
      <c r="K1451" s="45" t="n">
        <v>0</v>
      </c>
      <c r="L1451" s="46" t="n">
        <v>51557.58</v>
      </c>
    </row>
    <row r="1452" customFormat="false" ht="15" hidden="false" customHeight="false" outlineLevel="0" collapsed="false">
      <c r="A1452" s="37" t="n">
        <v>501713</v>
      </c>
      <c r="B1452" s="37" t="s">
        <v>1358</v>
      </c>
      <c r="C1452" s="37" t="n">
        <v>202603</v>
      </c>
      <c r="D1452" s="37" t="s">
        <v>63</v>
      </c>
      <c r="E1452" s="37" t="s">
        <v>99</v>
      </c>
      <c r="F1452" s="37" t="s">
        <v>198</v>
      </c>
      <c r="G1452" s="37" t="s">
        <v>375</v>
      </c>
      <c r="H1452" s="37"/>
      <c r="I1452" s="37" t="s">
        <v>376</v>
      </c>
      <c r="J1452" s="37" t="s">
        <v>377</v>
      </c>
      <c r="K1452" s="45" t="n">
        <v>0</v>
      </c>
      <c r="L1452" s="46" t="n">
        <v>35988.19</v>
      </c>
    </row>
    <row r="1453" customFormat="false" ht="15" hidden="false" customHeight="false" outlineLevel="0" collapsed="false">
      <c r="A1453" s="37" t="n">
        <v>501938</v>
      </c>
      <c r="B1453" s="37" t="s">
        <v>1358</v>
      </c>
      <c r="C1453" s="37" t="n">
        <v>202603</v>
      </c>
      <c r="D1453" s="37" t="s">
        <v>64</v>
      </c>
      <c r="E1453" s="37" t="s">
        <v>99</v>
      </c>
      <c r="F1453" s="37" t="s">
        <v>198</v>
      </c>
      <c r="G1453" s="37" t="s">
        <v>375</v>
      </c>
      <c r="H1453" s="37"/>
      <c r="I1453" s="37" t="s">
        <v>376</v>
      </c>
      <c r="J1453" s="37" t="s">
        <v>377</v>
      </c>
      <c r="K1453" s="45" t="n">
        <v>0</v>
      </c>
      <c r="L1453" s="46" t="n">
        <v>24738.69</v>
      </c>
    </row>
    <row r="1454" customFormat="false" ht="15" hidden="false" customHeight="false" outlineLevel="0" collapsed="false">
      <c r="A1454" s="37" t="n">
        <v>502147</v>
      </c>
      <c r="B1454" s="37" t="s">
        <v>1358</v>
      </c>
      <c r="C1454" s="37" t="n">
        <v>202603</v>
      </c>
      <c r="D1454" s="37" t="s">
        <v>65</v>
      </c>
      <c r="E1454" s="37" t="s">
        <v>99</v>
      </c>
      <c r="F1454" s="37" t="s">
        <v>198</v>
      </c>
      <c r="G1454" s="37" t="s">
        <v>375</v>
      </c>
      <c r="H1454" s="37"/>
      <c r="I1454" s="37" t="s">
        <v>376</v>
      </c>
      <c r="J1454" s="37" t="s">
        <v>377</v>
      </c>
      <c r="K1454" s="45" t="n">
        <v>0</v>
      </c>
      <c r="L1454" s="46" t="n">
        <v>61446.71</v>
      </c>
    </row>
    <row r="1455" customFormat="false" ht="15" hidden="false" customHeight="false" outlineLevel="0" collapsed="false">
      <c r="A1455" s="37" t="n">
        <v>502328</v>
      </c>
      <c r="B1455" s="37" t="s">
        <v>1358</v>
      </c>
      <c r="C1455" s="37" t="n">
        <v>202603</v>
      </c>
      <c r="D1455" s="37" t="s">
        <v>66</v>
      </c>
      <c r="E1455" s="37" t="s">
        <v>99</v>
      </c>
      <c r="F1455" s="37" t="s">
        <v>198</v>
      </c>
      <c r="G1455" s="37" t="s">
        <v>375</v>
      </c>
      <c r="H1455" s="37"/>
      <c r="I1455" s="37" t="s">
        <v>376</v>
      </c>
      <c r="J1455" s="37" t="s">
        <v>377</v>
      </c>
      <c r="K1455" s="45" t="n">
        <v>0</v>
      </c>
      <c r="L1455" s="46" t="n">
        <v>19110.93</v>
      </c>
    </row>
    <row r="1456" customFormat="false" ht="15" hidden="false" customHeight="false" outlineLevel="0" collapsed="false">
      <c r="A1456" s="37" t="n">
        <v>502465</v>
      </c>
      <c r="B1456" s="37" t="s">
        <v>1358</v>
      </c>
      <c r="C1456" s="37" t="n">
        <v>202603</v>
      </c>
      <c r="D1456" s="37" t="s">
        <v>67</v>
      </c>
      <c r="E1456" s="37" t="s">
        <v>99</v>
      </c>
      <c r="F1456" s="37" t="s">
        <v>198</v>
      </c>
      <c r="G1456" s="37" t="s">
        <v>375</v>
      </c>
      <c r="H1456" s="37"/>
      <c r="I1456" s="37" t="s">
        <v>376</v>
      </c>
      <c r="J1456" s="37" t="s">
        <v>377</v>
      </c>
      <c r="K1456" s="45" t="n">
        <v>0</v>
      </c>
      <c r="L1456" s="46" t="n">
        <v>7260.68</v>
      </c>
    </row>
    <row r="1457" customFormat="false" ht="15" hidden="false" customHeight="false" outlineLevel="0" collapsed="false">
      <c r="A1457" s="37" t="n">
        <v>500096</v>
      </c>
      <c r="B1457" s="37" t="s">
        <v>1359</v>
      </c>
      <c r="C1457" s="37" t="n">
        <v>202604</v>
      </c>
      <c r="D1457" s="37" t="s">
        <v>58</v>
      </c>
      <c r="E1457" s="37" t="s">
        <v>97</v>
      </c>
      <c r="F1457" s="37" t="s">
        <v>194</v>
      </c>
      <c r="G1457" s="37" t="s">
        <v>354</v>
      </c>
      <c r="H1457" s="37"/>
      <c r="I1457" s="37" t="s">
        <v>355</v>
      </c>
      <c r="J1457" s="37" t="s">
        <v>1360</v>
      </c>
      <c r="K1457" s="45" t="n">
        <v>53.3</v>
      </c>
      <c r="L1457" s="46" t="n">
        <v>4902.81</v>
      </c>
    </row>
    <row r="1458" customFormat="false" ht="15" hidden="false" customHeight="false" outlineLevel="0" collapsed="false">
      <c r="A1458" s="37" t="n">
        <v>500504</v>
      </c>
      <c r="B1458" s="37" t="s">
        <v>1359</v>
      </c>
      <c r="C1458" s="37" t="n">
        <v>202604</v>
      </c>
      <c r="D1458" s="37" t="s">
        <v>59</v>
      </c>
      <c r="E1458" s="37" t="s">
        <v>97</v>
      </c>
      <c r="F1458" s="37" t="s">
        <v>194</v>
      </c>
      <c r="G1458" s="37" t="s">
        <v>354</v>
      </c>
      <c r="H1458" s="37"/>
      <c r="I1458" s="37" t="s">
        <v>355</v>
      </c>
      <c r="J1458" s="37" t="s">
        <v>1360</v>
      </c>
      <c r="K1458" s="45" t="n">
        <v>261.9</v>
      </c>
      <c r="L1458" s="46" t="n">
        <v>24095.78</v>
      </c>
    </row>
    <row r="1459" customFormat="false" ht="15" hidden="false" customHeight="false" outlineLevel="0" collapsed="false">
      <c r="A1459" s="37" t="n">
        <v>500706</v>
      </c>
      <c r="B1459" s="37" t="s">
        <v>1359</v>
      </c>
      <c r="C1459" s="37" t="n">
        <v>202604</v>
      </c>
      <c r="D1459" s="37" t="s">
        <v>59</v>
      </c>
      <c r="E1459" s="37" t="s">
        <v>106</v>
      </c>
      <c r="F1459" s="37" t="s">
        <v>194</v>
      </c>
      <c r="G1459" s="37" t="s">
        <v>354</v>
      </c>
      <c r="H1459" s="37"/>
      <c r="I1459" s="37" t="s">
        <v>355</v>
      </c>
      <c r="J1459" s="37" t="s">
        <v>1360</v>
      </c>
      <c r="K1459" s="45" t="n">
        <v>303.7</v>
      </c>
      <c r="L1459" s="46" t="n">
        <v>21562.64</v>
      </c>
    </row>
    <row r="1460" customFormat="false" ht="15" hidden="false" customHeight="false" outlineLevel="0" collapsed="false">
      <c r="A1460" s="37" t="n">
        <v>500833</v>
      </c>
      <c r="B1460" s="37" t="s">
        <v>1359</v>
      </c>
      <c r="C1460" s="37" t="n">
        <v>202604</v>
      </c>
      <c r="D1460" s="37" t="s">
        <v>60</v>
      </c>
      <c r="E1460" s="37" t="s">
        <v>97</v>
      </c>
      <c r="F1460" s="37" t="s">
        <v>194</v>
      </c>
      <c r="G1460" s="37" t="s">
        <v>354</v>
      </c>
      <c r="H1460" s="37"/>
      <c r="I1460" s="37" t="s">
        <v>355</v>
      </c>
      <c r="J1460" s="37" t="s">
        <v>1360</v>
      </c>
      <c r="K1460" s="45" t="n">
        <v>453.1</v>
      </c>
      <c r="L1460" s="46" t="n">
        <v>41685.3</v>
      </c>
    </row>
    <row r="1461" customFormat="false" ht="15" hidden="false" customHeight="false" outlineLevel="0" collapsed="false">
      <c r="A1461" s="37" t="n">
        <v>501026</v>
      </c>
      <c r="B1461" s="37" t="s">
        <v>1359</v>
      </c>
      <c r="C1461" s="37" t="n">
        <v>202604</v>
      </c>
      <c r="D1461" s="37" t="s">
        <v>60</v>
      </c>
      <c r="E1461" s="37" t="s">
        <v>106</v>
      </c>
      <c r="F1461" s="37" t="s">
        <v>194</v>
      </c>
      <c r="G1461" s="37" t="s">
        <v>354</v>
      </c>
      <c r="H1461" s="37"/>
      <c r="I1461" s="37" t="s">
        <v>355</v>
      </c>
      <c r="J1461" s="37" t="s">
        <v>1360</v>
      </c>
      <c r="K1461" s="45" t="n">
        <v>423.4</v>
      </c>
      <c r="L1461" s="46" t="n">
        <v>30059.61</v>
      </c>
    </row>
    <row r="1462" customFormat="false" ht="15" hidden="false" customHeight="false" outlineLevel="0" collapsed="false">
      <c r="A1462" s="37" t="n">
        <v>501140</v>
      </c>
      <c r="B1462" s="37" t="s">
        <v>1359</v>
      </c>
      <c r="C1462" s="37" t="n">
        <v>202604</v>
      </c>
      <c r="D1462" s="37" t="s">
        <v>61</v>
      </c>
      <c r="E1462" s="37" t="s">
        <v>97</v>
      </c>
      <c r="F1462" s="37" t="s">
        <v>194</v>
      </c>
      <c r="G1462" s="37" t="s">
        <v>354</v>
      </c>
      <c r="H1462" s="37"/>
      <c r="I1462" s="37" t="s">
        <v>355</v>
      </c>
      <c r="J1462" s="37" t="s">
        <v>1360</v>
      </c>
      <c r="K1462" s="45" t="n">
        <v>284.7</v>
      </c>
      <c r="L1462" s="46" t="n">
        <v>26189.28</v>
      </c>
    </row>
    <row r="1463" customFormat="false" ht="15" hidden="false" customHeight="false" outlineLevel="0" collapsed="false">
      <c r="A1463" s="37" t="n">
        <v>501300</v>
      </c>
      <c r="B1463" s="37" t="s">
        <v>1359</v>
      </c>
      <c r="C1463" s="37" t="n">
        <v>202604</v>
      </c>
      <c r="D1463" s="37" t="s">
        <v>61</v>
      </c>
      <c r="E1463" s="37" t="s">
        <v>106</v>
      </c>
      <c r="F1463" s="37" t="s">
        <v>194</v>
      </c>
      <c r="G1463" s="37" t="s">
        <v>354</v>
      </c>
      <c r="H1463" s="37"/>
      <c r="I1463" s="37" t="s">
        <v>355</v>
      </c>
      <c r="J1463" s="37" t="s">
        <v>1360</v>
      </c>
      <c r="K1463" s="45" t="n">
        <v>145.1</v>
      </c>
      <c r="L1463" s="46" t="n">
        <v>10304.88</v>
      </c>
    </row>
    <row r="1464" customFormat="false" ht="15" hidden="false" customHeight="false" outlineLevel="0" collapsed="false">
      <c r="A1464" s="37" t="n">
        <v>501401</v>
      </c>
      <c r="B1464" s="37" t="s">
        <v>1359</v>
      </c>
      <c r="C1464" s="37" t="n">
        <v>202604</v>
      </c>
      <c r="D1464" s="37" t="s">
        <v>62</v>
      </c>
      <c r="E1464" s="37" t="s">
        <v>97</v>
      </c>
      <c r="F1464" s="37" t="s">
        <v>194</v>
      </c>
      <c r="G1464" s="37" t="s">
        <v>354</v>
      </c>
      <c r="H1464" s="37"/>
      <c r="I1464" s="37" t="s">
        <v>355</v>
      </c>
      <c r="J1464" s="37" t="s">
        <v>1360</v>
      </c>
      <c r="K1464" s="45" t="n">
        <v>444.4</v>
      </c>
      <c r="L1464" s="46" t="n">
        <v>40885.22</v>
      </c>
    </row>
    <row r="1465" customFormat="false" ht="15" hidden="false" customHeight="false" outlineLevel="0" collapsed="false">
      <c r="A1465" s="37" t="n">
        <v>501505</v>
      </c>
      <c r="B1465" s="37" t="s">
        <v>1359</v>
      </c>
      <c r="C1465" s="37" t="n">
        <v>202604</v>
      </c>
      <c r="D1465" s="37" t="s">
        <v>62</v>
      </c>
      <c r="E1465" s="37" t="s">
        <v>101</v>
      </c>
      <c r="F1465" s="37" t="s">
        <v>194</v>
      </c>
      <c r="G1465" s="37" t="s">
        <v>354</v>
      </c>
      <c r="H1465" s="37"/>
      <c r="I1465" s="37" t="s">
        <v>355</v>
      </c>
      <c r="J1465" s="37" t="s">
        <v>1360</v>
      </c>
      <c r="K1465" s="45" t="n">
        <v>474.3</v>
      </c>
      <c r="L1465" s="46" t="n">
        <v>35099.69</v>
      </c>
    </row>
    <row r="1466" customFormat="false" ht="15" hidden="false" customHeight="false" outlineLevel="0" collapsed="false">
      <c r="A1466" s="37" t="n">
        <v>501567</v>
      </c>
      <c r="B1466" s="37" t="s">
        <v>1359</v>
      </c>
      <c r="C1466" s="37" t="n">
        <v>202604</v>
      </c>
      <c r="D1466" s="37" t="s">
        <v>62</v>
      </c>
      <c r="E1466" s="37" t="s">
        <v>106</v>
      </c>
      <c r="F1466" s="37" t="s">
        <v>194</v>
      </c>
      <c r="G1466" s="37" t="s">
        <v>354</v>
      </c>
      <c r="H1466" s="37"/>
      <c r="I1466" s="37" t="s">
        <v>355</v>
      </c>
      <c r="J1466" s="37" t="s">
        <v>1360</v>
      </c>
      <c r="K1466" s="45" t="n">
        <v>15.9</v>
      </c>
      <c r="L1466" s="46" t="n">
        <v>1130.53</v>
      </c>
    </row>
    <row r="1467" customFormat="false" ht="15" hidden="false" customHeight="false" outlineLevel="0" collapsed="false">
      <c r="A1467" s="37" t="n">
        <v>501647</v>
      </c>
      <c r="B1467" s="37" t="s">
        <v>1359</v>
      </c>
      <c r="C1467" s="37" t="n">
        <v>202604</v>
      </c>
      <c r="D1467" s="37" t="s">
        <v>63</v>
      </c>
      <c r="E1467" s="37" t="s">
        <v>97</v>
      </c>
      <c r="F1467" s="37" t="s">
        <v>194</v>
      </c>
      <c r="G1467" s="37" t="s">
        <v>354</v>
      </c>
      <c r="H1467" s="37"/>
      <c r="I1467" s="37" t="s">
        <v>355</v>
      </c>
      <c r="J1467" s="37" t="s">
        <v>1360</v>
      </c>
      <c r="K1467" s="45" t="n">
        <v>227.8</v>
      </c>
      <c r="L1467" s="46" t="n">
        <v>20953.89</v>
      </c>
    </row>
    <row r="1468" customFormat="false" ht="15" hidden="false" customHeight="false" outlineLevel="0" collapsed="false">
      <c r="A1468" s="37" t="n">
        <v>501797</v>
      </c>
      <c r="B1468" s="37" t="s">
        <v>1359</v>
      </c>
      <c r="C1468" s="37" t="n">
        <v>202604</v>
      </c>
      <c r="D1468" s="37" t="s">
        <v>63</v>
      </c>
      <c r="E1468" s="37" t="s">
        <v>106</v>
      </c>
      <c r="F1468" s="37" t="s">
        <v>194</v>
      </c>
      <c r="G1468" s="37" t="s">
        <v>354</v>
      </c>
      <c r="H1468" s="37"/>
      <c r="I1468" s="37" t="s">
        <v>355</v>
      </c>
      <c r="J1468" s="37" t="s">
        <v>1360</v>
      </c>
      <c r="K1468" s="45" t="n">
        <v>256.6</v>
      </c>
      <c r="L1468" s="46" t="n">
        <v>18221.43</v>
      </c>
    </row>
    <row r="1469" customFormat="false" ht="15" hidden="false" customHeight="false" outlineLevel="0" collapsed="false">
      <c r="A1469" s="37" t="n">
        <v>501881</v>
      </c>
      <c r="B1469" s="37" t="s">
        <v>1359</v>
      </c>
      <c r="C1469" s="37" t="n">
        <v>202604</v>
      </c>
      <c r="D1469" s="37" t="s">
        <v>64</v>
      </c>
      <c r="E1469" s="37" t="s">
        <v>97</v>
      </c>
      <c r="F1469" s="37" t="s">
        <v>194</v>
      </c>
      <c r="G1469" s="37" t="s">
        <v>354</v>
      </c>
      <c r="H1469" s="37"/>
      <c r="I1469" s="37" t="s">
        <v>355</v>
      </c>
      <c r="J1469" s="37" t="s">
        <v>1360</v>
      </c>
      <c r="K1469" s="45" t="n">
        <v>237.2</v>
      </c>
      <c r="L1469" s="46" t="n">
        <v>21825.38</v>
      </c>
    </row>
    <row r="1470" customFormat="false" ht="15" hidden="false" customHeight="false" outlineLevel="0" collapsed="false">
      <c r="A1470" s="37" t="n">
        <v>501971</v>
      </c>
      <c r="B1470" s="37" t="s">
        <v>1359</v>
      </c>
      <c r="C1470" s="37" t="n">
        <v>202604</v>
      </c>
      <c r="D1470" s="37" t="s">
        <v>64</v>
      </c>
      <c r="E1470" s="37" t="s">
        <v>101</v>
      </c>
      <c r="F1470" s="37" t="s">
        <v>194</v>
      </c>
      <c r="G1470" s="37" t="s">
        <v>354</v>
      </c>
      <c r="H1470" s="37"/>
      <c r="I1470" s="37" t="s">
        <v>355</v>
      </c>
      <c r="J1470" s="37" t="s">
        <v>1360</v>
      </c>
      <c r="K1470" s="45" t="n">
        <v>574.1</v>
      </c>
      <c r="L1470" s="46" t="n">
        <v>42483.23</v>
      </c>
    </row>
    <row r="1471" customFormat="false" ht="15" hidden="false" customHeight="false" outlineLevel="0" collapsed="false">
      <c r="A1471" s="37" t="n">
        <v>502010</v>
      </c>
      <c r="B1471" s="37" t="s">
        <v>1359</v>
      </c>
      <c r="C1471" s="37" t="n">
        <v>202604</v>
      </c>
      <c r="D1471" s="37" t="s">
        <v>64</v>
      </c>
      <c r="E1471" s="37" t="s">
        <v>103</v>
      </c>
      <c r="F1471" s="37" t="s">
        <v>205</v>
      </c>
      <c r="G1471" s="37" t="s">
        <v>358</v>
      </c>
      <c r="H1471" s="37" t="s">
        <v>969</v>
      </c>
      <c r="I1471" s="37" t="s">
        <v>898</v>
      </c>
      <c r="J1471" s="37" t="s">
        <v>1361</v>
      </c>
      <c r="K1471" s="45" t="n">
        <v>0</v>
      </c>
      <c r="L1471" s="46" t="n">
        <v>39116.11</v>
      </c>
    </row>
    <row r="1472" customFormat="false" ht="15" hidden="false" customHeight="false" outlineLevel="0" collapsed="false">
      <c r="A1472" s="37" t="n">
        <v>502097</v>
      </c>
      <c r="B1472" s="37" t="s">
        <v>1359</v>
      </c>
      <c r="C1472" s="37" t="n">
        <v>202604</v>
      </c>
      <c r="D1472" s="37" t="s">
        <v>65</v>
      </c>
      <c r="E1472" s="37" t="s">
        <v>97</v>
      </c>
      <c r="F1472" s="37" t="s">
        <v>194</v>
      </c>
      <c r="G1472" s="37" t="s">
        <v>354</v>
      </c>
      <c r="H1472" s="37"/>
      <c r="I1472" s="37" t="s">
        <v>355</v>
      </c>
      <c r="J1472" s="37" t="s">
        <v>1360</v>
      </c>
      <c r="K1472" s="45" t="n">
        <v>480</v>
      </c>
      <c r="L1472" s="46" t="n">
        <v>44156.19</v>
      </c>
    </row>
    <row r="1473" customFormat="false" ht="15" hidden="false" customHeight="false" outlineLevel="0" collapsed="false">
      <c r="A1473" s="37" t="n">
        <v>502176</v>
      </c>
      <c r="B1473" s="37" t="s">
        <v>1359</v>
      </c>
      <c r="C1473" s="37" t="n">
        <v>202604</v>
      </c>
      <c r="D1473" s="37" t="s">
        <v>65</v>
      </c>
      <c r="E1473" s="37" t="s">
        <v>101</v>
      </c>
      <c r="F1473" s="37" t="s">
        <v>194</v>
      </c>
      <c r="G1473" s="37" t="s">
        <v>354</v>
      </c>
      <c r="H1473" s="37"/>
      <c r="I1473" s="37" t="s">
        <v>355</v>
      </c>
      <c r="J1473" s="37" t="s">
        <v>1360</v>
      </c>
      <c r="K1473" s="45" t="n">
        <v>590.3</v>
      </c>
      <c r="L1473" s="46" t="n">
        <v>43679.47</v>
      </c>
    </row>
    <row r="1474" customFormat="false" ht="15" hidden="false" customHeight="false" outlineLevel="0" collapsed="false">
      <c r="A1474" s="37" t="n">
        <v>502280</v>
      </c>
      <c r="B1474" s="37" t="s">
        <v>1359</v>
      </c>
      <c r="C1474" s="37" t="n">
        <v>202604</v>
      </c>
      <c r="D1474" s="37" t="s">
        <v>66</v>
      </c>
      <c r="E1474" s="37" t="s">
        <v>97</v>
      </c>
      <c r="F1474" s="37" t="s">
        <v>194</v>
      </c>
      <c r="G1474" s="37" t="s">
        <v>354</v>
      </c>
      <c r="H1474" s="37"/>
      <c r="I1474" s="37" t="s">
        <v>355</v>
      </c>
      <c r="J1474" s="37" t="s">
        <v>1360</v>
      </c>
      <c r="K1474" s="45" t="n">
        <v>125.8</v>
      </c>
      <c r="L1474" s="46" t="n">
        <v>11569.08</v>
      </c>
    </row>
    <row r="1475" customFormat="false" ht="15" hidden="false" customHeight="false" outlineLevel="0" collapsed="false">
      <c r="A1475" s="37" t="n">
        <v>502345</v>
      </c>
      <c r="B1475" s="37" t="s">
        <v>1359</v>
      </c>
      <c r="C1475" s="37" t="n">
        <v>202604</v>
      </c>
      <c r="D1475" s="37" t="s">
        <v>66</v>
      </c>
      <c r="E1475" s="37" t="s">
        <v>101</v>
      </c>
      <c r="F1475" s="37" t="s">
        <v>194</v>
      </c>
      <c r="G1475" s="37" t="s">
        <v>354</v>
      </c>
      <c r="H1475" s="37"/>
      <c r="I1475" s="37" t="s">
        <v>355</v>
      </c>
      <c r="J1475" s="37" t="s">
        <v>1360</v>
      </c>
      <c r="K1475" s="45" t="n">
        <v>186.9</v>
      </c>
      <c r="L1475" s="46" t="n">
        <v>13830.27</v>
      </c>
    </row>
    <row r="1476" customFormat="false" ht="15" hidden="false" customHeight="false" outlineLevel="0" collapsed="false">
      <c r="A1476" s="37" t="n">
        <v>502423</v>
      </c>
      <c r="B1476" s="37" t="s">
        <v>1359</v>
      </c>
      <c r="C1476" s="37" t="n">
        <v>202604</v>
      </c>
      <c r="D1476" s="37" t="s">
        <v>67</v>
      </c>
      <c r="E1476" s="37" t="s">
        <v>97</v>
      </c>
      <c r="F1476" s="37" t="s">
        <v>194</v>
      </c>
      <c r="G1476" s="37" t="s">
        <v>354</v>
      </c>
      <c r="H1476" s="37"/>
      <c r="I1476" s="37" t="s">
        <v>355</v>
      </c>
      <c r="J1476" s="37" t="s">
        <v>1360</v>
      </c>
      <c r="K1476" s="45" t="n">
        <v>38.3</v>
      </c>
      <c r="L1476" s="46" t="n">
        <v>3527.01</v>
      </c>
    </row>
    <row r="1477" customFormat="false" ht="15" hidden="false" customHeight="false" outlineLevel="0" collapsed="false">
      <c r="A1477" s="37" t="n">
        <v>502477</v>
      </c>
      <c r="B1477" s="37" t="s">
        <v>1359</v>
      </c>
      <c r="C1477" s="37" t="n">
        <v>202604</v>
      </c>
      <c r="D1477" s="37" t="s">
        <v>67</v>
      </c>
      <c r="E1477" s="37" t="s">
        <v>101</v>
      </c>
      <c r="F1477" s="37" t="s">
        <v>194</v>
      </c>
      <c r="G1477" s="37" t="s">
        <v>354</v>
      </c>
      <c r="H1477" s="37"/>
      <c r="I1477" s="37" t="s">
        <v>355</v>
      </c>
      <c r="J1477" s="37" t="s">
        <v>1360</v>
      </c>
      <c r="K1477" s="45" t="n">
        <v>97.1</v>
      </c>
      <c r="L1477" s="46" t="n">
        <v>7188.59</v>
      </c>
    </row>
    <row r="1478" customFormat="false" ht="15" hidden="false" customHeight="false" outlineLevel="0" collapsed="false">
      <c r="A1478" s="37" t="n">
        <v>501994</v>
      </c>
      <c r="B1478" s="37" t="s">
        <v>1362</v>
      </c>
      <c r="C1478" s="37" t="n">
        <v>202604</v>
      </c>
      <c r="D1478" s="37" t="s">
        <v>64</v>
      </c>
      <c r="E1478" s="37" t="s">
        <v>102</v>
      </c>
      <c r="F1478" s="37" t="s">
        <v>205</v>
      </c>
      <c r="G1478" s="37" t="s">
        <v>358</v>
      </c>
      <c r="H1478" s="37" t="s">
        <v>947</v>
      </c>
      <c r="I1478" s="37" t="s">
        <v>811</v>
      </c>
      <c r="J1478" s="37" t="s">
        <v>1363</v>
      </c>
      <c r="K1478" s="45" t="n">
        <v>0</v>
      </c>
      <c r="L1478" s="46" t="n">
        <v>51664.93</v>
      </c>
    </row>
    <row r="1479" customFormat="false" ht="15" hidden="false" customHeight="false" outlineLevel="0" collapsed="false">
      <c r="A1479" s="37" t="n">
        <v>502210</v>
      </c>
      <c r="B1479" s="37" t="s">
        <v>1362</v>
      </c>
      <c r="C1479" s="37" t="n">
        <v>202604</v>
      </c>
      <c r="D1479" s="37" t="s">
        <v>65</v>
      </c>
      <c r="E1479" s="37" t="s">
        <v>103</v>
      </c>
      <c r="F1479" s="37" t="s">
        <v>205</v>
      </c>
      <c r="G1479" s="37" t="s">
        <v>358</v>
      </c>
      <c r="H1479" s="37" t="s">
        <v>1051</v>
      </c>
      <c r="I1479" s="37" t="s">
        <v>898</v>
      </c>
      <c r="J1479" s="37" t="s">
        <v>1364</v>
      </c>
      <c r="K1479" s="45" t="n">
        <v>0</v>
      </c>
      <c r="L1479" s="46" t="n">
        <v>348060.83</v>
      </c>
    </row>
    <row r="1480" customFormat="false" ht="15" hidden="false" customHeight="false" outlineLevel="0" collapsed="false">
      <c r="A1480" s="37" t="n">
        <v>501922</v>
      </c>
      <c r="B1480" s="37" t="s">
        <v>1365</v>
      </c>
      <c r="C1480" s="37" t="n">
        <v>202604</v>
      </c>
      <c r="D1480" s="37" t="s">
        <v>64</v>
      </c>
      <c r="E1480" s="37" t="s">
        <v>98</v>
      </c>
      <c r="F1480" s="37" t="s">
        <v>196</v>
      </c>
      <c r="G1480" s="37" t="s">
        <v>358</v>
      </c>
      <c r="H1480" s="37" t="s">
        <v>359</v>
      </c>
      <c r="I1480" s="37" t="s">
        <v>360</v>
      </c>
      <c r="J1480" s="37" t="s">
        <v>1366</v>
      </c>
      <c r="K1480" s="45" t="n">
        <v>0</v>
      </c>
      <c r="L1480" s="46" t="n">
        <v>11892.39</v>
      </c>
    </row>
    <row r="1481" customFormat="false" ht="15" hidden="false" customHeight="false" outlineLevel="0" collapsed="false">
      <c r="A1481" s="37" t="n">
        <v>502451</v>
      </c>
      <c r="B1481" s="37" t="s">
        <v>1365</v>
      </c>
      <c r="C1481" s="37" t="n">
        <v>202604</v>
      </c>
      <c r="D1481" s="37" t="s">
        <v>67</v>
      </c>
      <c r="E1481" s="37" t="s">
        <v>98</v>
      </c>
      <c r="F1481" s="37" t="s">
        <v>196</v>
      </c>
      <c r="G1481" s="37" t="s">
        <v>358</v>
      </c>
      <c r="H1481" s="37" t="s">
        <v>359</v>
      </c>
      <c r="I1481" s="37" t="s">
        <v>360</v>
      </c>
      <c r="J1481" s="37" t="s">
        <v>1367</v>
      </c>
      <c r="K1481" s="45" t="n">
        <v>0</v>
      </c>
      <c r="L1481" s="46" t="n">
        <v>3688.04</v>
      </c>
    </row>
    <row r="1482" customFormat="false" ht="15" hidden="false" customHeight="false" outlineLevel="0" collapsed="false">
      <c r="A1482" s="37" t="n">
        <v>502518</v>
      </c>
      <c r="B1482" s="37" t="s">
        <v>1365</v>
      </c>
      <c r="C1482" s="37" t="n">
        <v>202604</v>
      </c>
      <c r="D1482" s="37" t="s">
        <v>67</v>
      </c>
      <c r="E1482" s="37" t="s">
        <v>103</v>
      </c>
      <c r="F1482" s="37" t="s">
        <v>205</v>
      </c>
      <c r="G1482" s="37" t="s">
        <v>358</v>
      </c>
      <c r="H1482" s="37" t="s">
        <v>1368</v>
      </c>
      <c r="I1482" s="37" t="s">
        <v>1369</v>
      </c>
      <c r="J1482" s="37" t="s">
        <v>1370</v>
      </c>
      <c r="K1482" s="45" t="n">
        <v>0</v>
      </c>
      <c r="L1482" s="46" t="n">
        <v>4431.73</v>
      </c>
    </row>
    <row r="1483" customFormat="false" ht="15" hidden="false" customHeight="false" outlineLevel="0" collapsed="false">
      <c r="A1483" s="37" t="n">
        <v>500160</v>
      </c>
      <c r="B1483" s="37" t="s">
        <v>1371</v>
      </c>
      <c r="C1483" s="37" t="n">
        <v>202604</v>
      </c>
      <c r="D1483" s="37" t="s">
        <v>58</v>
      </c>
      <c r="E1483" s="37" t="s">
        <v>98</v>
      </c>
      <c r="F1483" s="37" t="s">
        <v>196</v>
      </c>
      <c r="G1483" s="37" t="s">
        <v>358</v>
      </c>
      <c r="H1483" s="37" t="s">
        <v>359</v>
      </c>
      <c r="I1483" s="37" t="s">
        <v>360</v>
      </c>
      <c r="J1483" s="37" t="s">
        <v>1372</v>
      </c>
      <c r="K1483" s="45" t="n">
        <v>0</v>
      </c>
      <c r="L1483" s="46" t="n">
        <v>3820.32</v>
      </c>
    </row>
    <row r="1484" customFormat="false" ht="15" hidden="false" customHeight="false" outlineLevel="0" collapsed="false">
      <c r="A1484" s="37" t="n">
        <v>501530</v>
      </c>
      <c r="B1484" s="37" t="s">
        <v>1373</v>
      </c>
      <c r="C1484" s="37" t="n">
        <v>202604</v>
      </c>
      <c r="D1484" s="37" t="s">
        <v>62</v>
      </c>
      <c r="E1484" s="37" t="s">
        <v>102</v>
      </c>
      <c r="F1484" s="37" t="s">
        <v>205</v>
      </c>
      <c r="G1484" s="37" t="s">
        <v>358</v>
      </c>
      <c r="H1484" s="37" t="s">
        <v>810</v>
      </c>
      <c r="I1484" s="37" t="s">
        <v>811</v>
      </c>
      <c r="J1484" s="37" t="s">
        <v>1374</v>
      </c>
      <c r="K1484" s="45" t="n">
        <v>0</v>
      </c>
      <c r="L1484" s="46" t="n">
        <v>49297.45</v>
      </c>
    </row>
    <row r="1485" customFormat="false" ht="15" hidden="false" customHeight="false" outlineLevel="0" collapsed="false">
      <c r="A1485" s="37" t="n">
        <v>502504</v>
      </c>
      <c r="B1485" s="37" t="s">
        <v>1373</v>
      </c>
      <c r="C1485" s="37" t="n">
        <v>202604</v>
      </c>
      <c r="D1485" s="37" t="s">
        <v>67</v>
      </c>
      <c r="E1485" s="37" t="s">
        <v>102</v>
      </c>
      <c r="F1485" s="37" t="s">
        <v>205</v>
      </c>
      <c r="G1485" s="37" t="s">
        <v>358</v>
      </c>
      <c r="H1485" s="37" t="s">
        <v>1375</v>
      </c>
      <c r="I1485" s="37" t="s">
        <v>892</v>
      </c>
      <c r="J1485" s="37" t="s">
        <v>1376</v>
      </c>
      <c r="K1485" s="45" t="n">
        <v>0</v>
      </c>
      <c r="L1485" s="46" t="n">
        <v>20125.04</v>
      </c>
    </row>
    <row r="1486" customFormat="false" ht="15" hidden="false" customHeight="false" outlineLevel="0" collapsed="false">
      <c r="A1486" s="37" t="n">
        <v>500097</v>
      </c>
      <c r="B1486" s="37" t="s">
        <v>1377</v>
      </c>
      <c r="C1486" s="37" t="n">
        <v>202604</v>
      </c>
      <c r="D1486" s="37" t="s">
        <v>58</v>
      </c>
      <c r="E1486" s="37" t="s">
        <v>97</v>
      </c>
      <c r="F1486" s="37" t="s">
        <v>194</v>
      </c>
      <c r="G1486" s="37" t="s">
        <v>354</v>
      </c>
      <c r="H1486" s="37"/>
      <c r="I1486" s="37" t="s">
        <v>355</v>
      </c>
      <c r="J1486" s="37" t="s">
        <v>1378</v>
      </c>
      <c r="K1486" s="45" t="n">
        <v>48.5</v>
      </c>
      <c r="L1486" s="46" t="n">
        <v>4465.52</v>
      </c>
    </row>
    <row r="1487" customFormat="false" ht="15" hidden="false" customHeight="false" outlineLevel="0" collapsed="false">
      <c r="A1487" s="37" t="n">
        <v>500392</v>
      </c>
      <c r="B1487" s="37" t="s">
        <v>1377</v>
      </c>
      <c r="C1487" s="37" t="n">
        <v>202604</v>
      </c>
      <c r="D1487" s="37" t="s">
        <v>58</v>
      </c>
      <c r="E1487" s="37" t="s">
        <v>108</v>
      </c>
      <c r="F1487" s="37" t="s">
        <v>205</v>
      </c>
      <c r="G1487" s="37" t="s">
        <v>358</v>
      </c>
      <c r="H1487" s="37" t="s">
        <v>885</v>
      </c>
      <c r="I1487" s="37" t="s">
        <v>886</v>
      </c>
      <c r="J1487" s="37" t="s">
        <v>1379</v>
      </c>
      <c r="K1487" s="45" t="n">
        <v>0</v>
      </c>
      <c r="L1487" s="46" t="n">
        <v>47144.33</v>
      </c>
    </row>
    <row r="1488" customFormat="false" ht="15" hidden="false" customHeight="false" outlineLevel="0" collapsed="false">
      <c r="A1488" s="37" t="n">
        <v>500505</v>
      </c>
      <c r="B1488" s="37" t="s">
        <v>1377</v>
      </c>
      <c r="C1488" s="37" t="n">
        <v>202604</v>
      </c>
      <c r="D1488" s="37" t="s">
        <v>59</v>
      </c>
      <c r="E1488" s="37" t="s">
        <v>97</v>
      </c>
      <c r="F1488" s="37" t="s">
        <v>194</v>
      </c>
      <c r="G1488" s="37" t="s">
        <v>354</v>
      </c>
      <c r="H1488" s="37"/>
      <c r="I1488" s="37" t="s">
        <v>355</v>
      </c>
      <c r="J1488" s="37" t="s">
        <v>1378</v>
      </c>
      <c r="K1488" s="45" t="n">
        <v>283.5</v>
      </c>
      <c r="L1488" s="46" t="n">
        <v>26079.39</v>
      </c>
    </row>
    <row r="1489" customFormat="false" ht="15" hidden="false" customHeight="false" outlineLevel="0" collapsed="false">
      <c r="A1489" s="37" t="n">
        <v>500707</v>
      </c>
      <c r="B1489" s="37" t="s">
        <v>1377</v>
      </c>
      <c r="C1489" s="37" t="n">
        <v>202604</v>
      </c>
      <c r="D1489" s="37" t="s">
        <v>59</v>
      </c>
      <c r="E1489" s="37" t="s">
        <v>106</v>
      </c>
      <c r="F1489" s="37" t="s">
        <v>194</v>
      </c>
      <c r="G1489" s="37" t="s">
        <v>354</v>
      </c>
      <c r="H1489" s="37"/>
      <c r="I1489" s="37" t="s">
        <v>355</v>
      </c>
      <c r="J1489" s="37" t="s">
        <v>1378</v>
      </c>
      <c r="K1489" s="45" t="n">
        <v>112.1</v>
      </c>
      <c r="L1489" s="46" t="n">
        <v>7962.36</v>
      </c>
    </row>
    <row r="1490" customFormat="false" ht="15" hidden="false" customHeight="false" outlineLevel="0" collapsed="false">
      <c r="A1490" s="37" t="n">
        <v>500834</v>
      </c>
      <c r="B1490" s="37" t="s">
        <v>1377</v>
      </c>
      <c r="C1490" s="37" t="n">
        <v>202604</v>
      </c>
      <c r="D1490" s="37" t="s">
        <v>60</v>
      </c>
      <c r="E1490" s="37" t="s">
        <v>97</v>
      </c>
      <c r="F1490" s="37" t="s">
        <v>194</v>
      </c>
      <c r="G1490" s="37" t="s">
        <v>354</v>
      </c>
      <c r="H1490" s="37"/>
      <c r="I1490" s="37" t="s">
        <v>355</v>
      </c>
      <c r="J1490" s="37" t="s">
        <v>1378</v>
      </c>
      <c r="K1490" s="45" t="n">
        <v>233.1</v>
      </c>
      <c r="L1490" s="46" t="n">
        <v>21446</v>
      </c>
    </row>
    <row r="1491" customFormat="false" ht="15" hidden="false" customHeight="false" outlineLevel="0" collapsed="false">
      <c r="A1491" s="37" t="n">
        <v>501027</v>
      </c>
      <c r="B1491" s="37" t="s">
        <v>1377</v>
      </c>
      <c r="C1491" s="37" t="n">
        <v>202604</v>
      </c>
      <c r="D1491" s="37" t="s">
        <v>60</v>
      </c>
      <c r="E1491" s="37" t="s">
        <v>106</v>
      </c>
      <c r="F1491" s="37" t="s">
        <v>194</v>
      </c>
      <c r="G1491" s="37" t="s">
        <v>354</v>
      </c>
      <c r="H1491" s="37"/>
      <c r="I1491" s="37" t="s">
        <v>355</v>
      </c>
      <c r="J1491" s="37" t="s">
        <v>1378</v>
      </c>
      <c r="K1491" s="45" t="n">
        <v>243.7</v>
      </c>
      <c r="L1491" s="46" t="n">
        <v>17304.56</v>
      </c>
    </row>
    <row r="1492" customFormat="false" ht="15" hidden="false" customHeight="false" outlineLevel="0" collapsed="false">
      <c r="A1492" s="37" t="n">
        <v>501141</v>
      </c>
      <c r="B1492" s="37" t="s">
        <v>1377</v>
      </c>
      <c r="C1492" s="37" t="n">
        <v>202604</v>
      </c>
      <c r="D1492" s="37" t="s">
        <v>61</v>
      </c>
      <c r="E1492" s="37" t="s">
        <v>97</v>
      </c>
      <c r="F1492" s="37" t="s">
        <v>194</v>
      </c>
      <c r="G1492" s="37" t="s">
        <v>354</v>
      </c>
      <c r="H1492" s="37"/>
      <c r="I1492" s="37" t="s">
        <v>355</v>
      </c>
      <c r="J1492" s="37" t="s">
        <v>1378</v>
      </c>
      <c r="K1492" s="45" t="n">
        <v>211.2</v>
      </c>
      <c r="L1492" s="46" t="n">
        <v>19431.21</v>
      </c>
    </row>
    <row r="1493" customFormat="false" ht="15" hidden="false" customHeight="false" outlineLevel="0" collapsed="false">
      <c r="A1493" s="37" t="n">
        <v>501301</v>
      </c>
      <c r="B1493" s="37" t="s">
        <v>1377</v>
      </c>
      <c r="C1493" s="37" t="n">
        <v>202604</v>
      </c>
      <c r="D1493" s="37" t="s">
        <v>61</v>
      </c>
      <c r="E1493" s="37" t="s">
        <v>106</v>
      </c>
      <c r="F1493" s="37" t="s">
        <v>194</v>
      </c>
      <c r="G1493" s="37" t="s">
        <v>354</v>
      </c>
      <c r="H1493" s="37"/>
      <c r="I1493" s="37" t="s">
        <v>355</v>
      </c>
      <c r="J1493" s="37" t="s">
        <v>1378</v>
      </c>
      <c r="K1493" s="45" t="n">
        <v>182.1</v>
      </c>
      <c r="L1493" s="46" t="n">
        <v>12929.02</v>
      </c>
    </row>
    <row r="1494" customFormat="false" ht="15" hidden="false" customHeight="false" outlineLevel="0" collapsed="false">
      <c r="A1494" s="37" t="n">
        <v>501402</v>
      </c>
      <c r="B1494" s="37" t="s">
        <v>1377</v>
      </c>
      <c r="C1494" s="37" t="n">
        <v>202604</v>
      </c>
      <c r="D1494" s="37" t="s">
        <v>62</v>
      </c>
      <c r="E1494" s="37" t="s">
        <v>97</v>
      </c>
      <c r="F1494" s="37" t="s">
        <v>194</v>
      </c>
      <c r="G1494" s="37" t="s">
        <v>354</v>
      </c>
      <c r="H1494" s="37"/>
      <c r="I1494" s="37" t="s">
        <v>355</v>
      </c>
      <c r="J1494" s="37" t="s">
        <v>1378</v>
      </c>
      <c r="K1494" s="45" t="n">
        <v>310.6</v>
      </c>
      <c r="L1494" s="46" t="n">
        <v>28577.31</v>
      </c>
    </row>
    <row r="1495" customFormat="false" ht="15" hidden="false" customHeight="false" outlineLevel="0" collapsed="false">
      <c r="A1495" s="37" t="n">
        <v>501506</v>
      </c>
      <c r="B1495" s="37" t="s">
        <v>1377</v>
      </c>
      <c r="C1495" s="37" t="n">
        <v>202604</v>
      </c>
      <c r="D1495" s="37" t="s">
        <v>62</v>
      </c>
      <c r="E1495" s="37" t="s">
        <v>101</v>
      </c>
      <c r="F1495" s="37" t="s">
        <v>194</v>
      </c>
      <c r="G1495" s="37" t="s">
        <v>354</v>
      </c>
      <c r="H1495" s="37"/>
      <c r="I1495" s="37" t="s">
        <v>355</v>
      </c>
      <c r="J1495" s="37" t="s">
        <v>1378</v>
      </c>
      <c r="K1495" s="45" t="n">
        <v>559.8</v>
      </c>
      <c r="L1495" s="46" t="n">
        <v>41423.49</v>
      </c>
    </row>
    <row r="1496" customFormat="false" ht="15" hidden="false" customHeight="false" outlineLevel="0" collapsed="false">
      <c r="A1496" s="37" t="n">
        <v>501568</v>
      </c>
      <c r="B1496" s="37" t="s">
        <v>1377</v>
      </c>
      <c r="C1496" s="37" t="n">
        <v>202604</v>
      </c>
      <c r="D1496" s="37" t="s">
        <v>62</v>
      </c>
      <c r="E1496" s="37" t="s">
        <v>106</v>
      </c>
      <c r="F1496" s="37" t="s">
        <v>194</v>
      </c>
      <c r="G1496" s="37" t="s">
        <v>354</v>
      </c>
      <c r="H1496" s="37"/>
      <c r="I1496" s="37" t="s">
        <v>355</v>
      </c>
      <c r="J1496" s="37" t="s">
        <v>1378</v>
      </c>
      <c r="K1496" s="45" t="n">
        <v>9.5</v>
      </c>
      <c r="L1496" s="46" t="n">
        <v>671.71</v>
      </c>
    </row>
    <row r="1497" customFormat="false" ht="15" hidden="false" customHeight="false" outlineLevel="0" collapsed="false">
      <c r="A1497" s="37" t="n">
        <v>501648</v>
      </c>
      <c r="B1497" s="37" t="s">
        <v>1377</v>
      </c>
      <c r="C1497" s="37" t="n">
        <v>202604</v>
      </c>
      <c r="D1497" s="37" t="s">
        <v>63</v>
      </c>
      <c r="E1497" s="37" t="s">
        <v>97</v>
      </c>
      <c r="F1497" s="37" t="s">
        <v>194</v>
      </c>
      <c r="G1497" s="37" t="s">
        <v>354</v>
      </c>
      <c r="H1497" s="37"/>
      <c r="I1497" s="37" t="s">
        <v>355</v>
      </c>
      <c r="J1497" s="37" t="s">
        <v>1378</v>
      </c>
      <c r="K1497" s="45" t="n">
        <v>263.5</v>
      </c>
      <c r="L1497" s="46" t="n">
        <v>24238.16</v>
      </c>
    </row>
    <row r="1498" customFormat="false" ht="15" hidden="false" customHeight="false" outlineLevel="0" collapsed="false">
      <c r="A1498" s="37" t="n">
        <v>501798</v>
      </c>
      <c r="B1498" s="37" t="s">
        <v>1377</v>
      </c>
      <c r="C1498" s="37" t="n">
        <v>202604</v>
      </c>
      <c r="D1498" s="37" t="s">
        <v>63</v>
      </c>
      <c r="E1498" s="37" t="s">
        <v>106</v>
      </c>
      <c r="F1498" s="37" t="s">
        <v>194</v>
      </c>
      <c r="G1498" s="37" t="s">
        <v>354</v>
      </c>
      <c r="H1498" s="37"/>
      <c r="I1498" s="37" t="s">
        <v>355</v>
      </c>
      <c r="J1498" s="37" t="s">
        <v>1378</v>
      </c>
      <c r="K1498" s="45" t="n">
        <v>194.5</v>
      </c>
      <c r="L1498" s="46" t="n">
        <v>13807.81</v>
      </c>
    </row>
    <row r="1499" customFormat="false" ht="15" hidden="false" customHeight="false" outlineLevel="0" collapsed="false">
      <c r="A1499" s="37" t="n">
        <v>501882</v>
      </c>
      <c r="B1499" s="37" t="s">
        <v>1377</v>
      </c>
      <c r="C1499" s="37" t="n">
        <v>202604</v>
      </c>
      <c r="D1499" s="37" t="s">
        <v>64</v>
      </c>
      <c r="E1499" s="37" t="s">
        <v>97</v>
      </c>
      <c r="F1499" s="37" t="s">
        <v>194</v>
      </c>
      <c r="G1499" s="37" t="s">
        <v>354</v>
      </c>
      <c r="H1499" s="37"/>
      <c r="I1499" s="37" t="s">
        <v>355</v>
      </c>
      <c r="J1499" s="37" t="s">
        <v>1378</v>
      </c>
      <c r="K1499" s="45" t="n">
        <v>82.1</v>
      </c>
      <c r="L1499" s="46" t="n">
        <v>7557.73</v>
      </c>
    </row>
    <row r="1500" customFormat="false" ht="15" hidden="false" customHeight="false" outlineLevel="0" collapsed="false">
      <c r="A1500" s="37" t="n">
        <v>501972</v>
      </c>
      <c r="B1500" s="37" t="s">
        <v>1377</v>
      </c>
      <c r="C1500" s="37" t="n">
        <v>202604</v>
      </c>
      <c r="D1500" s="37" t="s">
        <v>64</v>
      </c>
      <c r="E1500" s="37" t="s">
        <v>101</v>
      </c>
      <c r="F1500" s="37" t="s">
        <v>194</v>
      </c>
      <c r="G1500" s="37" t="s">
        <v>354</v>
      </c>
      <c r="H1500" s="37"/>
      <c r="I1500" s="37" t="s">
        <v>355</v>
      </c>
      <c r="J1500" s="37" t="s">
        <v>1378</v>
      </c>
      <c r="K1500" s="45" t="n">
        <v>699.1</v>
      </c>
      <c r="L1500" s="46" t="n">
        <v>51731.83</v>
      </c>
    </row>
    <row r="1501" customFormat="false" ht="15" hidden="false" customHeight="false" outlineLevel="0" collapsed="false">
      <c r="A1501" s="37" t="n">
        <v>502098</v>
      </c>
      <c r="B1501" s="37" t="s">
        <v>1377</v>
      </c>
      <c r="C1501" s="37" t="n">
        <v>202604</v>
      </c>
      <c r="D1501" s="37" t="s">
        <v>65</v>
      </c>
      <c r="E1501" s="37" t="s">
        <v>97</v>
      </c>
      <c r="F1501" s="37" t="s">
        <v>194</v>
      </c>
      <c r="G1501" s="37" t="s">
        <v>354</v>
      </c>
      <c r="H1501" s="37"/>
      <c r="I1501" s="37" t="s">
        <v>355</v>
      </c>
      <c r="J1501" s="37" t="s">
        <v>1378</v>
      </c>
      <c r="K1501" s="45" t="n">
        <v>314</v>
      </c>
      <c r="L1501" s="46" t="n">
        <v>28885.68</v>
      </c>
    </row>
    <row r="1502" customFormat="false" ht="15" hidden="false" customHeight="false" outlineLevel="0" collapsed="false">
      <c r="A1502" s="37" t="n">
        <v>502177</v>
      </c>
      <c r="B1502" s="37" t="s">
        <v>1377</v>
      </c>
      <c r="C1502" s="37" t="n">
        <v>202604</v>
      </c>
      <c r="D1502" s="37" t="s">
        <v>65</v>
      </c>
      <c r="E1502" s="37" t="s">
        <v>101</v>
      </c>
      <c r="F1502" s="37" t="s">
        <v>194</v>
      </c>
      <c r="G1502" s="37" t="s">
        <v>354</v>
      </c>
      <c r="H1502" s="37"/>
      <c r="I1502" s="37" t="s">
        <v>355</v>
      </c>
      <c r="J1502" s="37" t="s">
        <v>1378</v>
      </c>
      <c r="K1502" s="45" t="n">
        <v>464.3</v>
      </c>
      <c r="L1502" s="46" t="n">
        <v>34360.07</v>
      </c>
    </row>
    <row r="1503" customFormat="false" ht="15" hidden="false" customHeight="false" outlineLevel="0" collapsed="false">
      <c r="A1503" s="37" t="n">
        <v>502281</v>
      </c>
      <c r="B1503" s="37" t="s">
        <v>1377</v>
      </c>
      <c r="C1503" s="37" t="n">
        <v>202604</v>
      </c>
      <c r="D1503" s="37" t="s">
        <v>66</v>
      </c>
      <c r="E1503" s="37" t="s">
        <v>97</v>
      </c>
      <c r="F1503" s="37" t="s">
        <v>194</v>
      </c>
      <c r="G1503" s="37" t="s">
        <v>354</v>
      </c>
      <c r="H1503" s="37"/>
      <c r="I1503" s="37" t="s">
        <v>355</v>
      </c>
      <c r="J1503" s="37" t="s">
        <v>1378</v>
      </c>
      <c r="K1503" s="45" t="n">
        <v>199.3</v>
      </c>
      <c r="L1503" s="46" t="n">
        <v>18337.4</v>
      </c>
    </row>
    <row r="1504" customFormat="false" ht="15" hidden="false" customHeight="false" outlineLevel="0" collapsed="false">
      <c r="A1504" s="37" t="n">
        <v>502346</v>
      </c>
      <c r="B1504" s="37" t="s">
        <v>1377</v>
      </c>
      <c r="C1504" s="37" t="n">
        <v>202604</v>
      </c>
      <c r="D1504" s="37" t="s">
        <v>66</v>
      </c>
      <c r="E1504" s="37" t="s">
        <v>101</v>
      </c>
      <c r="F1504" s="37" t="s">
        <v>194</v>
      </c>
      <c r="G1504" s="37" t="s">
        <v>354</v>
      </c>
      <c r="H1504" s="37"/>
      <c r="I1504" s="37" t="s">
        <v>355</v>
      </c>
      <c r="J1504" s="37" t="s">
        <v>1378</v>
      </c>
      <c r="K1504" s="45" t="n">
        <v>332</v>
      </c>
      <c r="L1504" s="46" t="n">
        <v>24565.28</v>
      </c>
    </row>
    <row r="1505" customFormat="false" ht="15" hidden="false" customHeight="false" outlineLevel="0" collapsed="false">
      <c r="A1505" s="37" t="n">
        <v>502375</v>
      </c>
      <c r="B1505" s="37" t="s">
        <v>1377</v>
      </c>
      <c r="C1505" s="37" t="n">
        <v>202604</v>
      </c>
      <c r="D1505" s="37" t="s">
        <v>66</v>
      </c>
      <c r="E1505" s="37" t="s">
        <v>102</v>
      </c>
      <c r="F1505" s="37" t="s">
        <v>205</v>
      </c>
      <c r="G1505" s="37" t="s">
        <v>358</v>
      </c>
      <c r="H1505" s="37" t="s">
        <v>1323</v>
      </c>
      <c r="I1505" s="37" t="s">
        <v>715</v>
      </c>
      <c r="J1505" s="37" t="s">
        <v>1380</v>
      </c>
      <c r="K1505" s="45" t="n">
        <v>0</v>
      </c>
      <c r="L1505" s="46" t="n">
        <v>16918.11</v>
      </c>
    </row>
    <row r="1506" customFormat="false" ht="15" hidden="false" customHeight="false" outlineLevel="0" collapsed="false">
      <c r="A1506" s="37" t="n">
        <v>502376</v>
      </c>
      <c r="B1506" s="37" t="s">
        <v>1377</v>
      </c>
      <c r="C1506" s="37" t="n">
        <v>202604</v>
      </c>
      <c r="D1506" s="37" t="s">
        <v>66</v>
      </c>
      <c r="E1506" s="37" t="s">
        <v>102</v>
      </c>
      <c r="F1506" s="37" t="s">
        <v>205</v>
      </c>
      <c r="G1506" s="37" t="s">
        <v>358</v>
      </c>
      <c r="H1506" s="37" t="s">
        <v>1323</v>
      </c>
      <c r="I1506" s="37" t="s">
        <v>715</v>
      </c>
      <c r="J1506" s="37" t="s">
        <v>1381</v>
      </c>
      <c r="K1506" s="45" t="n">
        <v>0</v>
      </c>
      <c r="L1506" s="46" t="n">
        <v>30920.26</v>
      </c>
    </row>
    <row r="1507" customFormat="false" ht="15" hidden="false" customHeight="false" outlineLevel="0" collapsed="false">
      <c r="A1507" s="37" t="n">
        <v>502390</v>
      </c>
      <c r="B1507" s="37" t="s">
        <v>1377</v>
      </c>
      <c r="C1507" s="37" t="n">
        <v>202604</v>
      </c>
      <c r="D1507" s="37" t="s">
        <v>66</v>
      </c>
      <c r="E1507" s="37" t="s">
        <v>103</v>
      </c>
      <c r="F1507" s="37" t="s">
        <v>205</v>
      </c>
      <c r="G1507" s="37" t="s">
        <v>358</v>
      </c>
      <c r="H1507" s="37" t="s">
        <v>1296</v>
      </c>
      <c r="I1507" s="37" t="s">
        <v>1297</v>
      </c>
      <c r="J1507" s="37" t="s">
        <v>1382</v>
      </c>
      <c r="K1507" s="45" t="n">
        <v>0</v>
      </c>
      <c r="L1507" s="46" t="n">
        <v>22300.67</v>
      </c>
    </row>
    <row r="1508" customFormat="false" ht="15" hidden="false" customHeight="false" outlineLevel="0" collapsed="false">
      <c r="A1508" s="37" t="n">
        <v>502391</v>
      </c>
      <c r="B1508" s="37" t="s">
        <v>1377</v>
      </c>
      <c r="C1508" s="37" t="n">
        <v>202604</v>
      </c>
      <c r="D1508" s="37" t="s">
        <v>66</v>
      </c>
      <c r="E1508" s="37" t="s">
        <v>103</v>
      </c>
      <c r="F1508" s="37" t="s">
        <v>205</v>
      </c>
      <c r="G1508" s="37" t="s">
        <v>358</v>
      </c>
      <c r="H1508" s="37" t="s">
        <v>1296</v>
      </c>
      <c r="I1508" s="37" t="s">
        <v>1297</v>
      </c>
      <c r="J1508" s="37" t="s">
        <v>1383</v>
      </c>
      <c r="K1508" s="45" t="n">
        <v>0</v>
      </c>
      <c r="L1508" s="46" t="n">
        <v>60233.19</v>
      </c>
    </row>
    <row r="1509" customFormat="false" ht="15" hidden="false" customHeight="false" outlineLevel="0" collapsed="false">
      <c r="A1509" s="37" t="n">
        <v>502424</v>
      </c>
      <c r="B1509" s="37" t="s">
        <v>1377</v>
      </c>
      <c r="C1509" s="37" t="n">
        <v>202604</v>
      </c>
      <c r="D1509" s="37" t="s">
        <v>67</v>
      </c>
      <c r="E1509" s="37" t="s">
        <v>97</v>
      </c>
      <c r="F1509" s="37" t="s">
        <v>194</v>
      </c>
      <c r="G1509" s="37" t="s">
        <v>354</v>
      </c>
      <c r="H1509" s="37"/>
      <c r="I1509" s="37" t="s">
        <v>355</v>
      </c>
      <c r="J1509" s="37" t="s">
        <v>1378</v>
      </c>
      <c r="K1509" s="45" t="n">
        <v>59.3</v>
      </c>
      <c r="L1509" s="46" t="n">
        <v>5454.48</v>
      </c>
    </row>
    <row r="1510" customFormat="false" ht="15" hidden="false" customHeight="false" outlineLevel="0" collapsed="false">
      <c r="A1510" s="37" t="n">
        <v>502478</v>
      </c>
      <c r="B1510" s="37" t="s">
        <v>1377</v>
      </c>
      <c r="C1510" s="37" t="n">
        <v>202604</v>
      </c>
      <c r="D1510" s="37" t="s">
        <v>67</v>
      </c>
      <c r="E1510" s="37" t="s">
        <v>101</v>
      </c>
      <c r="F1510" s="37" t="s">
        <v>194</v>
      </c>
      <c r="G1510" s="37" t="s">
        <v>354</v>
      </c>
      <c r="H1510" s="37"/>
      <c r="I1510" s="37" t="s">
        <v>355</v>
      </c>
      <c r="J1510" s="37" t="s">
        <v>1378</v>
      </c>
      <c r="K1510" s="45" t="n">
        <v>106.9</v>
      </c>
      <c r="L1510" s="46" t="n">
        <v>7907.89</v>
      </c>
    </row>
    <row r="1511" customFormat="false" ht="15" hidden="false" customHeight="false" outlineLevel="0" collapsed="false">
      <c r="A1511" s="37" t="n">
        <v>500739</v>
      </c>
      <c r="B1511" s="37" t="s">
        <v>1384</v>
      </c>
      <c r="C1511" s="37" t="n">
        <v>202604</v>
      </c>
      <c r="D1511" s="37" t="s">
        <v>59</v>
      </c>
      <c r="E1511" s="37" t="s">
        <v>108</v>
      </c>
      <c r="F1511" s="37" t="s">
        <v>205</v>
      </c>
      <c r="G1511" s="37" t="s">
        <v>358</v>
      </c>
      <c r="H1511" s="37" t="s">
        <v>1385</v>
      </c>
      <c r="I1511" s="37" t="s">
        <v>1386</v>
      </c>
      <c r="J1511" s="37" t="s">
        <v>1387</v>
      </c>
      <c r="K1511" s="45" t="n">
        <v>0</v>
      </c>
      <c r="L1511" s="46" t="n">
        <v>21127.01</v>
      </c>
    </row>
    <row r="1512" customFormat="false" ht="15" hidden="false" customHeight="false" outlineLevel="0" collapsed="false">
      <c r="A1512" s="37" t="n">
        <v>501181</v>
      </c>
      <c r="B1512" s="37" t="s">
        <v>1384</v>
      </c>
      <c r="C1512" s="37" t="n">
        <v>202604</v>
      </c>
      <c r="D1512" s="37" t="s">
        <v>61</v>
      </c>
      <c r="E1512" s="37" t="s">
        <v>98</v>
      </c>
      <c r="F1512" s="37" t="s">
        <v>196</v>
      </c>
      <c r="G1512" s="37" t="s">
        <v>358</v>
      </c>
      <c r="H1512" s="37" t="s">
        <v>359</v>
      </c>
      <c r="I1512" s="37" t="s">
        <v>360</v>
      </c>
      <c r="J1512" s="37" t="s">
        <v>1388</v>
      </c>
      <c r="K1512" s="45" t="n">
        <v>0</v>
      </c>
      <c r="L1512" s="46" t="n">
        <v>17977.9</v>
      </c>
    </row>
    <row r="1513" customFormat="false" ht="15" hidden="false" customHeight="false" outlineLevel="0" collapsed="false">
      <c r="A1513" s="37" t="n">
        <v>502374</v>
      </c>
      <c r="B1513" s="37" t="s">
        <v>1384</v>
      </c>
      <c r="C1513" s="37" t="n">
        <v>202604</v>
      </c>
      <c r="D1513" s="37" t="s">
        <v>66</v>
      </c>
      <c r="E1513" s="37" t="s">
        <v>102</v>
      </c>
      <c r="F1513" s="37" t="s">
        <v>205</v>
      </c>
      <c r="G1513" s="37" t="s">
        <v>358</v>
      </c>
      <c r="H1513" s="37" t="s">
        <v>1323</v>
      </c>
      <c r="I1513" s="37" t="s">
        <v>715</v>
      </c>
      <c r="J1513" s="37" t="s">
        <v>1389</v>
      </c>
      <c r="K1513" s="45" t="n">
        <v>0</v>
      </c>
      <c r="L1513" s="46" t="n">
        <v>31171.56</v>
      </c>
    </row>
    <row r="1514" customFormat="false" ht="15" hidden="false" customHeight="false" outlineLevel="0" collapsed="false">
      <c r="A1514" s="37" t="n">
        <v>501445</v>
      </c>
      <c r="B1514" s="37" t="s">
        <v>1390</v>
      </c>
      <c r="C1514" s="37" t="n">
        <v>202604</v>
      </c>
      <c r="D1514" s="37" t="s">
        <v>62</v>
      </c>
      <c r="E1514" s="37" t="s">
        <v>98</v>
      </c>
      <c r="F1514" s="37" t="s">
        <v>196</v>
      </c>
      <c r="G1514" s="37" t="s">
        <v>358</v>
      </c>
      <c r="H1514" s="37" t="s">
        <v>359</v>
      </c>
      <c r="I1514" s="37" t="s">
        <v>360</v>
      </c>
      <c r="J1514" s="37" t="s">
        <v>1391</v>
      </c>
      <c r="K1514" s="45" t="n">
        <v>0</v>
      </c>
      <c r="L1514" s="46" t="n">
        <v>10380.03</v>
      </c>
    </row>
    <row r="1515" customFormat="false" ht="15" hidden="false" customHeight="false" outlineLevel="0" collapsed="false">
      <c r="A1515" s="37" t="n">
        <v>500162</v>
      </c>
      <c r="B1515" s="37" t="s">
        <v>1392</v>
      </c>
      <c r="C1515" s="37" t="n">
        <v>202604</v>
      </c>
      <c r="D1515" s="37" t="s">
        <v>58</v>
      </c>
      <c r="E1515" s="37" t="s">
        <v>98</v>
      </c>
      <c r="F1515" s="37" t="s">
        <v>196</v>
      </c>
      <c r="G1515" s="37" t="s">
        <v>358</v>
      </c>
      <c r="H1515" s="37" t="s">
        <v>359</v>
      </c>
      <c r="I1515" s="37" t="s">
        <v>360</v>
      </c>
      <c r="J1515" s="37" t="s">
        <v>1393</v>
      </c>
      <c r="K1515" s="45" t="n">
        <v>0</v>
      </c>
      <c r="L1515" s="46" t="n">
        <v>2237.35</v>
      </c>
    </row>
    <row r="1516" customFormat="false" ht="15" hidden="false" customHeight="false" outlineLevel="0" collapsed="false">
      <c r="A1516" s="37" t="n">
        <v>500393</v>
      </c>
      <c r="B1516" s="37" t="s">
        <v>1394</v>
      </c>
      <c r="C1516" s="37" t="n">
        <v>202604</v>
      </c>
      <c r="D1516" s="37" t="s">
        <v>58</v>
      </c>
      <c r="E1516" s="37" t="s">
        <v>108</v>
      </c>
      <c r="F1516" s="37" t="s">
        <v>205</v>
      </c>
      <c r="G1516" s="37" t="s">
        <v>358</v>
      </c>
      <c r="H1516" s="37" t="s">
        <v>885</v>
      </c>
      <c r="I1516" s="37" t="s">
        <v>886</v>
      </c>
      <c r="J1516" s="37" t="s">
        <v>1395</v>
      </c>
      <c r="K1516" s="45" t="n">
        <v>0</v>
      </c>
      <c r="L1516" s="46" t="n">
        <v>52262.62</v>
      </c>
    </row>
    <row r="1517" customFormat="false" ht="15" hidden="false" customHeight="false" outlineLevel="0" collapsed="false">
      <c r="A1517" s="37" t="n">
        <v>501921</v>
      </c>
      <c r="B1517" s="37" t="s">
        <v>1394</v>
      </c>
      <c r="C1517" s="37" t="n">
        <v>202604</v>
      </c>
      <c r="D1517" s="37" t="s">
        <v>64</v>
      </c>
      <c r="E1517" s="37" t="s">
        <v>98</v>
      </c>
      <c r="F1517" s="37" t="s">
        <v>196</v>
      </c>
      <c r="G1517" s="37" t="s">
        <v>358</v>
      </c>
      <c r="H1517" s="37" t="s">
        <v>359</v>
      </c>
      <c r="I1517" s="37" t="s">
        <v>360</v>
      </c>
      <c r="J1517" s="37" t="s">
        <v>1396</v>
      </c>
      <c r="K1517" s="45" t="n">
        <v>0</v>
      </c>
      <c r="L1517" s="46" t="n">
        <v>10734.4</v>
      </c>
    </row>
    <row r="1518" customFormat="false" ht="15" hidden="false" customHeight="false" outlineLevel="0" collapsed="false">
      <c r="A1518" s="37" t="n">
        <v>501777</v>
      </c>
      <c r="B1518" s="37" t="s">
        <v>1397</v>
      </c>
      <c r="C1518" s="37" t="n">
        <v>202604</v>
      </c>
      <c r="D1518" s="37" t="s">
        <v>63</v>
      </c>
      <c r="E1518" s="37" t="s">
        <v>103</v>
      </c>
      <c r="F1518" s="37" t="s">
        <v>205</v>
      </c>
      <c r="G1518" s="37" t="s">
        <v>358</v>
      </c>
      <c r="H1518" s="37" t="s">
        <v>921</v>
      </c>
      <c r="I1518" s="37" t="s">
        <v>728</v>
      </c>
      <c r="J1518" s="37" t="s">
        <v>1398</v>
      </c>
      <c r="K1518" s="45" t="n">
        <v>0</v>
      </c>
      <c r="L1518" s="46" t="n">
        <v>4463.23</v>
      </c>
    </row>
    <row r="1519" customFormat="false" ht="15" hidden="false" customHeight="false" outlineLevel="0" collapsed="false">
      <c r="A1519" s="37" t="n">
        <v>501778</v>
      </c>
      <c r="B1519" s="37" t="s">
        <v>1397</v>
      </c>
      <c r="C1519" s="37" t="n">
        <v>202604</v>
      </c>
      <c r="D1519" s="37" t="s">
        <v>63</v>
      </c>
      <c r="E1519" s="37" t="s">
        <v>103</v>
      </c>
      <c r="F1519" s="37" t="s">
        <v>205</v>
      </c>
      <c r="G1519" s="37" t="s">
        <v>358</v>
      </c>
      <c r="H1519" s="37" t="s">
        <v>921</v>
      </c>
      <c r="I1519" s="37" t="s">
        <v>728</v>
      </c>
      <c r="J1519" s="37" t="s">
        <v>1399</v>
      </c>
      <c r="K1519" s="45" t="n">
        <v>0</v>
      </c>
      <c r="L1519" s="46" t="n">
        <v>2825.81</v>
      </c>
    </row>
    <row r="1520" customFormat="false" ht="15" hidden="false" customHeight="false" outlineLevel="0" collapsed="false">
      <c r="A1520" s="37" t="n">
        <v>502131</v>
      </c>
      <c r="B1520" s="37" t="s">
        <v>1397</v>
      </c>
      <c r="C1520" s="37" t="n">
        <v>202604</v>
      </c>
      <c r="D1520" s="37" t="s">
        <v>65</v>
      </c>
      <c r="E1520" s="37" t="s">
        <v>98</v>
      </c>
      <c r="F1520" s="37" t="s">
        <v>196</v>
      </c>
      <c r="G1520" s="37" t="s">
        <v>358</v>
      </c>
      <c r="H1520" s="37" t="s">
        <v>359</v>
      </c>
      <c r="I1520" s="37" t="s">
        <v>360</v>
      </c>
      <c r="J1520" s="37" t="s">
        <v>1400</v>
      </c>
      <c r="K1520" s="45" t="n">
        <v>0</v>
      </c>
      <c r="L1520" s="46" t="n">
        <v>18718.91</v>
      </c>
    </row>
    <row r="1521" customFormat="false" ht="15" hidden="false" customHeight="false" outlineLevel="0" collapsed="false">
      <c r="A1521" s="37" t="n">
        <v>502452</v>
      </c>
      <c r="B1521" s="37" t="s">
        <v>1397</v>
      </c>
      <c r="C1521" s="37" t="n">
        <v>202604</v>
      </c>
      <c r="D1521" s="37" t="s">
        <v>67</v>
      </c>
      <c r="E1521" s="37" t="s">
        <v>98</v>
      </c>
      <c r="F1521" s="37" t="s">
        <v>196</v>
      </c>
      <c r="G1521" s="37" t="s">
        <v>358</v>
      </c>
      <c r="H1521" s="37" t="s">
        <v>359</v>
      </c>
      <c r="I1521" s="37" t="s">
        <v>360</v>
      </c>
      <c r="J1521" s="37" t="s">
        <v>1401</v>
      </c>
      <c r="K1521" s="45" t="n">
        <v>0</v>
      </c>
      <c r="L1521" s="46" t="n">
        <v>1954.3</v>
      </c>
    </row>
    <row r="1522" customFormat="false" ht="15" hidden="false" customHeight="false" outlineLevel="0" collapsed="false">
      <c r="A1522" s="37" t="n">
        <v>500098</v>
      </c>
      <c r="B1522" s="37" t="s">
        <v>1402</v>
      </c>
      <c r="C1522" s="37" t="n">
        <v>202604</v>
      </c>
      <c r="D1522" s="37" t="s">
        <v>58</v>
      </c>
      <c r="E1522" s="37" t="s">
        <v>97</v>
      </c>
      <c r="F1522" s="37" t="s">
        <v>194</v>
      </c>
      <c r="G1522" s="37" t="s">
        <v>354</v>
      </c>
      <c r="H1522" s="37"/>
      <c r="I1522" s="37" t="s">
        <v>355</v>
      </c>
      <c r="J1522" s="37" t="s">
        <v>1403</v>
      </c>
      <c r="K1522" s="45" t="n">
        <v>114.6</v>
      </c>
      <c r="L1522" s="46" t="n">
        <v>10539.32</v>
      </c>
    </row>
    <row r="1523" customFormat="false" ht="15" hidden="false" customHeight="false" outlineLevel="0" collapsed="false">
      <c r="A1523" s="37" t="n">
        <v>500506</v>
      </c>
      <c r="B1523" s="37" t="s">
        <v>1402</v>
      </c>
      <c r="C1523" s="37" t="n">
        <v>202604</v>
      </c>
      <c r="D1523" s="37" t="s">
        <v>59</v>
      </c>
      <c r="E1523" s="37" t="s">
        <v>97</v>
      </c>
      <c r="F1523" s="37" t="s">
        <v>194</v>
      </c>
      <c r="G1523" s="37" t="s">
        <v>354</v>
      </c>
      <c r="H1523" s="37"/>
      <c r="I1523" s="37" t="s">
        <v>355</v>
      </c>
      <c r="J1523" s="37" t="s">
        <v>1403</v>
      </c>
      <c r="K1523" s="45" t="n">
        <v>149.8</v>
      </c>
      <c r="L1523" s="46" t="n">
        <v>13784.22</v>
      </c>
    </row>
    <row r="1524" customFormat="false" ht="15" hidden="false" customHeight="false" outlineLevel="0" collapsed="false">
      <c r="A1524" s="37" t="n">
        <v>500708</v>
      </c>
      <c r="B1524" s="37" t="s">
        <v>1402</v>
      </c>
      <c r="C1524" s="37" t="n">
        <v>202604</v>
      </c>
      <c r="D1524" s="37" t="s">
        <v>59</v>
      </c>
      <c r="E1524" s="37" t="s">
        <v>106</v>
      </c>
      <c r="F1524" s="37" t="s">
        <v>194</v>
      </c>
      <c r="G1524" s="37" t="s">
        <v>354</v>
      </c>
      <c r="H1524" s="37"/>
      <c r="I1524" s="37" t="s">
        <v>355</v>
      </c>
      <c r="J1524" s="37" t="s">
        <v>1403</v>
      </c>
      <c r="K1524" s="45" t="n">
        <v>152.7</v>
      </c>
      <c r="L1524" s="46" t="n">
        <v>10842.2</v>
      </c>
    </row>
    <row r="1525" customFormat="false" ht="15" hidden="false" customHeight="false" outlineLevel="0" collapsed="false">
      <c r="A1525" s="37" t="n">
        <v>500835</v>
      </c>
      <c r="B1525" s="37" t="s">
        <v>1402</v>
      </c>
      <c r="C1525" s="37" t="n">
        <v>202604</v>
      </c>
      <c r="D1525" s="37" t="s">
        <v>60</v>
      </c>
      <c r="E1525" s="37" t="s">
        <v>97</v>
      </c>
      <c r="F1525" s="37" t="s">
        <v>194</v>
      </c>
      <c r="G1525" s="37" t="s">
        <v>354</v>
      </c>
      <c r="H1525" s="37"/>
      <c r="I1525" s="37" t="s">
        <v>355</v>
      </c>
      <c r="J1525" s="37" t="s">
        <v>1403</v>
      </c>
      <c r="K1525" s="45" t="n">
        <v>388.7</v>
      </c>
      <c r="L1525" s="46" t="n">
        <v>35759.37</v>
      </c>
    </row>
    <row r="1526" customFormat="false" ht="15" hidden="false" customHeight="false" outlineLevel="0" collapsed="false">
      <c r="A1526" s="37" t="n">
        <v>501028</v>
      </c>
      <c r="B1526" s="37" t="s">
        <v>1402</v>
      </c>
      <c r="C1526" s="37" t="n">
        <v>202604</v>
      </c>
      <c r="D1526" s="37" t="s">
        <v>60</v>
      </c>
      <c r="E1526" s="37" t="s">
        <v>106</v>
      </c>
      <c r="F1526" s="37" t="s">
        <v>194</v>
      </c>
      <c r="G1526" s="37" t="s">
        <v>354</v>
      </c>
      <c r="H1526" s="37"/>
      <c r="I1526" s="37" t="s">
        <v>355</v>
      </c>
      <c r="J1526" s="37" t="s">
        <v>1403</v>
      </c>
      <c r="K1526" s="45" t="n">
        <v>549</v>
      </c>
      <c r="L1526" s="46" t="n">
        <v>38975.92</v>
      </c>
    </row>
    <row r="1527" customFormat="false" ht="15" hidden="false" customHeight="false" outlineLevel="0" collapsed="false">
      <c r="A1527" s="37" t="n">
        <v>501142</v>
      </c>
      <c r="B1527" s="37" t="s">
        <v>1402</v>
      </c>
      <c r="C1527" s="37" t="n">
        <v>202604</v>
      </c>
      <c r="D1527" s="37" t="s">
        <v>61</v>
      </c>
      <c r="E1527" s="37" t="s">
        <v>97</v>
      </c>
      <c r="F1527" s="37" t="s">
        <v>194</v>
      </c>
      <c r="G1527" s="37" t="s">
        <v>354</v>
      </c>
      <c r="H1527" s="37"/>
      <c r="I1527" s="37" t="s">
        <v>355</v>
      </c>
      <c r="J1527" s="37" t="s">
        <v>1403</v>
      </c>
      <c r="K1527" s="45" t="n">
        <v>223.2</v>
      </c>
      <c r="L1527" s="46" t="n">
        <v>20535.88</v>
      </c>
    </row>
    <row r="1528" customFormat="false" ht="15" hidden="false" customHeight="false" outlineLevel="0" collapsed="false">
      <c r="A1528" s="37" t="n">
        <v>501302</v>
      </c>
      <c r="B1528" s="37" t="s">
        <v>1402</v>
      </c>
      <c r="C1528" s="37" t="n">
        <v>202604</v>
      </c>
      <c r="D1528" s="37" t="s">
        <v>61</v>
      </c>
      <c r="E1528" s="37" t="s">
        <v>106</v>
      </c>
      <c r="F1528" s="37" t="s">
        <v>194</v>
      </c>
      <c r="G1528" s="37" t="s">
        <v>354</v>
      </c>
      <c r="H1528" s="37"/>
      <c r="I1528" s="37" t="s">
        <v>355</v>
      </c>
      <c r="J1528" s="37" t="s">
        <v>1403</v>
      </c>
      <c r="K1528" s="45" t="n">
        <v>181.4</v>
      </c>
      <c r="L1528" s="46" t="n">
        <v>12876.76</v>
      </c>
    </row>
    <row r="1529" customFormat="false" ht="15" hidden="false" customHeight="false" outlineLevel="0" collapsed="false">
      <c r="A1529" s="37" t="n">
        <v>501324</v>
      </c>
      <c r="B1529" s="37" t="s">
        <v>1402</v>
      </c>
      <c r="C1529" s="37" t="n">
        <v>202604</v>
      </c>
      <c r="D1529" s="37" t="s">
        <v>61</v>
      </c>
      <c r="E1529" s="37" t="s">
        <v>108</v>
      </c>
      <c r="F1529" s="37" t="s">
        <v>205</v>
      </c>
      <c r="G1529" s="37" t="s">
        <v>358</v>
      </c>
      <c r="H1529" s="37" t="s">
        <v>1404</v>
      </c>
      <c r="I1529" s="37" t="s">
        <v>1405</v>
      </c>
      <c r="J1529" s="37" t="s">
        <v>1406</v>
      </c>
      <c r="K1529" s="45" t="n">
        <v>0</v>
      </c>
      <c r="L1529" s="46" t="n">
        <v>5358.14</v>
      </c>
    </row>
    <row r="1530" customFormat="false" ht="15" hidden="false" customHeight="false" outlineLevel="0" collapsed="false">
      <c r="A1530" s="37" t="n">
        <v>501403</v>
      </c>
      <c r="B1530" s="37" t="s">
        <v>1402</v>
      </c>
      <c r="C1530" s="37" t="n">
        <v>202604</v>
      </c>
      <c r="D1530" s="37" t="s">
        <v>62</v>
      </c>
      <c r="E1530" s="37" t="s">
        <v>97</v>
      </c>
      <c r="F1530" s="37" t="s">
        <v>194</v>
      </c>
      <c r="G1530" s="37" t="s">
        <v>354</v>
      </c>
      <c r="H1530" s="37"/>
      <c r="I1530" s="37" t="s">
        <v>355</v>
      </c>
      <c r="J1530" s="37" t="s">
        <v>1403</v>
      </c>
      <c r="K1530" s="45" t="n">
        <v>195.4</v>
      </c>
      <c r="L1530" s="46" t="n">
        <v>17975.54</v>
      </c>
    </row>
    <row r="1531" customFormat="false" ht="15" hidden="false" customHeight="false" outlineLevel="0" collapsed="false">
      <c r="A1531" s="37" t="n">
        <v>501507</v>
      </c>
      <c r="B1531" s="37" t="s">
        <v>1402</v>
      </c>
      <c r="C1531" s="37" t="n">
        <v>202604</v>
      </c>
      <c r="D1531" s="37" t="s">
        <v>62</v>
      </c>
      <c r="E1531" s="37" t="s">
        <v>101</v>
      </c>
      <c r="F1531" s="37" t="s">
        <v>194</v>
      </c>
      <c r="G1531" s="37" t="s">
        <v>354</v>
      </c>
      <c r="H1531" s="37"/>
      <c r="I1531" s="37" t="s">
        <v>355</v>
      </c>
      <c r="J1531" s="37" t="s">
        <v>1403</v>
      </c>
      <c r="K1531" s="45" t="n">
        <v>180.5</v>
      </c>
      <c r="L1531" s="46" t="n">
        <v>13355.12</v>
      </c>
    </row>
    <row r="1532" customFormat="false" ht="15" hidden="false" customHeight="false" outlineLevel="0" collapsed="false">
      <c r="A1532" s="37" t="n">
        <v>501569</v>
      </c>
      <c r="B1532" s="37" t="s">
        <v>1402</v>
      </c>
      <c r="C1532" s="37" t="n">
        <v>202604</v>
      </c>
      <c r="D1532" s="37" t="s">
        <v>62</v>
      </c>
      <c r="E1532" s="37" t="s">
        <v>106</v>
      </c>
      <c r="F1532" s="37" t="s">
        <v>194</v>
      </c>
      <c r="G1532" s="37" t="s">
        <v>354</v>
      </c>
      <c r="H1532" s="37"/>
      <c r="I1532" s="37" t="s">
        <v>355</v>
      </c>
      <c r="J1532" s="37" t="s">
        <v>1403</v>
      </c>
      <c r="K1532" s="45" t="n">
        <v>11.9</v>
      </c>
      <c r="L1532" s="46" t="n">
        <v>844.12</v>
      </c>
    </row>
    <row r="1533" customFormat="false" ht="15" hidden="false" customHeight="false" outlineLevel="0" collapsed="false">
      <c r="A1533" s="37" t="n">
        <v>501649</v>
      </c>
      <c r="B1533" s="37" t="s">
        <v>1402</v>
      </c>
      <c r="C1533" s="37" t="n">
        <v>202604</v>
      </c>
      <c r="D1533" s="37" t="s">
        <v>63</v>
      </c>
      <c r="E1533" s="37" t="s">
        <v>97</v>
      </c>
      <c r="F1533" s="37" t="s">
        <v>194</v>
      </c>
      <c r="G1533" s="37" t="s">
        <v>354</v>
      </c>
      <c r="H1533" s="37"/>
      <c r="I1533" s="37" t="s">
        <v>355</v>
      </c>
      <c r="J1533" s="37" t="s">
        <v>1403</v>
      </c>
      <c r="K1533" s="45" t="n">
        <v>359.3</v>
      </c>
      <c r="L1533" s="46" t="n">
        <v>33057.02</v>
      </c>
    </row>
    <row r="1534" customFormat="false" ht="15" hidden="false" customHeight="false" outlineLevel="0" collapsed="false">
      <c r="A1534" s="37" t="n">
        <v>501799</v>
      </c>
      <c r="B1534" s="37" t="s">
        <v>1402</v>
      </c>
      <c r="C1534" s="37" t="n">
        <v>202604</v>
      </c>
      <c r="D1534" s="37" t="s">
        <v>63</v>
      </c>
      <c r="E1534" s="37" t="s">
        <v>106</v>
      </c>
      <c r="F1534" s="37" t="s">
        <v>194</v>
      </c>
      <c r="G1534" s="37" t="s">
        <v>354</v>
      </c>
      <c r="H1534" s="37"/>
      <c r="I1534" s="37" t="s">
        <v>355</v>
      </c>
      <c r="J1534" s="37" t="s">
        <v>1403</v>
      </c>
      <c r="K1534" s="45" t="n">
        <v>73</v>
      </c>
      <c r="L1534" s="46" t="n">
        <v>5185.29</v>
      </c>
    </row>
    <row r="1535" customFormat="false" ht="15" hidden="false" customHeight="false" outlineLevel="0" collapsed="false">
      <c r="A1535" s="37" t="n">
        <v>501883</v>
      </c>
      <c r="B1535" s="37" t="s">
        <v>1402</v>
      </c>
      <c r="C1535" s="37" t="n">
        <v>202604</v>
      </c>
      <c r="D1535" s="37" t="s">
        <v>64</v>
      </c>
      <c r="E1535" s="37" t="s">
        <v>97</v>
      </c>
      <c r="F1535" s="37" t="s">
        <v>194</v>
      </c>
      <c r="G1535" s="37" t="s">
        <v>354</v>
      </c>
      <c r="H1535" s="37"/>
      <c r="I1535" s="37" t="s">
        <v>355</v>
      </c>
      <c r="J1535" s="37" t="s">
        <v>1403</v>
      </c>
      <c r="K1535" s="45" t="n">
        <v>270.1</v>
      </c>
      <c r="L1535" s="46" t="n">
        <v>24850.71</v>
      </c>
    </row>
    <row r="1536" customFormat="false" ht="15" hidden="false" customHeight="false" outlineLevel="0" collapsed="false">
      <c r="A1536" s="37" t="n">
        <v>501973</v>
      </c>
      <c r="B1536" s="37" t="s">
        <v>1402</v>
      </c>
      <c r="C1536" s="37" t="n">
        <v>202604</v>
      </c>
      <c r="D1536" s="37" t="s">
        <v>64</v>
      </c>
      <c r="E1536" s="37" t="s">
        <v>101</v>
      </c>
      <c r="F1536" s="37" t="s">
        <v>194</v>
      </c>
      <c r="G1536" s="37" t="s">
        <v>354</v>
      </c>
      <c r="H1536" s="37"/>
      <c r="I1536" s="37" t="s">
        <v>355</v>
      </c>
      <c r="J1536" s="37" t="s">
        <v>1403</v>
      </c>
      <c r="K1536" s="45" t="n">
        <v>934.1</v>
      </c>
      <c r="L1536" s="46" t="n">
        <v>69119.76</v>
      </c>
    </row>
    <row r="1537" customFormat="false" ht="15" hidden="false" customHeight="false" outlineLevel="0" collapsed="false">
      <c r="A1537" s="37" t="n">
        <v>502099</v>
      </c>
      <c r="B1537" s="37" t="s">
        <v>1402</v>
      </c>
      <c r="C1537" s="37" t="n">
        <v>202604</v>
      </c>
      <c r="D1537" s="37" t="s">
        <v>65</v>
      </c>
      <c r="E1537" s="37" t="s">
        <v>97</v>
      </c>
      <c r="F1537" s="37" t="s">
        <v>194</v>
      </c>
      <c r="G1537" s="37" t="s">
        <v>354</v>
      </c>
      <c r="H1537" s="37"/>
      <c r="I1537" s="37" t="s">
        <v>355</v>
      </c>
      <c r="J1537" s="37" t="s">
        <v>1403</v>
      </c>
      <c r="K1537" s="45" t="n">
        <v>205.4</v>
      </c>
      <c r="L1537" s="46" t="n">
        <v>18894.77</v>
      </c>
    </row>
    <row r="1538" customFormat="false" ht="15" hidden="false" customHeight="false" outlineLevel="0" collapsed="false">
      <c r="A1538" s="37" t="n">
        <v>502178</v>
      </c>
      <c r="B1538" s="37" t="s">
        <v>1402</v>
      </c>
      <c r="C1538" s="37" t="n">
        <v>202604</v>
      </c>
      <c r="D1538" s="37" t="s">
        <v>65</v>
      </c>
      <c r="E1538" s="37" t="s">
        <v>101</v>
      </c>
      <c r="F1538" s="37" t="s">
        <v>194</v>
      </c>
      <c r="G1538" s="37" t="s">
        <v>354</v>
      </c>
      <c r="H1538" s="37"/>
      <c r="I1538" s="37" t="s">
        <v>355</v>
      </c>
      <c r="J1538" s="37" t="s">
        <v>1403</v>
      </c>
      <c r="K1538" s="45" t="n">
        <v>1110.5</v>
      </c>
      <c r="L1538" s="46" t="n">
        <v>82179.69</v>
      </c>
    </row>
    <row r="1539" customFormat="false" ht="15" hidden="false" customHeight="false" outlineLevel="0" collapsed="false">
      <c r="A1539" s="37" t="n">
        <v>502201</v>
      </c>
      <c r="B1539" s="37" t="s">
        <v>1402</v>
      </c>
      <c r="C1539" s="37" t="n">
        <v>202604</v>
      </c>
      <c r="D1539" s="37" t="s">
        <v>65</v>
      </c>
      <c r="E1539" s="37" t="s">
        <v>102</v>
      </c>
      <c r="F1539" s="37" t="s">
        <v>205</v>
      </c>
      <c r="G1539" s="37" t="s">
        <v>358</v>
      </c>
      <c r="H1539" s="37" t="s">
        <v>1039</v>
      </c>
      <c r="I1539" s="37" t="s">
        <v>715</v>
      </c>
      <c r="J1539" s="37" t="s">
        <v>1407</v>
      </c>
      <c r="K1539" s="45" t="n">
        <v>0</v>
      </c>
      <c r="L1539" s="46" t="n">
        <v>31198.92</v>
      </c>
    </row>
    <row r="1540" customFormat="false" ht="15" hidden="false" customHeight="false" outlineLevel="0" collapsed="false">
      <c r="A1540" s="37" t="n">
        <v>502282</v>
      </c>
      <c r="B1540" s="37" t="s">
        <v>1402</v>
      </c>
      <c r="C1540" s="37" t="n">
        <v>202604</v>
      </c>
      <c r="D1540" s="37" t="s">
        <v>66</v>
      </c>
      <c r="E1540" s="37" t="s">
        <v>97</v>
      </c>
      <c r="F1540" s="37" t="s">
        <v>194</v>
      </c>
      <c r="G1540" s="37" t="s">
        <v>354</v>
      </c>
      <c r="H1540" s="37"/>
      <c r="I1540" s="37" t="s">
        <v>355</v>
      </c>
      <c r="J1540" s="37" t="s">
        <v>1403</v>
      </c>
      <c r="K1540" s="45" t="n">
        <v>42.8</v>
      </c>
      <c r="L1540" s="46" t="n">
        <v>3939.98</v>
      </c>
    </row>
    <row r="1541" customFormat="false" ht="15" hidden="false" customHeight="false" outlineLevel="0" collapsed="false">
      <c r="A1541" s="37" t="n">
        <v>502347</v>
      </c>
      <c r="B1541" s="37" t="s">
        <v>1402</v>
      </c>
      <c r="C1541" s="37" t="n">
        <v>202604</v>
      </c>
      <c r="D1541" s="37" t="s">
        <v>66</v>
      </c>
      <c r="E1541" s="37" t="s">
        <v>101</v>
      </c>
      <c r="F1541" s="37" t="s">
        <v>194</v>
      </c>
      <c r="G1541" s="37" t="s">
        <v>354</v>
      </c>
      <c r="H1541" s="37"/>
      <c r="I1541" s="37" t="s">
        <v>355</v>
      </c>
      <c r="J1541" s="37" t="s">
        <v>1403</v>
      </c>
      <c r="K1541" s="45" t="n">
        <v>341.8</v>
      </c>
      <c r="L1541" s="46" t="n">
        <v>25294.15</v>
      </c>
    </row>
    <row r="1542" customFormat="false" ht="15" hidden="false" customHeight="false" outlineLevel="0" collapsed="false">
      <c r="A1542" s="37" t="n">
        <v>502425</v>
      </c>
      <c r="B1542" s="37" t="s">
        <v>1402</v>
      </c>
      <c r="C1542" s="37" t="n">
        <v>202604</v>
      </c>
      <c r="D1542" s="37" t="s">
        <v>67</v>
      </c>
      <c r="E1542" s="37" t="s">
        <v>97</v>
      </c>
      <c r="F1542" s="37" t="s">
        <v>194</v>
      </c>
      <c r="G1542" s="37" t="s">
        <v>354</v>
      </c>
      <c r="H1542" s="37"/>
      <c r="I1542" s="37" t="s">
        <v>355</v>
      </c>
      <c r="J1542" s="37" t="s">
        <v>1403</v>
      </c>
      <c r="K1542" s="45" t="n">
        <v>95.5</v>
      </c>
      <c r="L1542" s="46" t="n">
        <v>8788.99</v>
      </c>
    </row>
    <row r="1543" customFormat="false" ht="15" hidden="false" customHeight="false" outlineLevel="0" collapsed="false">
      <c r="A1543" s="37" t="n">
        <v>502479</v>
      </c>
      <c r="B1543" s="37" t="s">
        <v>1402</v>
      </c>
      <c r="C1543" s="37" t="n">
        <v>202604</v>
      </c>
      <c r="D1543" s="37" t="s">
        <v>67</v>
      </c>
      <c r="E1543" s="37" t="s">
        <v>101</v>
      </c>
      <c r="F1543" s="37" t="s">
        <v>194</v>
      </c>
      <c r="G1543" s="37" t="s">
        <v>354</v>
      </c>
      <c r="H1543" s="37"/>
      <c r="I1543" s="37" t="s">
        <v>355</v>
      </c>
      <c r="J1543" s="37" t="s">
        <v>1403</v>
      </c>
      <c r="K1543" s="45" t="n">
        <v>72.5</v>
      </c>
      <c r="L1543" s="46" t="n">
        <v>5362.82</v>
      </c>
    </row>
    <row r="1544" customFormat="false" ht="15" hidden="false" customHeight="false" outlineLevel="0" collapsed="false">
      <c r="A1544" s="37" t="n">
        <v>501326</v>
      </c>
      <c r="B1544" s="37" t="s">
        <v>1408</v>
      </c>
      <c r="C1544" s="37" t="n">
        <v>202604</v>
      </c>
      <c r="D1544" s="37" t="s">
        <v>61</v>
      </c>
      <c r="E1544" s="37" t="s">
        <v>108</v>
      </c>
      <c r="F1544" s="37" t="s">
        <v>205</v>
      </c>
      <c r="G1544" s="37" t="s">
        <v>358</v>
      </c>
      <c r="H1544" s="37" t="s">
        <v>1404</v>
      </c>
      <c r="I1544" s="37" t="s">
        <v>1405</v>
      </c>
      <c r="J1544" s="37" t="s">
        <v>1409</v>
      </c>
      <c r="K1544" s="45" t="n">
        <v>0</v>
      </c>
      <c r="L1544" s="46" t="n">
        <v>681.59</v>
      </c>
    </row>
    <row r="1545" customFormat="false" ht="15" hidden="false" customHeight="false" outlineLevel="0" collapsed="false">
      <c r="A1545" s="37" t="n">
        <v>501693</v>
      </c>
      <c r="B1545" s="37" t="s">
        <v>1410</v>
      </c>
      <c r="C1545" s="37" t="n">
        <v>202604</v>
      </c>
      <c r="D1545" s="37" t="s">
        <v>63</v>
      </c>
      <c r="E1545" s="37" t="s">
        <v>98</v>
      </c>
      <c r="F1545" s="37" t="s">
        <v>196</v>
      </c>
      <c r="G1545" s="37" t="s">
        <v>358</v>
      </c>
      <c r="H1545" s="37" t="s">
        <v>359</v>
      </c>
      <c r="I1545" s="37" t="s">
        <v>360</v>
      </c>
      <c r="J1545" s="37" t="s">
        <v>1411</v>
      </c>
      <c r="K1545" s="45" t="n">
        <v>0</v>
      </c>
      <c r="L1545" s="46" t="n">
        <v>15297.83</v>
      </c>
    </row>
    <row r="1546" customFormat="false" ht="15" hidden="false" customHeight="false" outlineLevel="0" collapsed="false">
      <c r="A1546" s="37" t="n">
        <v>501546</v>
      </c>
      <c r="B1546" s="37" t="s">
        <v>1412</v>
      </c>
      <c r="C1546" s="37" t="n">
        <v>202604</v>
      </c>
      <c r="D1546" s="37" t="s">
        <v>62</v>
      </c>
      <c r="E1546" s="37" t="s">
        <v>103</v>
      </c>
      <c r="F1546" s="37" t="s">
        <v>205</v>
      </c>
      <c r="G1546" s="37" t="s">
        <v>358</v>
      </c>
      <c r="H1546" s="37" t="s">
        <v>897</v>
      </c>
      <c r="I1546" s="37" t="s">
        <v>898</v>
      </c>
      <c r="J1546" s="37" t="s">
        <v>1413</v>
      </c>
      <c r="K1546" s="45" t="n">
        <v>0</v>
      </c>
      <c r="L1546" s="46" t="n">
        <v>90225.38</v>
      </c>
    </row>
    <row r="1547" customFormat="false" ht="15" hidden="false" customHeight="false" outlineLevel="0" collapsed="false">
      <c r="A1547" s="37" t="n">
        <v>502312</v>
      </c>
      <c r="B1547" s="37" t="s">
        <v>1412</v>
      </c>
      <c r="C1547" s="37" t="n">
        <v>202604</v>
      </c>
      <c r="D1547" s="37" t="s">
        <v>66</v>
      </c>
      <c r="E1547" s="37" t="s">
        <v>98</v>
      </c>
      <c r="F1547" s="37" t="s">
        <v>196</v>
      </c>
      <c r="G1547" s="37" t="s">
        <v>358</v>
      </c>
      <c r="H1547" s="37" t="s">
        <v>359</v>
      </c>
      <c r="I1547" s="37" t="s">
        <v>360</v>
      </c>
      <c r="J1547" s="37" t="s">
        <v>1414</v>
      </c>
      <c r="K1547" s="45" t="n">
        <v>0</v>
      </c>
      <c r="L1547" s="46" t="n">
        <v>21816.01</v>
      </c>
    </row>
    <row r="1548" customFormat="false" ht="15" hidden="false" customHeight="false" outlineLevel="0" collapsed="false">
      <c r="A1548" s="37" t="n">
        <v>502519</v>
      </c>
      <c r="B1548" s="37" t="s">
        <v>1412</v>
      </c>
      <c r="C1548" s="37" t="n">
        <v>202604</v>
      </c>
      <c r="D1548" s="37" t="s">
        <v>67</v>
      </c>
      <c r="E1548" s="37" t="s">
        <v>103</v>
      </c>
      <c r="F1548" s="37" t="s">
        <v>205</v>
      </c>
      <c r="G1548" s="37" t="s">
        <v>358</v>
      </c>
      <c r="H1548" s="37" t="s">
        <v>1368</v>
      </c>
      <c r="I1548" s="37" t="s">
        <v>1369</v>
      </c>
      <c r="J1548" s="37" t="s">
        <v>1415</v>
      </c>
      <c r="K1548" s="45" t="n">
        <v>0</v>
      </c>
      <c r="L1548" s="46" t="n">
        <v>10424.97</v>
      </c>
    </row>
    <row r="1549" customFormat="false" ht="15" hidden="false" customHeight="false" outlineLevel="0" collapsed="false">
      <c r="A1549" s="37" t="n">
        <v>501325</v>
      </c>
      <c r="B1549" s="37" t="s">
        <v>1416</v>
      </c>
      <c r="C1549" s="37" t="n">
        <v>202604</v>
      </c>
      <c r="D1549" s="37" t="s">
        <v>61</v>
      </c>
      <c r="E1549" s="37" t="s">
        <v>108</v>
      </c>
      <c r="F1549" s="37" t="s">
        <v>205</v>
      </c>
      <c r="G1549" s="37" t="s">
        <v>358</v>
      </c>
      <c r="H1549" s="37" t="s">
        <v>1404</v>
      </c>
      <c r="I1549" s="37" t="s">
        <v>1405</v>
      </c>
      <c r="J1549" s="37" t="s">
        <v>1417</v>
      </c>
      <c r="K1549" s="45" t="n">
        <v>0</v>
      </c>
      <c r="L1549" s="46" t="n">
        <v>1655.29</v>
      </c>
    </row>
    <row r="1550" customFormat="false" ht="15" hidden="false" customHeight="false" outlineLevel="0" collapsed="false">
      <c r="A1550" s="37" t="n">
        <v>502132</v>
      </c>
      <c r="B1550" s="37" t="s">
        <v>1416</v>
      </c>
      <c r="C1550" s="37" t="n">
        <v>202604</v>
      </c>
      <c r="D1550" s="37" t="s">
        <v>65</v>
      </c>
      <c r="E1550" s="37" t="s">
        <v>98</v>
      </c>
      <c r="F1550" s="37" t="s">
        <v>196</v>
      </c>
      <c r="G1550" s="37" t="s">
        <v>358</v>
      </c>
      <c r="H1550" s="37" t="s">
        <v>359</v>
      </c>
      <c r="I1550" s="37" t="s">
        <v>360</v>
      </c>
      <c r="J1550" s="37" t="s">
        <v>1418</v>
      </c>
      <c r="K1550" s="45" t="n">
        <v>0</v>
      </c>
      <c r="L1550" s="46" t="n">
        <v>17275.81</v>
      </c>
    </row>
    <row r="1551" customFormat="false" ht="15" hidden="false" customHeight="false" outlineLevel="0" collapsed="false">
      <c r="A1551" s="37" t="n">
        <v>501779</v>
      </c>
      <c r="B1551" s="37" t="s">
        <v>1419</v>
      </c>
      <c r="C1551" s="37" t="n">
        <v>202604</v>
      </c>
      <c r="D1551" s="37" t="s">
        <v>63</v>
      </c>
      <c r="E1551" s="37" t="s">
        <v>103</v>
      </c>
      <c r="F1551" s="37" t="s">
        <v>205</v>
      </c>
      <c r="G1551" s="37" t="s">
        <v>358</v>
      </c>
      <c r="H1551" s="37" t="s">
        <v>921</v>
      </c>
      <c r="I1551" s="37" t="s">
        <v>728</v>
      </c>
      <c r="J1551" s="37" t="s">
        <v>1420</v>
      </c>
      <c r="K1551" s="45" t="n">
        <v>0</v>
      </c>
      <c r="L1551" s="46" t="n">
        <v>2711.96</v>
      </c>
    </row>
    <row r="1552" customFormat="false" ht="15" hidden="false" customHeight="false" outlineLevel="0" collapsed="false">
      <c r="A1552" s="37" t="n">
        <v>501444</v>
      </c>
      <c r="B1552" s="37" t="s">
        <v>1421</v>
      </c>
      <c r="C1552" s="37" t="n">
        <v>202604</v>
      </c>
      <c r="D1552" s="37" t="s">
        <v>62</v>
      </c>
      <c r="E1552" s="37" t="s">
        <v>98</v>
      </c>
      <c r="F1552" s="37" t="s">
        <v>196</v>
      </c>
      <c r="G1552" s="37" t="s">
        <v>358</v>
      </c>
      <c r="H1552" s="37" t="s">
        <v>359</v>
      </c>
      <c r="I1552" s="37" t="s">
        <v>360</v>
      </c>
      <c r="J1552" s="37" t="s">
        <v>1422</v>
      </c>
      <c r="K1552" s="45" t="n">
        <v>0</v>
      </c>
      <c r="L1552" s="46" t="n">
        <v>32770.31</v>
      </c>
    </row>
    <row r="1553" customFormat="false" ht="15" hidden="false" customHeight="false" outlineLevel="0" collapsed="false">
      <c r="A1553" s="37" t="n">
        <v>502011</v>
      </c>
      <c r="B1553" s="37" t="s">
        <v>1421</v>
      </c>
      <c r="C1553" s="37" t="n">
        <v>202604</v>
      </c>
      <c r="D1553" s="37" t="s">
        <v>64</v>
      </c>
      <c r="E1553" s="37" t="s">
        <v>103</v>
      </c>
      <c r="F1553" s="37" t="s">
        <v>205</v>
      </c>
      <c r="G1553" s="37" t="s">
        <v>358</v>
      </c>
      <c r="H1553" s="37" t="s">
        <v>969</v>
      </c>
      <c r="I1553" s="37" t="s">
        <v>898</v>
      </c>
      <c r="J1553" s="37" t="s">
        <v>1423</v>
      </c>
      <c r="K1553" s="45" t="n">
        <v>0</v>
      </c>
      <c r="L1553" s="46" t="n">
        <v>32830.39</v>
      </c>
    </row>
    <row r="1554" customFormat="false" ht="15" hidden="false" customHeight="false" outlineLevel="0" collapsed="false">
      <c r="A1554" s="37" t="n">
        <v>500099</v>
      </c>
      <c r="B1554" s="37" t="s">
        <v>1424</v>
      </c>
      <c r="C1554" s="37" t="n">
        <v>202604</v>
      </c>
      <c r="D1554" s="37" t="s">
        <v>58</v>
      </c>
      <c r="E1554" s="37" t="s">
        <v>97</v>
      </c>
      <c r="F1554" s="37" t="s">
        <v>194</v>
      </c>
      <c r="G1554" s="37" t="s">
        <v>354</v>
      </c>
      <c r="H1554" s="37"/>
      <c r="I1554" s="37" t="s">
        <v>355</v>
      </c>
      <c r="J1554" s="37" t="s">
        <v>1425</v>
      </c>
      <c r="K1554" s="45" t="n">
        <v>52.8</v>
      </c>
      <c r="L1554" s="46" t="n">
        <v>4857.48</v>
      </c>
    </row>
    <row r="1555" customFormat="false" ht="15" hidden="false" customHeight="false" outlineLevel="0" collapsed="false">
      <c r="A1555" s="37" t="n">
        <v>500507</v>
      </c>
      <c r="B1555" s="37" t="s">
        <v>1424</v>
      </c>
      <c r="C1555" s="37" t="n">
        <v>202604</v>
      </c>
      <c r="D1555" s="37" t="s">
        <v>59</v>
      </c>
      <c r="E1555" s="37" t="s">
        <v>97</v>
      </c>
      <c r="F1555" s="37" t="s">
        <v>194</v>
      </c>
      <c r="G1555" s="37" t="s">
        <v>354</v>
      </c>
      <c r="H1555" s="37"/>
      <c r="I1555" s="37" t="s">
        <v>355</v>
      </c>
      <c r="J1555" s="37" t="s">
        <v>1425</v>
      </c>
      <c r="K1555" s="45" t="n">
        <v>362</v>
      </c>
      <c r="L1555" s="46" t="n">
        <v>33304.68</v>
      </c>
    </row>
    <row r="1556" customFormat="false" ht="15" hidden="false" customHeight="false" outlineLevel="0" collapsed="false">
      <c r="A1556" s="37" t="n">
        <v>500709</v>
      </c>
      <c r="B1556" s="37" t="s">
        <v>1424</v>
      </c>
      <c r="C1556" s="37" t="n">
        <v>202604</v>
      </c>
      <c r="D1556" s="37" t="s">
        <v>59</v>
      </c>
      <c r="E1556" s="37" t="s">
        <v>106</v>
      </c>
      <c r="F1556" s="37" t="s">
        <v>194</v>
      </c>
      <c r="G1556" s="37" t="s">
        <v>354</v>
      </c>
      <c r="H1556" s="37"/>
      <c r="I1556" s="37" t="s">
        <v>355</v>
      </c>
      <c r="J1556" s="37" t="s">
        <v>1425</v>
      </c>
      <c r="K1556" s="45" t="n">
        <v>441.3</v>
      </c>
      <c r="L1556" s="46" t="n">
        <v>31334.71</v>
      </c>
    </row>
    <row r="1557" customFormat="false" ht="15" hidden="false" customHeight="false" outlineLevel="0" collapsed="false">
      <c r="A1557" s="37" t="n">
        <v>500836</v>
      </c>
      <c r="B1557" s="37" t="s">
        <v>1424</v>
      </c>
      <c r="C1557" s="37" t="n">
        <v>202604</v>
      </c>
      <c r="D1557" s="37" t="s">
        <v>60</v>
      </c>
      <c r="E1557" s="37" t="s">
        <v>97</v>
      </c>
      <c r="F1557" s="37" t="s">
        <v>194</v>
      </c>
      <c r="G1557" s="37" t="s">
        <v>354</v>
      </c>
      <c r="H1557" s="37"/>
      <c r="I1557" s="37" t="s">
        <v>355</v>
      </c>
      <c r="J1557" s="37" t="s">
        <v>1425</v>
      </c>
      <c r="K1557" s="45" t="n">
        <v>98.5</v>
      </c>
      <c r="L1557" s="46" t="n">
        <v>9058.12</v>
      </c>
    </row>
    <row r="1558" customFormat="false" ht="15" hidden="false" customHeight="false" outlineLevel="0" collapsed="false">
      <c r="A1558" s="37" t="n">
        <v>501029</v>
      </c>
      <c r="B1558" s="37" t="s">
        <v>1424</v>
      </c>
      <c r="C1558" s="37" t="n">
        <v>202604</v>
      </c>
      <c r="D1558" s="37" t="s">
        <v>60</v>
      </c>
      <c r="E1558" s="37" t="s">
        <v>106</v>
      </c>
      <c r="F1558" s="37" t="s">
        <v>194</v>
      </c>
      <c r="G1558" s="37" t="s">
        <v>354</v>
      </c>
      <c r="H1558" s="37"/>
      <c r="I1558" s="37" t="s">
        <v>355</v>
      </c>
      <c r="J1558" s="37" t="s">
        <v>1425</v>
      </c>
      <c r="K1558" s="45" t="n">
        <v>289.9</v>
      </c>
      <c r="L1558" s="46" t="n">
        <v>20580.52</v>
      </c>
    </row>
    <row r="1559" customFormat="false" ht="15" hidden="false" customHeight="false" outlineLevel="0" collapsed="false">
      <c r="A1559" s="37" t="n">
        <v>501143</v>
      </c>
      <c r="B1559" s="37" t="s">
        <v>1424</v>
      </c>
      <c r="C1559" s="37" t="n">
        <v>202604</v>
      </c>
      <c r="D1559" s="37" t="s">
        <v>61</v>
      </c>
      <c r="E1559" s="37" t="s">
        <v>97</v>
      </c>
      <c r="F1559" s="37" t="s">
        <v>194</v>
      </c>
      <c r="G1559" s="37" t="s">
        <v>354</v>
      </c>
      <c r="H1559" s="37"/>
      <c r="I1559" s="37" t="s">
        <v>355</v>
      </c>
      <c r="J1559" s="37" t="s">
        <v>1425</v>
      </c>
      <c r="K1559" s="45" t="n">
        <v>205.2</v>
      </c>
      <c r="L1559" s="46" t="n">
        <v>18881.84</v>
      </c>
    </row>
    <row r="1560" customFormat="false" ht="15" hidden="false" customHeight="false" outlineLevel="0" collapsed="false">
      <c r="A1560" s="37" t="n">
        <v>501303</v>
      </c>
      <c r="B1560" s="37" t="s">
        <v>1424</v>
      </c>
      <c r="C1560" s="37" t="n">
        <v>202604</v>
      </c>
      <c r="D1560" s="37" t="s">
        <v>61</v>
      </c>
      <c r="E1560" s="37" t="s">
        <v>106</v>
      </c>
      <c r="F1560" s="37" t="s">
        <v>194</v>
      </c>
      <c r="G1560" s="37" t="s">
        <v>354</v>
      </c>
      <c r="H1560" s="37"/>
      <c r="I1560" s="37" t="s">
        <v>355</v>
      </c>
      <c r="J1560" s="37" t="s">
        <v>1425</v>
      </c>
      <c r="K1560" s="45" t="n">
        <v>151.2</v>
      </c>
      <c r="L1560" s="46" t="n">
        <v>10738.3</v>
      </c>
    </row>
    <row r="1561" customFormat="false" ht="15" hidden="false" customHeight="false" outlineLevel="0" collapsed="false">
      <c r="A1561" s="37" t="n">
        <v>501404</v>
      </c>
      <c r="B1561" s="37" t="s">
        <v>1424</v>
      </c>
      <c r="C1561" s="37" t="n">
        <v>202604</v>
      </c>
      <c r="D1561" s="37" t="s">
        <v>62</v>
      </c>
      <c r="E1561" s="37" t="s">
        <v>97</v>
      </c>
      <c r="F1561" s="37" t="s">
        <v>194</v>
      </c>
      <c r="G1561" s="37" t="s">
        <v>354</v>
      </c>
      <c r="H1561" s="37"/>
      <c r="I1561" s="37" t="s">
        <v>355</v>
      </c>
      <c r="J1561" s="37" t="s">
        <v>1425</v>
      </c>
      <c r="K1561" s="45" t="n">
        <v>503.8</v>
      </c>
      <c r="L1561" s="46" t="n">
        <v>46346.36</v>
      </c>
    </row>
    <row r="1562" customFormat="false" ht="15" hidden="false" customHeight="false" outlineLevel="0" collapsed="false">
      <c r="A1562" s="37" t="n">
        <v>501508</v>
      </c>
      <c r="B1562" s="37" t="s">
        <v>1424</v>
      </c>
      <c r="C1562" s="37" t="n">
        <v>202604</v>
      </c>
      <c r="D1562" s="37" t="s">
        <v>62</v>
      </c>
      <c r="E1562" s="37" t="s">
        <v>101</v>
      </c>
      <c r="F1562" s="37" t="s">
        <v>194</v>
      </c>
      <c r="G1562" s="37" t="s">
        <v>354</v>
      </c>
      <c r="H1562" s="37"/>
      <c r="I1562" s="37" t="s">
        <v>355</v>
      </c>
      <c r="J1562" s="37" t="s">
        <v>1425</v>
      </c>
      <c r="K1562" s="45" t="n">
        <v>118.8</v>
      </c>
      <c r="L1562" s="46" t="n">
        <v>8791.34</v>
      </c>
    </row>
    <row r="1563" customFormat="false" ht="15" hidden="false" customHeight="false" outlineLevel="0" collapsed="false">
      <c r="A1563" s="37" t="n">
        <v>501547</v>
      </c>
      <c r="B1563" s="37" t="s">
        <v>1424</v>
      </c>
      <c r="C1563" s="37" t="n">
        <v>202604</v>
      </c>
      <c r="D1563" s="37" t="s">
        <v>62</v>
      </c>
      <c r="E1563" s="37" t="s">
        <v>103</v>
      </c>
      <c r="F1563" s="37" t="s">
        <v>205</v>
      </c>
      <c r="G1563" s="37" t="s">
        <v>358</v>
      </c>
      <c r="H1563" s="37" t="s">
        <v>897</v>
      </c>
      <c r="I1563" s="37" t="s">
        <v>898</v>
      </c>
      <c r="J1563" s="37" t="s">
        <v>1426</v>
      </c>
      <c r="K1563" s="45" t="n">
        <v>0</v>
      </c>
      <c r="L1563" s="46" t="n">
        <v>87439.96</v>
      </c>
    </row>
    <row r="1564" customFormat="false" ht="15" hidden="false" customHeight="false" outlineLevel="0" collapsed="false">
      <c r="A1564" s="37" t="n">
        <v>501570</v>
      </c>
      <c r="B1564" s="37" t="s">
        <v>1424</v>
      </c>
      <c r="C1564" s="37" t="n">
        <v>202604</v>
      </c>
      <c r="D1564" s="37" t="s">
        <v>62</v>
      </c>
      <c r="E1564" s="37" t="s">
        <v>106</v>
      </c>
      <c r="F1564" s="37" t="s">
        <v>194</v>
      </c>
      <c r="G1564" s="37" t="s">
        <v>354</v>
      </c>
      <c r="H1564" s="37"/>
      <c r="I1564" s="37" t="s">
        <v>355</v>
      </c>
      <c r="J1564" s="37" t="s">
        <v>1425</v>
      </c>
      <c r="K1564" s="45" t="n">
        <v>12.6</v>
      </c>
      <c r="L1564" s="46" t="n">
        <v>896.28</v>
      </c>
    </row>
    <row r="1565" customFormat="false" ht="15" hidden="false" customHeight="false" outlineLevel="0" collapsed="false">
      <c r="A1565" s="37" t="n">
        <v>501650</v>
      </c>
      <c r="B1565" s="37" t="s">
        <v>1424</v>
      </c>
      <c r="C1565" s="37" t="n">
        <v>202604</v>
      </c>
      <c r="D1565" s="37" t="s">
        <v>63</v>
      </c>
      <c r="E1565" s="37" t="s">
        <v>97</v>
      </c>
      <c r="F1565" s="37" t="s">
        <v>194</v>
      </c>
      <c r="G1565" s="37" t="s">
        <v>354</v>
      </c>
      <c r="H1565" s="37"/>
      <c r="I1565" s="37" t="s">
        <v>355</v>
      </c>
      <c r="J1565" s="37" t="s">
        <v>1425</v>
      </c>
      <c r="K1565" s="45" t="n">
        <v>198.1</v>
      </c>
      <c r="L1565" s="46" t="n">
        <v>18225.03</v>
      </c>
    </row>
    <row r="1566" customFormat="false" ht="15" hidden="false" customHeight="false" outlineLevel="0" collapsed="false">
      <c r="A1566" s="37" t="n">
        <v>501800</v>
      </c>
      <c r="B1566" s="37" t="s">
        <v>1424</v>
      </c>
      <c r="C1566" s="37" t="n">
        <v>202604</v>
      </c>
      <c r="D1566" s="37" t="s">
        <v>63</v>
      </c>
      <c r="E1566" s="37" t="s">
        <v>106</v>
      </c>
      <c r="F1566" s="37" t="s">
        <v>194</v>
      </c>
      <c r="G1566" s="37" t="s">
        <v>354</v>
      </c>
      <c r="H1566" s="37"/>
      <c r="I1566" s="37" t="s">
        <v>355</v>
      </c>
      <c r="J1566" s="37" t="s">
        <v>1425</v>
      </c>
      <c r="K1566" s="45" t="n">
        <v>205.4</v>
      </c>
      <c r="L1566" s="46" t="n">
        <v>14585.61</v>
      </c>
    </row>
    <row r="1567" customFormat="false" ht="15" hidden="false" customHeight="false" outlineLevel="0" collapsed="false">
      <c r="A1567" s="37" t="n">
        <v>501884</v>
      </c>
      <c r="B1567" s="37" t="s">
        <v>1424</v>
      </c>
      <c r="C1567" s="37" t="n">
        <v>202604</v>
      </c>
      <c r="D1567" s="37" t="s">
        <v>64</v>
      </c>
      <c r="E1567" s="37" t="s">
        <v>97</v>
      </c>
      <c r="F1567" s="37" t="s">
        <v>194</v>
      </c>
      <c r="G1567" s="37" t="s">
        <v>354</v>
      </c>
      <c r="H1567" s="37"/>
      <c r="I1567" s="37" t="s">
        <v>355</v>
      </c>
      <c r="J1567" s="37" t="s">
        <v>1425</v>
      </c>
      <c r="K1567" s="45" t="n">
        <v>179</v>
      </c>
      <c r="L1567" s="46" t="n">
        <v>16472.57</v>
      </c>
    </row>
    <row r="1568" customFormat="false" ht="15" hidden="false" customHeight="false" outlineLevel="0" collapsed="false">
      <c r="A1568" s="37" t="n">
        <v>501974</v>
      </c>
      <c r="B1568" s="37" t="s">
        <v>1424</v>
      </c>
      <c r="C1568" s="37" t="n">
        <v>202604</v>
      </c>
      <c r="D1568" s="37" t="s">
        <v>64</v>
      </c>
      <c r="E1568" s="37" t="s">
        <v>101</v>
      </c>
      <c r="F1568" s="37" t="s">
        <v>194</v>
      </c>
      <c r="G1568" s="37" t="s">
        <v>354</v>
      </c>
      <c r="H1568" s="37"/>
      <c r="I1568" s="37" t="s">
        <v>355</v>
      </c>
      <c r="J1568" s="37" t="s">
        <v>1425</v>
      </c>
      <c r="K1568" s="45" t="n">
        <v>504.1</v>
      </c>
      <c r="L1568" s="46" t="n">
        <v>37302.44</v>
      </c>
    </row>
    <row r="1569" customFormat="false" ht="15" hidden="false" customHeight="false" outlineLevel="0" collapsed="false">
      <c r="A1569" s="37" t="n">
        <v>502012</v>
      </c>
      <c r="B1569" s="37" t="s">
        <v>1424</v>
      </c>
      <c r="C1569" s="37" t="n">
        <v>202604</v>
      </c>
      <c r="D1569" s="37" t="s">
        <v>64</v>
      </c>
      <c r="E1569" s="37" t="s">
        <v>103</v>
      </c>
      <c r="F1569" s="37" t="s">
        <v>205</v>
      </c>
      <c r="G1569" s="37" t="s">
        <v>358</v>
      </c>
      <c r="H1569" s="37" t="s">
        <v>969</v>
      </c>
      <c r="I1569" s="37" t="s">
        <v>898</v>
      </c>
      <c r="J1569" s="37" t="s">
        <v>1427</v>
      </c>
      <c r="K1569" s="45" t="n">
        <v>0</v>
      </c>
      <c r="L1569" s="46" t="n">
        <v>79097.91</v>
      </c>
    </row>
    <row r="1570" customFormat="false" ht="15" hidden="false" customHeight="false" outlineLevel="0" collapsed="false">
      <c r="A1570" s="37" t="n">
        <v>502100</v>
      </c>
      <c r="B1570" s="37" t="s">
        <v>1424</v>
      </c>
      <c r="C1570" s="37" t="n">
        <v>202604</v>
      </c>
      <c r="D1570" s="37" t="s">
        <v>65</v>
      </c>
      <c r="E1570" s="37" t="s">
        <v>97</v>
      </c>
      <c r="F1570" s="37" t="s">
        <v>194</v>
      </c>
      <c r="G1570" s="37" t="s">
        <v>354</v>
      </c>
      <c r="H1570" s="37"/>
      <c r="I1570" s="37" t="s">
        <v>355</v>
      </c>
      <c r="J1570" s="37" t="s">
        <v>1425</v>
      </c>
      <c r="K1570" s="45" t="n">
        <v>76.5</v>
      </c>
      <c r="L1570" s="46" t="n">
        <v>7034.45</v>
      </c>
    </row>
    <row r="1571" customFormat="false" ht="15" hidden="false" customHeight="false" outlineLevel="0" collapsed="false">
      <c r="A1571" s="37" t="n">
        <v>502179</v>
      </c>
      <c r="B1571" s="37" t="s">
        <v>1424</v>
      </c>
      <c r="C1571" s="37" t="n">
        <v>202604</v>
      </c>
      <c r="D1571" s="37" t="s">
        <v>65</v>
      </c>
      <c r="E1571" s="37" t="s">
        <v>101</v>
      </c>
      <c r="F1571" s="37" t="s">
        <v>194</v>
      </c>
      <c r="G1571" s="37" t="s">
        <v>354</v>
      </c>
      <c r="H1571" s="37"/>
      <c r="I1571" s="37" t="s">
        <v>355</v>
      </c>
      <c r="J1571" s="37" t="s">
        <v>1425</v>
      </c>
      <c r="K1571" s="45" t="n">
        <v>401.8</v>
      </c>
      <c r="L1571" s="46" t="n">
        <v>29736.51</v>
      </c>
    </row>
    <row r="1572" customFormat="false" ht="15" hidden="false" customHeight="false" outlineLevel="0" collapsed="false">
      <c r="A1572" s="37" t="n">
        <v>502283</v>
      </c>
      <c r="B1572" s="37" t="s">
        <v>1424</v>
      </c>
      <c r="C1572" s="37" t="n">
        <v>202604</v>
      </c>
      <c r="D1572" s="37" t="s">
        <v>66</v>
      </c>
      <c r="E1572" s="37" t="s">
        <v>97</v>
      </c>
      <c r="F1572" s="37" t="s">
        <v>194</v>
      </c>
      <c r="G1572" s="37" t="s">
        <v>354</v>
      </c>
      <c r="H1572" s="37"/>
      <c r="I1572" s="37" t="s">
        <v>355</v>
      </c>
      <c r="J1572" s="37" t="s">
        <v>1425</v>
      </c>
      <c r="K1572" s="45" t="n">
        <v>82</v>
      </c>
      <c r="L1572" s="46" t="n">
        <v>7547.96</v>
      </c>
    </row>
    <row r="1573" customFormat="false" ht="15" hidden="false" customHeight="false" outlineLevel="0" collapsed="false">
      <c r="A1573" s="37" t="n">
        <v>502348</v>
      </c>
      <c r="B1573" s="37" t="s">
        <v>1424</v>
      </c>
      <c r="C1573" s="37" t="n">
        <v>202604</v>
      </c>
      <c r="D1573" s="37" t="s">
        <v>66</v>
      </c>
      <c r="E1573" s="37" t="s">
        <v>101</v>
      </c>
      <c r="F1573" s="37" t="s">
        <v>194</v>
      </c>
      <c r="G1573" s="37" t="s">
        <v>354</v>
      </c>
      <c r="H1573" s="37"/>
      <c r="I1573" s="37" t="s">
        <v>355</v>
      </c>
      <c r="J1573" s="37" t="s">
        <v>1425</v>
      </c>
      <c r="K1573" s="45" t="n">
        <v>228.2</v>
      </c>
      <c r="L1573" s="46" t="n">
        <v>16883.56</v>
      </c>
    </row>
    <row r="1574" customFormat="false" ht="15" hidden="false" customHeight="false" outlineLevel="0" collapsed="false">
      <c r="A1574" s="37" t="n">
        <v>502426</v>
      </c>
      <c r="B1574" s="37" t="s">
        <v>1424</v>
      </c>
      <c r="C1574" s="37" t="n">
        <v>202604</v>
      </c>
      <c r="D1574" s="37" t="s">
        <v>67</v>
      </c>
      <c r="E1574" s="37" t="s">
        <v>97</v>
      </c>
      <c r="F1574" s="37" t="s">
        <v>194</v>
      </c>
      <c r="G1574" s="37" t="s">
        <v>354</v>
      </c>
      <c r="H1574" s="37"/>
      <c r="I1574" s="37" t="s">
        <v>355</v>
      </c>
      <c r="J1574" s="37" t="s">
        <v>1425</v>
      </c>
      <c r="K1574" s="45" t="n">
        <v>57.9</v>
      </c>
      <c r="L1574" s="46" t="n">
        <v>5323.1</v>
      </c>
    </row>
    <row r="1575" customFormat="false" ht="15" hidden="false" customHeight="false" outlineLevel="0" collapsed="false">
      <c r="A1575" s="37" t="n">
        <v>502453</v>
      </c>
      <c r="B1575" s="37" t="s">
        <v>1424</v>
      </c>
      <c r="C1575" s="37" t="n">
        <v>202604</v>
      </c>
      <c r="D1575" s="37" t="s">
        <v>67</v>
      </c>
      <c r="E1575" s="37" t="s">
        <v>98</v>
      </c>
      <c r="F1575" s="37" t="s">
        <v>196</v>
      </c>
      <c r="G1575" s="37" t="s">
        <v>358</v>
      </c>
      <c r="H1575" s="37" t="s">
        <v>359</v>
      </c>
      <c r="I1575" s="37" t="s">
        <v>360</v>
      </c>
      <c r="J1575" s="37" t="s">
        <v>1428</v>
      </c>
      <c r="K1575" s="45" t="n">
        <v>0</v>
      </c>
      <c r="L1575" s="46" t="n">
        <v>3044.83</v>
      </c>
    </row>
    <row r="1576" customFormat="false" ht="15" hidden="false" customHeight="false" outlineLevel="0" collapsed="false">
      <c r="A1576" s="37" t="n">
        <v>502480</v>
      </c>
      <c r="B1576" s="37" t="s">
        <v>1424</v>
      </c>
      <c r="C1576" s="37" t="n">
        <v>202604</v>
      </c>
      <c r="D1576" s="37" t="s">
        <v>67</v>
      </c>
      <c r="E1576" s="37" t="s">
        <v>101</v>
      </c>
      <c r="F1576" s="37" t="s">
        <v>194</v>
      </c>
      <c r="G1576" s="37" t="s">
        <v>354</v>
      </c>
      <c r="H1576" s="37"/>
      <c r="I1576" s="37" t="s">
        <v>355</v>
      </c>
      <c r="J1576" s="37" t="s">
        <v>1425</v>
      </c>
      <c r="K1576" s="45" t="n">
        <v>42.1</v>
      </c>
      <c r="L1576" s="46" t="n">
        <v>3116.03</v>
      </c>
    </row>
    <row r="1577" customFormat="false" ht="15" hidden="false" customHeight="false" outlineLevel="0" collapsed="false">
      <c r="A1577" s="37" t="n">
        <v>502503</v>
      </c>
      <c r="B1577" s="37" t="s">
        <v>1424</v>
      </c>
      <c r="C1577" s="37" t="n">
        <v>202604</v>
      </c>
      <c r="D1577" s="37" t="s">
        <v>67</v>
      </c>
      <c r="E1577" s="37" t="s">
        <v>102</v>
      </c>
      <c r="F1577" s="37" t="s">
        <v>205</v>
      </c>
      <c r="G1577" s="37" t="s">
        <v>358</v>
      </c>
      <c r="H1577" s="37" t="s">
        <v>1375</v>
      </c>
      <c r="I1577" s="37" t="s">
        <v>892</v>
      </c>
      <c r="J1577" s="37" t="s">
        <v>1429</v>
      </c>
      <c r="K1577" s="45" t="n">
        <v>0</v>
      </c>
      <c r="L1577" s="46" t="n">
        <v>17258.48</v>
      </c>
    </row>
    <row r="1578" customFormat="false" ht="15" hidden="false" customHeight="false" outlineLevel="0" collapsed="false">
      <c r="A1578" s="37" t="n">
        <v>500161</v>
      </c>
      <c r="B1578" s="37" t="s">
        <v>1430</v>
      </c>
      <c r="C1578" s="37" t="n">
        <v>202604</v>
      </c>
      <c r="D1578" s="37" t="s">
        <v>58</v>
      </c>
      <c r="E1578" s="37" t="s">
        <v>98</v>
      </c>
      <c r="F1578" s="37" t="s">
        <v>196</v>
      </c>
      <c r="G1578" s="37" t="s">
        <v>358</v>
      </c>
      <c r="H1578" s="37" t="s">
        <v>359</v>
      </c>
      <c r="I1578" s="37" t="s">
        <v>360</v>
      </c>
      <c r="J1578" s="37" t="s">
        <v>1431</v>
      </c>
      <c r="K1578" s="45" t="n">
        <v>0</v>
      </c>
      <c r="L1578" s="46" t="n">
        <v>4820.95</v>
      </c>
    </row>
    <row r="1579" customFormat="false" ht="15" hidden="false" customHeight="false" outlineLevel="0" collapsed="false">
      <c r="A1579" s="37" t="n">
        <v>500406</v>
      </c>
      <c r="B1579" s="37" t="s">
        <v>1430</v>
      </c>
      <c r="C1579" s="37" t="n">
        <v>202604</v>
      </c>
      <c r="D1579" s="37" t="s">
        <v>58</v>
      </c>
      <c r="E1579" s="37" t="s">
        <v>109</v>
      </c>
      <c r="F1579" s="37" t="s">
        <v>201</v>
      </c>
      <c r="G1579" s="37" t="s">
        <v>358</v>
      </c>
      <c r="H1579" s="37" t="s">
        <v>928</v>
      </c>
      <c r="I1579" s="37" t="s">
        <v>929</v>
      </c>
      <c r="J1579" s="37" t="s">
        <v>1432</v>
      </c>
      <c r="K1579" s="45" t="n">
        <v>0</v>
      </c>
      <c r="L1579" s="46" t="n">
        <v>169161.44</v>
      </c>
    </row>
    <row r="1580" customFormat="false" ht="15" hidden="false" customHeight="false" outlineLevel="0" collapsed="false">
      <c r="A1580" s="37" t="n">
        <v>500424</v>
      </c>
      <c r="B1580" s="37" t="s">
        <v>1430</v>
      </c>
      <c r="C1580" s="37" t="n">
        <v>202604</v>
      </c>
      <c r="D1580" s="37" t="s">
        <v>58</v>
      </c>
      <c r="E1580" s="37" t="s">
        <v>110</v>
      </c>
      <c r="F1580" s="37" t="s">
        <v>201</v>
      </c>
      <c r="G1580" s="37" t="s">
        <v>358</v>
      </c>
      <c r="H1580" s="37" t="s">
        <v>547</v>
      </c>
      <c r="I1580" s="37" t="s">
        <v>548</v>
      </c>
      <c r="J1580" s="37" t="s">
        <v>1432</v>
      </c>
      <c r="K1580" s="45" t="n">
        <v>0</v>
      </c>
      <c r="L1580" s="46" t="n">
        <v>118664.01</v>
      </c>
    </row>
    <row r="1581" customFormat="false" ht="15" hidden="false" customHeight="false" outlineLevel="0" collapsed="false">
      <c r="A1581" s="37" t="n">
        <v>500443</v>
      </c>
      <c r="B1581" s="37" t="s">
        <v>1430</v>
      </c>
      <c r="C1581" s="37" t="n">
        <v>202604</v>
      </c>
      <c r="D1581" s="37" t="s">
        <v>58</v>
      </c>
      <c r="E1581" s="37" t="s">
        <v>111</v>
      </c>
      <c r="F1581" s="37" t="s">
        <v>201</v>
      </c>
      <c r="G1581" s="37" t="s">
        <v>358</v>
      </c>
      <c r="H1581" s="37" t="s">
        <v>549</v>
      </c>
      <c r="I1581" s="37" t="s">
        <v>550</v>
      </c>
      <c r="J1581" s="37" t="s">
        <v>1432</v>
      </c>
      <c r="K1581" s="45" t="n">
        <v>0</v>
      </c>
      <c r="L1581" s="46" t="n">
        <v>59941.98</v>
      </c>
    </row>
    <row r="1582" customFormat="false" ht="15" hidden="false" customHeight="false" outlineLevel="0" collapsed="false">
      <c r="A1582" s="37" t="n">
        <v>500736</v>
      </c>
      <c r="B1582" s="37" t="s">
        <v>1430</v>
      </c>
      <c r="C1582" s="37" t="n">
        <v>202604</v>
      </c>
      <c r="D1582" s="37" t="s">
        <v>59</v>
      </c>
      <c r="E1582" s="37" t="s">
        <v>107</v>
      </c>
      <c r="F1582" s="37" t="s">
        <v>201</v>
      </c>
      <c r="G1582" s="37" t="s">
        <v>358</v>
      </c>
      <c r="H1582" s="37" t="s">
        <v>1095</v>
      </c>
      <c r="I1582" s="37" t="s">
        <v>1096</v>
      </c>
      <c r="J1582" s="37" t="s">
        <v>1432</v>
      </c>
      <c r="K1582" s="45" t="n">
        <v>0</v>
      </c>
      <c r="L1582" s="46" t="n">
        <v>251147.88</v>
      </c>
    </row>
    <row r="1583" customFormat="false" ht="15" hidden="false" customHeight="false" outlineLevel="0" collapsed="false">
      <c r="A1583" s="37" t="n">
        <v>500753</v>
      </c>
      <c r="B1583" s="37" t="s">
        <v>1430</v>
      </c>
      <c r="C1583" s="37" t="n">
        <v>202604</v>
      </c>
      <c r="D1583" s="37" t="s">
        <v>59</v>
      </c>
      <c r="E1583" s="37" t="s">
        <v>109</v>
      </c>
      <c r="F1583" s="37" t="s">
        <v>201</v>
      </c>
      <c r="G1583" s="37" t="s">
        <v>358</v>
      </c>
      <c r="H1583" s="37" t="s">
        <v>1433</v>
      </c>
      <c r="I1583" s="37" t="s">
        <v>929</v>
      </c>
      <c r="J1583" s="37" t="s">
        <v>1432</v>
      </c>
      <c r="K1583" s="45" t="n">
        <v>0</v>
      </c>
      <c r="L1583" s="46" t="n">
        <v>35635.65</v>
      </c>
    </row>
    <row r="1584" customFormat="false" ht="15" hidden="false" customHeight="false" outlineLevel="0" collapsed="false">
      <c r="A1584" s="37" t="n">
        <v>500766</v>
      </c>
      <c r="B1584" s="37" t="s">
        <v>1430</v>
      </c>
      <c r="C1584" s="37" t="n">
        <v>202604</v>
      </c>
      <c r="D1584" s="37" t="s">
        <v>59</v>
      </c>
      <c r="E1584" s="37" t="s">
        <v>110</v>
      </c>
      <c r="F1584" s="37" t="s">
        <v>201</v>
      </c>
      <c r="G1584" s="37" t="s">
        <v>358</v>
      </c>
      <c r="H1584" s="37" t="s">
        <v>849</v>
      </c>
      <c r="I1584" s="37" t="s">
        <v>850</v>
      </c>
      <c r="J1584" s="37" t="s">
        <v>1432</v>
      </c>
      <c r="K1584" s="45" t="n">
        <v>0</v>
      </c>
      <c r="L1584" s="46" t="n">
        <v>340832.37</v>
      </c>
    </row>
    <row r="1585" customFormat="false" ht="15" hidden="false" customHeight="false" outlineLevel="0" collapsed="false">
      <c r="A1585" s="37" t="n">
        <v>500779</v>
      </c>
      <c r="B1585" s="37" t="s">
        <v>1430</v>
      </c>
      <c r="C1585" s="37" t="n">
        <v>202604</v>
      </c>
      <c r="D1585" s="37" t="s">
        <v>59</v>
      </c>
      <c r="E1585" s="37" t="s">
        <v>111</v>
      </c>
      <c r="F1585" s="37" t="s">
        <v>201</v>
      </c>
      <c r="G1585" s="37" t="s">
        <v>358</v>
      </c>
      <c r="H1585" s="37" t="s">
        <v>851</v>
      </c>
      <c r="I1585" s="37" t="s">
        <v>852</v>
      </c>
      <c r="J1585" s="37" t="s">
        <v>1432</v>
      </c>
      <c r="K1585" s="45" t="n">
        <v>0</v>
      </c>
      <c r="L1585" s="46" t="n">
        <v>337528.75</v>
      </c>
    </row>
    <row r="1586" customFormat="false" ht="15" hidden="false" customHeight="false" outlineLevel="0" collapsed="false">
      <c r="A1586" s="37" t="n">
        <v>500882</v>
      </c>
      <c r="B1586" s="37" t="s">
        <v>1430</v>
      </c>
      <c r="C1586" s="37" t="n">
        <v>202604</v>
      </c>
      <c r="D1586" s="37" t="s">
        <v>60</v>
      </c>
      <c r="E1586" s="37" t="s">
        <v>98</v>
      </c>
      <c r="F1586" s="37" t="s">
        <v>196</v>
      </c>
      <c r="G1586" s="37" t="s">
        <v>358</v>
      </c>
      <c r="H1586" s="37" t="s">
        <v>359</v>
      </c>
      <c r="I1586" s="37" t="s">
        <v>360</v>
      </c>
      <c r="J1586" s="37" t="s">
        <v>1434</v>
      </c>
      <c r="K1586" s="45" t="n">
        <v>0</v>
      </c>
      <c r="L1586" s="46" t="n">
        <v>42166.74</v>
      </c>
    </row>
    <row r="1587" customFormat="false" ht="15" hidden="false" customHeight="false" outlineLevel="0" collapsed="false">
      <c r="A1587" s="37" t="n">
        <v>501003</v>
      </c>
      <c r="B1587" s="37" t="s">
        <v>1430</v>
      </c>
      <c r="C1587" s="37" t="n">
        <v>202604</v>
      </c>
      <c r="D1587" s="37" t="s">
        <v>60</v>
      </c>
      <c r="E1587" s="37" t="s">
        <v>104</v>
      </c>
      <c r="F1587" s="37" t="s">
        <v>201</v>
      </c>
      <c r="G1587" s="37" t="s">
        <v>358</v>
      </c>
      <c r="H1587" s="37" t="s">
        <v>1097</v>
      </c>
      <c r="I1587" s="37" t="s">
        <v>1098</v>
      </c>
      <c r="J1587" s="37" t="s">
        <v>1432</v>
      </c>
      <c r="K1587" s="45" t="n">
        <v>0</v>
      </c>
      <c r="L1587" s="46" t="n">
        <v>225622.55</v>
      </c>
    </row>
    <row r="1588" customFormat="false" ht="15" hidden="false" customHeight="false" outlineLevel="0" collapsed="false">
      <c r="A1588" s="37" t="n">
        <v>501012</v>
      </c>
      <c r="B1588" s="37" t="s">
        <v>1430</v>
      </c>
      <c r="C1588" s="37" t="n">
        <v>202604</v>
      </c>
      <c r="D1588" s="37" t="s">
        <v>60</v>
      </c>
      <c r="E1588" s="37" t="s">
        <v>105</v>
      </c>
      <c r="F1588" s="37" t="s">
        <v>201</v>
      </c>
      <c r="G1588" s="37" t="s">
        <v>358</v>
      </c>
      <c r="H1588" s="37" t="s">
        <v>931</v>
      </c>
      <c r="I1588" s="37" t="s">
        <v>932</v>
      </c>
      <c r="J1588" s="37" t="s">
        <v>1432</v>
      </c>
      <c r="K1588" s="45" t="n">
        <v>0</v>
      </c>
      <c r="L1588" s="46" t="n">
        <v>42342.87</v>
      </c>
    </row>
    <row r="1589" customFormat="false" ht="15" hidden="false" customHeight="false" outlineLevel="0" collapsed="false">
      <c r="A1589" s="37" t="n">
        <v>501054</v>
      </c>
      <c r="B1589" s="37" t="s">
        <v>1430</v>
      </c>
      <c r="C1589" s="37" t="n">
        <v>202604</v>
      </c>
      <c r="D1589" s="37" t="s">
        <v>60</v>
      </c>
      <c r="E1589" s="37" t="s">
        <v>107</v>
      </c>
      <c r="F1589" s="37" t="s">
        <v>201</v>
      </c>
      <c r="G1589" s="37" t="s">
        <v>358</v>
      </c>
      <c r="H1589" s="37" t="s">
        <v>1253</v>
      </c>
      <c r="I1589" s="37" t="s">
        <v>1254</v>
      </c>
      <c r="J1589" s="37" t="s">
        <v>1432</v>
      </c>
      <c r="K1589" s="45" t="n">
        <v>0</v>
      </c>
      <c r="L1589" s="46" t="n">
        <v>320455.65</v>
      </c>
    </row>
    <row r="1590" customFormat="false" ht="15" hidden="false" customHeight="false" outlineLevel="0" collapsed="false">
      <c r="A1590" s="37" t="n">
        <v>501080</v>
      </c>
      <c r="B1590" s="37" t="s">
        <v>1430</v>
      </c>
      <c r="C1590" s="37" t="n">
        <v>202604</v>
      </c>
      <c r="D1590" s="37" t="s">
        <v>60</v>
      </c>
      <c r="E1590" s="37" t="s">
        <v>110</v>
      </c>
      <c r="F1590" s="37" t="s">
        <v>201</v>
      </c>
      <c r="G1590" s="37" t="s">
        <v>358</v>
      </c>
      <c r="H1590" s="37" t="s">
        <v>1010</v>
      </c>
      <c r="I1590" s="37" t="s">
        <v>548</v>
      </c>
      <c r="J1590" s="37" t="s">
        <v>1432</v>
      </c>
      <c r="K1590" s="45" t="n">
        <v>0</v>
      </c>
      <c r="L1590" s="46" t="n">
        <v>250062.02</v>
      </c>
    </row>
    <row r="1591" customFormat="false" ht="15" hidden="false" customHeight="false" outlineLevel="0" collapsed="false">
      <c r="A1591" s="37" t="n">
        <v>501091</v>
      </c>
      <c r="B1591" s="37" t="s">
        <v>1430</v>
      </c>
      <c r="C1591" s="37" t="n">
        <v>202604</v>
      </c>
      <c r="D1591" s="37" t="s">
        <v>60</v>
      </c>
      <c r="E1591" s="37" t="s">
        <v>111</v>
      </c>
      <c r="F1591" s="37" t="s">
        <v>201</v>
      </c>
      <c r="G1591" s="37" t="s">
        <v>358</v>
      </c>
      <c r="H1591" s="37" t="s">
        <v>1011</v>
      </c>
      <c r="I1591" s="37" t="s">
        <v>1012</v>
      </c>
      <c r="J1591" s="37" t="s">
        <v>1432</v>
      </c>
      <c r="K1591" s="45" t="n">
        <v>0</v>
      </c>
      <c r="L1591" s="46" t="n">
        <v>203392.66</v>
      </c>
    </row>
    <row r="1592" customFormat="false" ht="15" hidden="false" customHeight="false" outlineLevel="0" collapsed="false">
      <c r="A1592" s="37" t="n">
        <v>501321</v>
      </c>
      <c r="B1592" s="37" t="s">
        <v>1430</v>
      </c>
      <c r="C1592" s="37" t="n">
        <v>202604</v>
      </c>
      <c r="D1592" s="37" t="s">
        <v>61</v>
      </c>
      <c r="E1592" s="37" t="s">
        <v>107</v>
      </c>
      <c r="F1592" s="37" t="s">
        <v>201</v>
      </c>
      <c r="G1592" s="37" t="s">
        <v>358</v>
      </c>
      <c r="H1592" s="37" t="s">
        <v>1176</v>
      </c>
      <c r="I1592" s="37" t="s">
        <v>1096</v>
      </c>
      <c r="J1592" s="37" t="s">
        <v>1432</v>
      </c>
      <c r="K1592" s="45" t="n">
        <v>0</v>
      </c>
      <c r="L1592" s="46" t="n">
        <v>164928.79</v>
      </c>
    </row>
    <row r="1593" customFormat="false" ht="15" hidden="false" customHeight="false" outlineLevel="0" collapsed="false">
      <c r="A1593" s="37" t="n">
        <v>501338</v>
      </c>
      <c r="B1593" s="37" t="s">
        <v>1430</v>
      </c>
      <c r="C1593" s="37" t="n">
        <v>202604</v>
      </c>
      <c r="D1593" s="37" t="s">
        <v>61</v>
      </c>
      <c r="E1593" s="37" t="s">
        <v>109</v>
      </c>
      <c r="F1593" s="37" t="s">
        <v>201</v>
      </c>
      <c r="G1593" s="37" t="s">
        <v>358</v>
      </c>
      <c r="H1593" s="37" t="s">
        <v>1435</v>
      </c>
      <c r="I1593" s="37" t="s">
        <v>1436</v>
      </c>
      <c r="J1593" s="37" t="s">
        <v>1432</v>
      </c>
      <c r="K1593" s="45" t="n">
        <v>0</v>
      </c>
      <c r="L1593" s="46" t="n">
        <v>15678.81</v>
      </c>
    </row>
    <row r="1594" customFormat="false" ht="15" hidden="false" customHeight="false" outlineLevel="0" collapsed="false">
      <c r="A1594" s="37" t="n">
        <v>501349</v>
      </c>
      <c r="B1594" s="37" t="s">
        <v>1430</v>
      </c>
      <c r="C1594" s="37" t="n">
        <v>202604</v>
      </c>
      <c r="D1594" s="37" t="s">
        <v>61</v>
      </c>
      <c r="E1594" s="37" t="s">
        <v>110</v>
      </c>
      <c r="F1594" s="37" t="s">
        <v>201</v>
      </c>
      <c r="G1594" s="37" t="s">
        <v>358</v>
      </c>
      <c r="H1594" s="37" t="s">
        <v>1014</v>
      </c>
      <c r="I1594" s="37" t="s">
        <v>1015</v>
      </c>
      <c r="J1594" s="37" t="s">
        <v>1432</v>
      </c>
      <c r="K1594" s="45" t="n">
        <v>0</v>
      </c>
      <c r="L1594" s="46" t="n">
        <v>181833.03</v>
      </c>
    </row>
    <row r="1595" customFormat="false" ht="15" hidden="false" customHeight="false" outlineLevel="0" collapsed="false">
      <c r="A1595" s="37" t="n">
        <v>501360</v>
      </c>
      <c r="B1595" s="37" t="s">
        <v>1430</v>
      </c>
      <c r="C1595" s="37" t="n">
        <v>202604</v>
      </c>
      <c r="D1595" s="37" t="s">
        <v>61</v>
      </c>
      <c r="E1595" s="37" t="s">
        <v>111</v>
      </c>
      <c r="F1595" s="37" t="s">
        <v>201</v>
      </c>
      <c r="G1595" s="37" t="s">
        <v>358</v>
      </c>
      <c r="H1595" s="37" t="s">
        <v>1016</v>
      </c>
      <c r="I1595" s="37" t="s">
        <v>1017</v>
      </c>
      <c r="J1595" s="37" t="s">
        <v>1432</v>
      </c>
      <c r="K1595" s="45" t="n">
        <v>0</v>
      </c>
      <c r="L1595" s="46" t="n">
        <v>193488.83</v>
      </c>
    </row>
    <row r="1596" customFormat="false" ht="15" hidden="false" customHeight="false" outlineLevel="0" collapsed="false">
      <c r="A1596" s="37" t="n">
        <v>501446</v>
      </c>
      <c r="B1596" s="37" t="s">
        <v>1430</v>
      </c>
      <c r="C1596" s="37" t="n">
        <v>202604</v>
      </c>
      <c r="D1596" s="37" t="s">
        <v>62</v>
      </c>
      <c r="E1596" s="37" t="s">
        <v>98</v>
      </c>
      <c r="F1596" s="37" t="s">
        <v>196</v>
      </c>
      <c r="G1596" s="37" t="s">
        <v>358</v>
      </c>
      <c r="H1596" s="37" t="s">
        <v>359</v>
      </c>
      <c r="I1596" s="37" t="s">
        <v>360</v>
      </c>
      <c r="J1596" s="37" t="s">
        <v>1437</v>
      </c>
      <c r="K1596" s="45" t="n">
        <v>0</v>
      </c>
      <c r="L1596" s="46" t="n">
        <v>21969.86</v>
      </c>
    </row>
    <row r="1597" customFormat="false" ht="15" hidden="false" customHeight="false" outlineLevel="0" collapsed="false">
      <c r="A1597" s="37" t="n">
        <v>501552</v>
      </c>
      <c r="B1597" s="37" t="s">
        <v>1430</v>
      </c>
      <c r="C1597" s="37" t="n">
        <v>202604</v>
      </c>
      <c r="D1597" s="37" t="s">
        <v>62</v>
      </c>
      <c r="E1597" s="37" t="s">
        <v>104</v>
      </c>
      <c r="F1597" s="37" t="s">
        <v>201</v>
      </c>
      <c r="G1597" s="37" t="s">
        <v>358</v>
      </c>
      <c r="H1597" s="37" t="s">
        <v>1339</v>
      </c>
      <c r="I1597" s="37" t="s">
        <v>1340</v>
      </c>
      <c r="J1597" s="37" t="s">
        <v>1432</v>
      </c>
      <c r="K1597" s="45" t="n">
        <v>0</v>
      </c>
      <c r="L1597" s="46" t="n">
        <v>48913.45</v>
      </c>
    </row>
    <row r="1598" customFormat="false" ht="15" hidden="false" customHeight="false" outlineLevel="0" collapsed="false">
      <c r="A1598" s="37" t="n">
        <v>501561</v>
      </c>
      <c r="B1598" s="37" t="s">
        <v>1430</v>
      </c>
      <c r="C1598" s="37" t="n">
        <v>202604</v>
      </c>
      <c r="D1598" s="37" t="s">
        <v>62</v>
      </c>
      <c r="E1598" s="37" t="s">
        <v>105</v>
      </c>
      <c r="F1598" s="37" t="s">
        <v>201</v>
      </c>
      <c r="G1598" s="37" t="s">
        <v>358</v>
      </c>
      <c r="H1598" s="37" t="s">
        <v>1178</v>
      </c>
      <c r="I1598" s="37" t="s">
        <v>1179</v>
      </c>
      <c r="J1598" s="37" t="s">
        <v>1432</v>
      </c>
      <c r="K1598" s="45" t="n">
        <v>0</v>
      </c>
      <c r="L1598" s="46" t="n">
        <v>799283.13</v>
      </c>
    </row>
    <row r="1599" customFormat="false" ht="15" hidden="false" customHeight="false" outlineLevel="0" collapsed="false">
      <c r="A1599" s="37" t="n">
        <v>501603</v>
      </c>
      <c r="B1599" s="37" t="s">
        <v>1430</v>
      </c>
      <c r="C1599" s="37" t="n">
        <v>202604</v>
      </c>
      <c r="D1599" s="37" t="s">
        <v>62</v>
      </c>
      <c r="E1599" s="37" t="s">
        <v>110</v>
      </c>
      <c r="F1599" s="37" t="s">
        <v>201</v>
      </c>
      <c r="G1599" s="37" t="s">
        <v>358</v>
      </c>
      <c r="H1599" s="37" t="s">
        <v>1257</v>
      </c>
      <c r="I1599" s="37" t="s">
        <v>548</v>
      </c>
      <c r="J1599" s="37" t="s">
        <v>1432</v>
      </c>
      <c r="K1599" s="45" t="n">
        <v>0</v>
      </c>
      <c r="L1599" s="46" t="n">
        <v>115303.38</v>
      </c>
    </row>
    <row r="1600" customFormat="false" ht="15" hidden="false" customHeight="false" outlineLevel="0" collapsed="false">
      <c r="A1600" s="37" t="n">
        <v>501611</v>
      </c>
      <c r="B1600" s="37" t="s">
        <v>1430</v>
      </c>
      <c r="C1600" s="37" t="n">
        <v>202604</v>
      </c>
      <c r="D1600" s="37" t="s">
        <v>62</v>
      </c>
      <c r="E1600" s="37" t="s">
        <v>111</v>
      </c>
      <c r="F1600" s="37" t="s">
        <v>201</v>
      </c>
      <c r="G1600" s="37" t="s">
        <v>358</v>
      </c>
      <c r="H1600" s="37" t="s">
        <v>1258</v>
      </c>
      <c r="I1600" s="37" t="s">
        <v>1259</v>
      </c>
      <c r="J1600" s="37" t="s">
        <v>1432</v>
      </c>
      <c r="K1600" s="45" t="n">
        <v>0</v>
      </c>
      <c r="L1600" s="46" t="n">
        <v>75916.95</v>
      </c>
    </row>
    <row r="1601" customFormat="false" ht="15" hidden="false" customHeight="false" outlineLevel="0" collapsed="false">
      <c r="A1601" s="37" t="n">
        <v>501694</v>
      </c>
      <c r="B1601" s="37" t="s">
        <v>1430</v>
      </c>
      <c r="C1601" s="37" t="n">
        <v>202604</v>
      </c>
      <c r="D1601" s="37" t="s">
        <v>63</v>
      </c>
      <c r="E1601" s="37" t="s">
        <v>98</v>
      </c>
      <c r="F1601" s="37" t="s">
        <v>196</v>
      </c>
      <c r="G1601" s="37" t="s">
        <v>358</v>
      </c>
      <c r="H1601" s="37" t="s">
        <v>359</v>
      </c>
      <c r="I1601" s="37" t="s">
        <v>360</v>
      </c>
      <c r="J1601" s="37" t="s">
        <v>1438</v>
      </c>
      <c r="K1601" s="45" t="n">
        <v>0</v>
      </c>
      <c r="L1601" s="46" t="n">
        <v>9322.12</v>
      </c>
    </row>
    <row r="1602" customFormat="false" ht="15" hidden="false" customHeight="false" outlineLevel="0" collapsed="false">
      <c r="A1602" s="37" t="n">
        <v>501784</v>
      </c>
      <c r="B1602" s="37" t="s">
        <v>1430</v>
      </c>
      <c r="C1602" s="37" t="n">
        <v>202604</v>
      </c>
      <c r="D1602" s="37" t="s">
        <v>63</v>
      </c>
      <c r="E1602" s="37" t="s">
        <v>104</v>
      </c>
      <c r="F1602" s="37" t="s">
        <v>201</v>
      </c>
      <c r="G1602" s="37" t="s">
        <v>358</v>
      </c>
      <c r="H1602" s="37" t="s">
        <v>1261</v>
      </c>
      <c r="I1602" s="37" t="s">
        <v>1098</v>
      </c>
      <c r="J1602" s="37" t="s">
        <v>1432</v>
      </c>
      <c r="K1602" s="45" t="n">
        <v>0</v>
      </c>
      <c r="L1602" s="46" t="n">
        <v>203056.67</v>
      </c>
    </row>
    <row r="1603" customFormat="false" ht="15" hidden="false" customHeight="false" outlineLevel="0" collapsed="false">
      <c r="A1603" s="37" t="n">
        <v>501791</v>
      </c>
      <c r="B1603" s="37" t="s">
        <v>1430</v>
      </c>
      <c r="C1603" s="37" t="n">
        <v>202604</v>
      </c>
      <c r="D1603" s="37" t="s">
        <v>63</v>
      </c>
      <c r="E1603" s="37" t="s">
        <v>105</v>
      </c>
      <c r="F1603" s="37" t="s">
        <v>201</v>
      </c>
      <c r="G1603" s="37" t="s">
        <v>358</v>
      </c>
      <c r="H1603" s="37" t="s">
        <v>1100</v>
      </c>
      <c r="I1603" s="37" t="s">
        <v>1101</v>
      </c>
      <c r="J1603" s="37" t="s">
        <v>1432</v>
      </c>
      <c r="K1603" s="45" t="n">
        <v>0</v>
      </c>
      <c r="L1603" s="46" t="n">
        <v>131171.51</v>
      </c>
    </row>
    <row r="1604" customFormat="false" ht="15" hidden="false" customHeight="false" outlineLevel="0" collapsed="false">
      <c r="A1604" s="37" t="n">
        <v>501820</v>
      </c>
      <c r="B1604" s="37" t="s">
        <v>1430</v>
      </c>
      <c r="C1604" s="37" t="n">
        <v>202604</v>
      </c>
      <c r="D1604" s="37" t="s">
        <v>63</v>
      </c>
      <c r="E1604" s="37" t="s">
        <v>107</v>
      </c>
      <c r="F1604" s="37" t="s">
        <v>201</v>
      </c>
      <c r="G1604" s="37" t="s">
        <v>358</v>
      </c>
      <c r="H1604" s="37" t="s">
        <v>1341</v>
      </c>
      <c r="I1604" s="37" t="s">
        <v>1096</v>
      </c>
      <c r="J1604" s="37" t="s">
        <v>1432</v>
      </c>
      <c r="K1604" s="45" t="n">
        <v>0</v>
      </c>
      <c r="L1604" s="46" t="n">
        <v>74507.8</v>
      </c>
    </row>
    <row r="1605" customFormat="false" ht="15" hidden="false" customHeight="false" outlineLevel="0" collapsed="false">
      <c r="A1605" s="37" t="n">
        <v>501840</v>
      </c>
      <c r="B1605" s="37" t="s">
        <v>1430</v>
      </c>
      <c r="C1605" s="37" t="n">
        <v>202604</v>
      </c>
      <c r="D1605" s="37" t="s">
        <v>63</v>
      </c>
      <c r="E1605" s="37" t="s">
        <v>110</v>
      </c>
      <c r="F1605" s="37" t="s">
        <v>201</v>
      </c>
      <c r="G1605" s="37" t="s">
        <v>358</v>
      </c>
      <c r="H1605" s="37" t="s">
        <v>1180</v>
      </c>
      <c r="I1605" s="37" t="s">
        <v>1181</v>
      </c>
      <c r="J1605" s="37" t="s">
        <v>1432</v>
      </c>
      <c r="K1605" s="45" t="n">
        <v>0</v>
      </c>
      <c r="L1605" s="46" t="n">
        <v>125125.85</v>
      </c>
    </row>
    <row r="1606" customFormat="false" ht="15" hidden="false" customHeight="false" outlineLevel="0" collapsed="false">
      <c r="A1606" s="37" t="n">
        <v>501849</v>
      </c>
      <c r="B1606" s="37" t="s">
        <v>1430</v>
      </c>
      <c r="C1606" s="37" t="n">
        <v>202604</v>
      </c>
      <c r="D1606" s="37" t="s">
        <v>63</v>
      </c>
      <c r="E1606" s="37" t="s">
        <v>111</v>
      </c>
      <c r="F1606" s="37" t="s">
        <v>201</v>
      </c>
      <c r="G1606" s="37" t="s">
        <v>358</v>
      </c>
      <c r="H1606" s="37" t="s">
        <v>1182</v>
      </c>
      <c r="I1606" s="37" t="s">
        <v>852</v>
      </c>
      <c r="J1606" s="37" t="s">
        <v>1432</v>
      </c>
      <c r="K1606" s="45" t="n">
        <v>0</v>
      </c>
      <c r="L1606" s="46" t="n">
        <v>107151.54</v>
      </c>
    </row>
    <row r="1607" customFormat="false" ht="15" hidden="false" customHeight="false" outlineLevel="0" collapsed="false">
      <c r="A1607" s="37" t="n">
        <v>502018</v>
      </c>
      <c r="B1607" s="37" t="s">
        <v>1430</v>
      </c>
      <c r="C1607" s="37" t="n">
        <v>202604</v>
      </c>
      <c r="D1607" s="37" t="s">
        <v>64</v>
      </c>
      <c r="E1607" s="37" t="s">
        <v>104</v>
      </c>
      <c r="F1607" s="37" t="s">
        <v>201</v>
      </c>
      <c r="G1607" s="37" t="s">
        <v>358</v>
      </c>
      <c r="H1607" s="37" t="s">
        <v>1439</v>
      </c>
      <c r="I1607" s="37" t="s">
        <v>1340</v>
      </c>
      <c r="J1607" s="37" t="s">
        <v>1432</v>
      </c>
      <c r="K1607" s="45" t="n">
        <v>0</v>
      </c>
      <c r="L1607" s="46" t="n">
        <v>32073.66</v>
      </c>
    </row>
    <row r="1608" customFormat="false" ht="15" hidden="false" customHeight="false" outlineLevel="0" collapsed="false">
      <c r="A1608" s="37" t="n">
        <v>502026</v>
      </c>
      <c r="B1608" s="37" t="s">
        <v>1430</v>
      </c>
      <c r="C1608" s="37" t="n">
        <v>202604</v>
      </c>
      <c r="D1608" s="37" t="s">
        <v>64</v>
      </c>
      <c r="E1608" s="37" t="s">
        <v>105</v>
      </c>
      <c r="F1608" s="37" t="s">
        <v>201</v>
      </c>
      <c r="G1608" s="37" t="s">
        <v>358</v>
      </c>
      <c r="H1608" s="37" t="s">
        <v>1262</v>
      </c>
      <c r="I1608" s="37" t="s">
        <v>796</v>
      </c>
      <c r="J1608" s="37" t="s">
        <v>1432</v>
      </c>
      <c r="K1608" s="45" t="n">
        <v>0</v>
      </c>
      <c r="L1608" s="46" t="n">
        <v>198202.56</v>
      </c>
    </row>
    <row r="1609" customFormat="false" ht="15" hidden="false" customHeight="false" outlineLevel="0" collapsed="false">
      <c r="A1609" s="37" t="n">
        <v>502063</v>
      </c>
      <c r="B1609" s="37" t="s">
        <v>1430</v>
      </c>
      <c r="C1609" s="37" t="n">
        <v>202604</v>
      </c>
      <c r="D1609" s="37" t="s">
        <v>64</v>
      </c>
      <c r="E1609" s="37" t="s">
        <v>110</v>
      </c>
      <c r="F1609" s="37" t="s">
        <v>201</v>
      </c>
      <c r="G1609" s="37" t="s">
        <v>358</v>
      </c>
      <c r="H1609" s="37" t="s">
        <v>1342</v>
      </c>
      <c r="I1609" s="37" t="s">
        <v>1343</v>
      </c>
      <c r="J1609" s="37" t="s">
        <v>1432</v>
      </c>
      <c r="K1609" s="45" t="n">
        <v>0</v>
      </c>
      <c r="L1609" s="46" t="n">
        <v>61910.88</v>
      </c>
    </row>
    <row r="1610" customFormat="false" ht="15" hidden="false" customHeight="false" outlineLevel="0" collapsed="false">
      <c r="A1610" s="37" t="n">
        <v>502070</v>
      </c>
      <c r="B1610" s="37" t="s">
        <v>1430</v>
      </c>
      <c r="C1610" s="37" t="n">
        <v>202604</v>
      </c>
      <c r="D1610" s="37" t="s">
        <v>64</v>
      </c>
      <c r="E1610" s="37" t="s">
        <v>111</v>
      </c>
      <c r="F1610" s="37" t="s">
        <v>201</v>
      </c>
      <c r="G1610" s="37" t="s">
        <v>358</v>
      </c>
      <c r="H1610" s="37" t="s">
        <v>1344</v>
      </c>
      <c r="I1610" s="37" t="s">
        <v>1345</v>
      </c>
      <c r="J1610" s="37" t="s">
        <v>1432</v>
      </c>
      <c r="K1610" s="45" t="n">
        <v>0</v>
      </c>
      <c r="L1610" s="46" t="n">
        <v>35998.32</v>
      </c>
    </row>
    <row r="1611" customFormat="false" ht="15" hidden="false" customHeight="false" outlineLevel="0" collapsed="false">
      <c r="A1611" s="37" t="n">
        <v>502200</v>
      </c>
      <c r="B1611" s="37" t="s">
        <v>1430</v>
      </c>
      <c r="C1611" s="37" t="n">
        <v>202604</v>
      </c>
      <c r="D1611" s="37" t="s">
        <v>65</v>
      </c>
      <c r="E1611" s="37" t="s">
        <v>102</v>
      </c>
      <c r="F1611" s="37" t="s">
        <v>205</v>
      </c>
      <c r="G1611" s="37" t="s">
        <v>358</v>
      </c>
      <c r="H1611" s="37" t="s">
        <v>1039</v>
      </c>
      <c r="I1611" s="37" t="s">
        <v>715</v>
      </c>
      <c r="J1611" s="37" t="s">
        <v>1440</v>
      </c>
      <c r="K1611" s="45" t="n">
        <v>0</v>
      </c>
      <c r="L1611" s="46" t="n">
        <v>130807.47</v>
      </c>
    </row>
    <row r="1612" customFormat="false" ht="15" hidden="false" customHeight="false" outlineLevel="0" collapsed="false">
      <c r="A1612" s="37" t="n">
        <v>502217</v>
      </c>
      <c r="B1612" s="37" t="s">
        <v>1430</v>
      </c>
      <c r="C1612" s="37" t="n">
        <v>202604</v>
      </c>
      <c r="D1612" s="37" t="s">
        <v>65</v>
      </c>
      <c r="E1612" s="37" t="s">
        <v>105</v>
      </c>
      <c r="F1612" s="37" t="s">
        <v>201</v>
      </c>
      <c r="G1612" s="37" t="s">
        <v>358</v>
      </c>
      <c r="H1612" s="37" t="s">
        <v>1346</v>
      </c>
      <c r="I1612" s="37" t="s">
        <v>934</v>
      </c>
      <c r="J1612" s="37" t="s">
        <v>1432</v>
      </c>
      <c r="K1612" s="45" t="n">
        <v>0</v>
      </c>
      <c r="L1612" s="46" t="n">
        <v>690799.72</v>
      </c>
    </row>
    <row r="1613" customFormat="false" ht="15" hidden="false" customHeight="false" outlineLevel="0" collapsed="false">
      <c r="A1613" s="37" t="n">
        <v>502254</v>
      </c>
      <c r="B1613" s="37" t="s">
        <v>1430</v>
      </c>
      <c r="C1613" s="37" t="n">
        <v>202604</v>
      </c>
      <c r="D1613" s="37" t="s">
        <v>65</v>
      </c>
      <c r="E1613" s="37" t="s">
        <v>110</v>
      </c>
      <c r="F1613" s="37" t="s">
        <v>201</v>
      </c>
      <c r="G1613" s="37" t="s">
        <v>358</v>
      </c>
      <c r="H1613" s="37" t="s">
        <v>1347</v>
      </c>
      <c r="I1613" s="37" t="s">
        <v>1181</v>
      </c>
      <c r="J1613" s="37" t="s">
        <v>1432</v>
      </c>
      <c r="K1613" s="45" t="n">
        <v>0</v>
      </c>
      <c r="L1613" s="46" t="n">
        <v>78330.28</v>
      </c>
    </row>
    <row r="1614" customFormat="false" ht="15" hidden="false" customHeight="false" outlineLevel="0" collapsed="false">
      <c r="A1614" s="37" t="n">
        <v>502261</v>
      </c>
      <c r="B1614" s="37" t="s">
        <v>1430</v>
      </c>
      <c r="C1614" s="37" t="n">
        <v>202604</v>
      </c>
      <c r="D1614" s="37" t="s">
        <v>65</v>
      </c>
      <c r="E1614" s="37" t="s">
        <v>111</v>
      </c>
      <c r="F1614" s="37" t="s">
        <v>201</v>
      </c>
      <c r="G1614" s="37" t="s">
        <v>358</v>
      </c>
      <c r="H1614" s="37" t="s">
        <v>1348</v>
      </c>
      <c r="I1614" s="37" t="s">
        <v>1017</v>
      </c>
      <c r="J1614" s="37" t="s">
        <v>1432</v>
      </c>
      <c r="K1614" s="45" t="n">
        <v>0</v>
      </c>
      <c r="L1614" s="46" t="n">
        <v>58221.01</v>
      </c>
    </row>
    <row r="1615" customFormat="false" ht="15" hidden="false" customHeight="false" outlineLevel="0" collapsed="false">
      <c r="A1615" s="37" t="n">
        <v>502338</v>
      </c>
      <c r="B1615" s="37" t="s">
        <v>1430</v>
      </c>
      <c r="C1615" s="37" t="n">
        <v>202604</v>
      </c>
      <c r="D1615" s="37" t="s">
        <v>66</v>
      </c>
      <c r="E1615" s="37" t="s">
        <v>100</v>
      </c>
      <c r="F1615" s="37" t="s">
        <v>201</v>
      </c>
      <c r="G1615" s="37" t="s">
        <v>358</v>
      </c>
      <c r="H1615" s="37" t="s">
        <v>1185</v>
      </c>
      <c r="I1615" s="37" t="s">
        <v>370</v>
      </c>
      <c r="J1615" s="37" t="s">
        <v>1432</v>
      </c>
      <c r="K1615" s="45" t="n">
        <v>0</v>
      </c>
      <c r="L1615" s="46" t="n">
        <v>208226.27</v>
      </c>
    </row>
    <row r="1616" customFormat="false" ht="15" hidden="false" customHeight="false" outlineLevel="0" collapsed="false">
      <c r="A1616" s="37" t="n">
        <v>502473</v>
      </c>
      <c r="B1616" s="37" t="s">
        <v>1430</v>
      </c>
      <c r="C1616" s="37" t="n">
        <v>202604</v>
      </c>
      <c r="D1616" s="37" t="s">
        <v>67</v>
      </c>
      <c r="E1616" s="37" t="s">
        <v>100</v>
      </c>
      <c r="F1616" s="37" t="s">
        <v>201</v>
      </c>
      <c r="G1616" s="37" t="s">
        <v>358</v>
      </c>
      <c r="H1616" s="37" t="s">
        <v>1350</v>
      </c>
      <c r="I1616" s="37" t="s">
        <v>646</v>
      </c>
      <c r="J1616" s="37" t="s">
        <v>1432</v>
      </c>
      <c r="K1616" s="45" t="n">
        <v>0</v>
      </c>
      <c r="L1616" s="46" t="n">
        <v>299145.81</v>
      </c>
    </row>
    <row r="1617" customFormat="false" ht="15" hidden="false" customHeight="false" outlineLevel="0" collapsed="false">
      <c r="A1617" s="37" t="n">
        <v>500740</v>
      </c>
      <c r="B1617" s="37" t="s">
        <v>1441</v>
      </c>
      <c r="C1617" s="37" t="n">
        <v>202604</v>
      </c>
      <c r="D1617" s="37" t="s">
        <v>59</v>
      </c>
      <c r="E1617" s="37" t="s">
        <v>108</v>
      </c>
      <c r="F1617" s="37" t="s">
        <v>205</v>
      </c>
      <c r="G1617" s="37" t="s">
        <v>358</v>
      </c>
      <c r="H1617" s="37" t="s">
        <v>1385</v>
      </c>
      <c r="I1617" s="37" t="s">
        <v>1386</v>
      </c>
      <c r="J1617" s="37" t="s">
        <v>1442</v>
      </c>
      <c r="K1617" s="45" t="n">
        <v>0</v>
      </c>
      <c r="L1617" s="46" t="n">
        <v>1673.1</v>
      </c>
    </row>
    <row r="1618" customFormat="false" ht="15" hidden="false" customHeight="false" outlineLevel="0" collapsed="false">
      <c r="A1618" s="37" t="n">
        <v>501923</v>
      </c>
      <c r="B1618" s="37" t="s">
        <v>1441</v>
      </c>
      <c r="C1618" s="37" t="n">
        <v>202604</v>
      </c>
      <c r="D1618" s="37" t="s">
        <v>64</v>
      </c>
      <c r="E1618" s="37" t="s">
        <v>98</v>
      </c>
      <c r="F1618" s="37" t="s">
        <v>196</v>
      </c>
      <c r="G1618" s="37" t="s">
        <v>358</v>
      </c>
      <c r="H1618" s="37" t="s">
        <v>359</v>
      </c>
      <c r="I1618" s="37" t="s">
        <v>360</v>
      </c>
      <c r="J1618" s="37" t="s">
        <v>1443</v>
      </c>
      <c r="K1618" s="45" t="n">
        <v>0</v>
      </c>
      <c r="L1618" s="46" t="n">
        <v>10136</v>
      </c>
    </row>
    <row r="1619" customFormat="false" ht="15" hidden="false" customHeight="false" outlineLevel="0" collapsed="false">
      <c r="A1619" s="37" t="n">
        <v>500559</v>
      </c>
      <c r="B1619" s="37" t="s">
        <v>1444</v>
      </c>
      <c r="C1619" s="37" t="n">
        <v>202604</v>
      </c>
      <c r="D1619" s="37" t="s">
        <v>59</v>
      </c>
      <c r="E1619" s="37" t="s">
        <v>98</v>
      </c>
      <c r="F1619" s="37" t="s">
        <v>196</v>
      </c>
      <c r="G1619" s="37" t="s">
        <v>358</v>
      </c>
      <c r="H1619" s="37" t="s">
        <v>359</v>
      </c>
      <c r="I1619" s="37" t="s">
        <v>360</v>
      </c>
      <c r="J1619" s="37" t="s">
        <v>1445</v>
      </c>
      <c r="K1619" s="45" t="n">
        <v>0</v>
      </c>
      <c r="L1619" s="46" t="n">
        <v>56383.76</v>
      </c>
    </row>
    <row r="1620" customFormat="false" ht="15" hidden="false" customHeight="false" outlineLevel="0" collapsed="false">
      <c r="A1620" s="37" t="n">
        <v>500196</v>
      </c>
      <c r="B1620" s="37" t="s">
        <v>1446</v>
      </c>
      <c r="C1620" s="37" t="n">
        <v>202604</v>
      </c>
      <c r="D1620" s="37" t="s">
        <v>58</v>
      </c>
      <c r="E1620" s="37" t="s">
        <v>99</v>
      </c>
      <c r="F1620" s="37" t="s">
        <v>198</v>
      </c>
      <c r="G1620" s="37" t="s">
        <v>375</v>
      </c>
      <c r="H1620" s="37"/>
      <c r="I1620" s="37" t="s">
        <v>376</v>
      </c>
      <c r="J1620" s="37" t="s">
        <v>377</v>
      </c>
      <c r="K1620" s="45" t="n">
        <v>0</v>
      </c>
      <c r="L1620" s="46" t="n">
        <v>4953.67</v>
      </c>
    </row>
    <row r="1621" customFormat="false" ht="15" hidden="false" customHeight="false" outlineLevel="0" collapsed="false">
      <c r="A1621" s="37" t="n">
        <v>500583</v>
      </c>
      <c r="B1621" s="37" t="s">
        <v>1446</v>
      </c>
      <c r="C1621" s="37" t="n">
        <v>202604</v>
      </c>
      <c r="D1621" s="37" t="s">
        <v>59</v>
      </c>
      <c r="E1621" s="37" t="s">
        <v>99</v>
      </c>
      <c r="F1621" s="37" t="s">
        <v>198</v>
      </c>
      <c r="G1621" s="37" t="s">
        <v>375</v>
      </c>
      <c r="H1621" s="37"/>
      <c r="I1621" s="37" t="s">
        <v>376</v>
      </c>
      <c r="J1621" s="37" t="s">
        <v>377</v>
      </c>
      <c r="K1621" s="45" t="n">
        <v>0</v>
      </c>
      <c r="L1621" s="46" t="n">
        <v>42320.84</v>
      </c>
    </row>
    <row r="1622" customFormat="false" ht="15" hidden="false" customHeight="false" outlineLevel="0" collapsed="false">
      <c r="A1622" s="37" t="n">
        <v>500905</v>
      </c>
      <c r="B1622" s="37" t="s">
        <v>1446</v>
      </c>
      <c r="C1622" s="37" t="n">
        <v>202604</v>
      </c>
      <c r="D1622" s="37" t="s">
        <v>60</v>
      </c>
      <c r="E1622" s="37" t="s">
        <v>99</v>
      </c>
      <c r="F1622" s="37" t="s">
        <v>198</v>
      </c>
      <c r="G1622" s="37" t="s">
        <v>375</v>
      </c>
      <c r="H1622" s="37"/>
      <c r="I1622" s="37" t="s">
        <v>376</v>
      </c>
      <c r="J1622" s="37" t="s">
        <v>377</v>
      </c>
      <c r="K1622" s="45" t="n">
        <v>0</v>
      </c>
      <c r="L1622" s="46" t="n">
        <v>33735.15</v>
      </c>
    </row>
    <row r="1623" customFormat="false" ht="15" hidden="false" customHeight="false" outlineLevel="0" collapsed="false">
      <c r="A1623" s="37" t="n">
        <v>501205</v>
      </c>
      <c r="B1623" s="37" t="s">
        <v>1446</v>
      </c>
      <c r="C1623" s="37" t="n">
        <v>202604</v>
      </c>
      <c r="D1623" s="37" t="s">
        <v>61</v>
      </c>
      <c r="E1623" s="37" t="s">
        <v>99</v>
      </c>
      <c r="F1623" s="37" t="s">
        <v>198</v>
      </c>
      <c r="G1623" s="37" t="s">
        <v>375</v>
      </c>
      <c r="H1623" s="37"/>
      <c r="I1623" s="37" t="s">
        <v>376</v>
      </c>
      <c r="J1623" s="37" t="s">
        <v>377</v>
      </c>
      <c r="K1623" s="45" t="n">
        <v>0</v>
      </c>
      <c r="L1623" s="46" t="n">
        <v>32232.19</v>
      </c>
    </row>
    <row r="1624" customFormat="false" ht="15" hidden="false" customHeight="false" outlineLevel="0" collapsed="false">
      <c r="A1624" s="37" t="n">
        <v>501463</v>
      </c>
      <c r="B1624" s="37" t="s">
        <v>1446</v>
      </c>
      <c r="C1624" s="37" t="n">
        <v>202604</v>
      </c>
      <c r="D1624" s="37" t="s">
        <v>62</v>
      </c>
      <c r="E1624" s="37" t="s">
        <v>99</v>
      </c>
      <c r="F1624" s="37" t="s">
        <v>198</v>
      </c>
      <c r="G1624" s="37" t="s">
        <v>375</v>
      </c>
      <c r="H1624" s="37"/>
      <c r="I1624" s="37" t="s">
        <v>376</v>
      </c>
      <c r="J1624" s="37" t="s">
        <v>377</v>
      </c>
      <c r="K1624" s="45" t="n">
        <v>0</v>
      </c>
      <c r="L1624" s="46" t="n">
        <v>47979.93</v>
      </c>
    </row>
    <row r="1625" customFormat="false" ht="15" hidden="false" customHeight="false" outlineLevel="0" collapsed="false">
      <c r="A1625" s="37" t="n">
        <v>501714</v>
      </c>
      <c r="B1625" s="37" t="s">
        <v>1446</v>
      </c>
      <c r="C1625" s="37" t="n">
        <v>202604</v>
      </c>
      <c r="D1625" s="37" t="s">
        <v>63</v>
      </c>
      <c r="E1625" s="37" t="s">
        <v>99</v>
      </c>
      <c r="F1625" s="37" t="s">
        <v>198</v>
      </c>
      <c r="G1625" s="37" t="s">
        <v>375</v>
      </c>
      <c r="H1625" s="37"/>
      <c r="I1625" s="37" t="s">
        <v>376</v>
      </c>
      <c r="J1625" s="37" t="s">
        <v>377</v>
      </c>
      <c r="K1625" s="45" t="n">
        <v>0</v>
      </c>
      <c r="L1625" s="46" t="n">
        <v>40315.81</v>
      </c>
    </row>
    <row r="1626" customFormat="false" ht="15" hidden="false" customHeight="false" outlineLevel="0" collapsed="false">
      <c r="A1626" s="37" t="n">
        <v>501939</v>
      </c>
      <c r="B1626" s="37" t="s">
        <v>1446</v>
      </c>
      <c r="C1626" s="37" t="n">
        <v>202604</v>
      </c>
      <c r="D1626" s="37" t="s">
        <v>64</v>
      </c>
      <c r="E1626" s="37" t="s">
        <v>99</v>
      </c>
      <c r="F1626" s="37" t="s">
        <v>198</v>
      </c>
      <c r="G1626" s="37" t="s">
        <v>375</v>
      </c>
      <c r="H1626" s="37"/>
      <c r="I1626" s="37" t="s">
        <v>376</v>
      </c>
      <c r="J1626" s="37" t="s">
        <v>377</v>
      </c>
      <c r="K1626" s="45" t="n">
        <v>0</v>
      </c>
      <c r="L1626" s="46" t="n">
        <v>32986.03</v>
      </c>
    </row>
    <row r="1627" customFormat="false" ht="15" hidden="false" customHeight="false" outlineLevel="0" collapsed="false">
      <c r="A1627" s="37" t="n">
        <v>502148</v>
      </c>
      <c r="B1627" s="37" t="s">
        <v>1446</v>
      </c>
      <c r="C1627" s="37" t="n">
        <v>202604</v>
      </c>
      <c r="D1627" s="37" t="s">
        <v>65</v>
      </c>
      <c r="E1627" s="37" t="s">
        <v>99</v>
      </c>
      <c r="F1627" s="37" t="s">
        <v>198</v>
      </c>
      <c r="G1627" s="37" t="s">
        <v>375</v>
      </c>
      <c r="H1627" s="37"/>
      <c r="I1627" s="37" t="s">
        <v>376</v>
      </c>
      <c r="J1627" s="37" t="s">
        <v>377</v>
      </c>
      <c r="K1627" s="45" t="n">
        <v>0</v>
      </c>
      <c r="L1627" s="46" t="n">
        <v>82486.16</v>
      </c>
    </row>
    <row r="1628" customFormat="false" ht="15" hidden="false" customHeight="false" outlineLevel="0" collapsed="false">
      <c r="A1628" s="37" t="n">
        <v>502329</v>
      </c>
      <c r="B1628" s="37" t="s">
        <v>1446</v>
      </c>
      <c r="C1628" s="37" t="n">
        <v>202604</v>
      </c>
      <c r="D1628" s="37" t="s">
        <v>66</v>
      </c>
      <c r="E1628" s="37" t="s">
        <v>99</v>
      </c>
      <c r="F1628" s="37" t="s">
        <v>198</v>
      </c>
      <c r="G1628" s="37" t="s">
        <v>375</v>
      </c>
      <c r="H1628" s="37"/>
      <c r="I1628" s="37" t="s">
        <v>376</v>
      </c>
      <c r="J1628" s="37" t="s">
        <v>377</v>
      </c>
      <c r="K1628" s="45" t="n">
        <v>0</v>
      </c>
      <c r="L1628" s="46" t="n">
        <v>21331.06</v>
      </c>
    </row>
    <row r="1629" customFormat="false" ht="15" hidden="false" customHeight="false" outlineLevel="0" collapsed="false">
      <c r="A1629" s="37" t="n">
        <v>502466</v>
      </c>
      <c r="B1629" s="37" t="s">
        <v>1446</v>
      </c>
      <c r="C1629" s="37" t="n">
        <v>202604</v>
      </c>
      <c r="D1629" s="37" t="s">
        <v>67</v>
      </c>
      <c r="E1629" s="37" t="s">
        <v>99</v>
      </c>
      <c r="F1629" s="37" t="s">
        <v>198</v>
      </c>
      <c r="G1629" s="37" t="s">
        <v>375</v>
      </c>
      <c r="H1629" s="37"/>
      <c r="I1629" s="37" t="s">
        <v>376</v>
      </c>
      <c r="J1629" s="37" t="s">
        <v>377</v>
      </c>
      <c r="K1629" s="45" t="n">
        <v>0</v>
      </c>
      <c r="L1629" s="46" t="n">
        <v>18310.09</v>
      </c>
    </row>
    <row r="1630" customFormat="false" ht="15" hidden="false" customHeight="false" outlineLevel="0" collapsed="false">
      <c r="A1630" s="37" t="n">
        <v>500100</v>
      </c>
      <c r="B1630" s="37" t="s">
        <v>1447</v>
      </c>
      <c r="C1630" s="37" t="n">
        <v>202605</v>
      </c>
      <c r="D1630" s="37" t="s">
        <v>58</v>
      </c>
      <c r="E1630" s="37" t="s">
        <v>97</v>
      </c>
      <c r="F1630" s="37" t="s">
        <v>194</v>
      </c>
      <c r="G1630" s="37" t="s">
        <v>354</v>
      </c>
      <c r="H1630" s="37"/>
      <c r="I1630" s="37" t="s">
        <v>355</v>
      </c>
      <c r="J1630" s="37" t="s">
        <v>1448</v>
      </c>
      <c r="K1630" s="45" t="n">
        <v>25.1</v>
      </c>
      <c r="L1630" s="46" t="n">
        <v>2312.8</v>
      </c>
    </row>
    <row r="1631" customFormat="false" ht="15" hidden="false" customHeight="false" outlineLevel="0" collapsed="false">
      <c r="A1631" s="37" t="n">
        <v>500508</v>
      </c>
      <c r="B1631" s="37" t="s">
        <v>1447</v>
      </c>
      <c r="C1631" s="37" t="n">
        <v>202605</v>
      </c>
      <c r="D1631" s="37" t="s">
        <v>59</v>
      </c>
      <c r="E1631" s="37" t="s">
        <v>97</v>
      </c>
      <c r="F1631" s="37" t="s">
        <v>194</v>
      </c>
      <c r="G1631" s="37" t="s">
        <v>354</v>
      </c>
      <c r="H1631" s="37"/>
      <c r="I1631" s="37" t="s">
        <v>355</v>
      </c>
      <c r="J1631" s="37" t="s">
        <v>1448</v>
      </c>
      <c r="K1631" s="45" t="n">
        <v>206</v>
      </c>
      <c r="L1631" s="46" t="n">
        <v>18950.18</v>
      </c>
    </row>
    <row r="1632" customFormat="false" ht="15" hidden="false" customHeight="false" outlineLevel="0" collapsed="false">
      <c r="A1632" s="37" t="n">
        <v>500710</v>
      </c>
      <c r="B1632" s="37" t="s">
        <v>1447</v>
      </c>
      <c r="C1632" s="37" t="n">
        <v>202605</v>
      </c>
      <c r="D1632" s="37" t="s">
        <v>59</v>
      </c>
      <c r="E1632" s="37" t="s">
        <v>106</v>
      </c>
      <c r="F1632" s="37" t="s">
        <v>194</v>
      </c>
      <c r="G1632" s="37" t="s">
        <v>354</v>
      </c>
      <c r="H1632" s="37"/>
      <c r="I1632" s="37" t="s">
        <v>355</v>
      </c>
      <c r="J1632" s="37" t="s">
        <v>1448</v>
      </c>
      <c r="K1632" s="45" t="n">
        <v>67.3</v>
      </c>
      <c r="L1632" s="46" t="n">
        <v>4778.65</v>
      </c>
    </row>
    <row r="1633" customFormat="false" ht="15" hidden="false" customHeight="false" outlineLevel="0" collapsed="false">
      <c r="A1633" s="37" t="n">
        <v>500837</v>
      </c>
      <c r="B1633" s="37" t="s">
        <v>1447</v>
      </c>
      <c r="C1633" s="37" t="n">
        <v>202605</v>
      </c>
      <c r="D1633" s="37" t="s">
        <v>60</v>
      </c>
      <c r="E1633" s="37" t="s">
        <v>97</v>
      </c>
      <c r="F1633" s="37" t="s">
        <v>194</v>
      </c>
      <c r="G1633" s="37" t="s">
        <v>354</v>
      </c>
      <c r="H1633" s="37"/>
      <c r="I1633" s="37" t="s">
        <v>355</v>
      </c>
      <c r="J1633" s="37" t="s">
        <v>1448</v>
      </c>
      <c r="K1633" s="45" t="n">
        <v>260.3</v>
      </c>
      <c r="L1633" s="46" t="n">
        <v>23943.39</v>
      </c>
    </row>
    <row r="1634" customFormat="false" ht="15" hidden="false" customHeight="false" outlineLevel="0" collapsed="false">
      <c r="A1634" s="37" t="n">
        <v>501030</v>
      </c>
      <c r="B1634" s="37" t="s">
        <v>1447</v>
      </c>
      <c r="C1634" s="37" t="n">
        <v>202605</v>
      </c>
      <c r="D1634" s="37" t="s">
        <v>60</v>
      </c>
      <c r="E1634" s="37" t="s">
        <v>106</v>
      </c>
      <c r="F1634" s="37" t="s">
        <v>194</v>
      </c>
      <c r="G1634" s="37" t="s">
        <v>354</v>
      </c>
      <c r="H1634" s="37"/>
      <c r="I1634" s="37" t="s">
        <v>355</v>
      </c>
      <c r="J1634" s="37" t="s">
        <v>1448</v>
      </c>
      <c r="K1634" s="45" t="n">
        <v>84.5</v>
      </c>
      <c r="L1634" s="46" t="n">
        <v>5998.75</v>
      </c>
    </row>
    <row r="1635" customFormat="false" ht="15" hidden="false" customHeight="false" outlineLevel="0" collapsed="false">
      <c r="A1635" s="37" t="n">
        <v>501144</v>
      </c>
      <c r="B1635" s="37" t="s">
        <v>1447</v>
      </c>
      <c r="C1635" s="37" t="n">
        <v>202605</v>
      </c>
      <c r="D1635" s="37" t="s">
        <v>61</v>
      </c>
      <c r="E1635" s="37" t="s">
        <v>97</v>
      </c>
      <c r="F1635" s="37" t="s">
        <v>194</v>
      </c>
      <c r="G1635" s="37" t="s">
        <v>354</v>
      </c>
      <c r="H1635" s="37"/>
      <c r="I1635" s="37" t="s">
        <v>355</v>
      </c>
      <c r="J1635" s="37" t="s">
        <v>1448</v>
      </c>
      <c r="K1635" s="45" t="n">
        <v>124.1</v>
      </c>
      <c r="L1635" s="46" t="n">
        <v>11419.99</v>
      </c>
    </row>
    <row r="1636" customFormat="false" ht="15" hidden="false" customHeight="false" outlineLevel="0" collapsed="false">
      <c r="A1636" s="37" t="n">
        <v>501304</v>
      </c>
      <c r="B1636" s="37" t="s">
        <v>1447</v>
      </c>
      <c r="C1636" s="37" t="n">
        <v>202605</v>
      </c>
      <c r="D1636" s="37" t="s">
        <v>61</v>
      </c>
      <c r="E1636" s="37" t="s">
        <v>106</v>
      </c>
      <c r="F1636" s="37" t="s">
        <v>194</v>
      </c>
      <c r="G1636" s="37" t="s">
        <v>354</v>
      </c>
      <c r="H1636" s="37"/>
      <c r="I1636" s="37" t="s">
        <v>355</v>
      </c>
      <c r="J1636" s="37" t="s">
        <v>1448</v>
      </c>
      <c r="K1636" s="45" t="n">
        <v>53.1</v>
      </c>
      <c r="L1636" s="46" t="n">
        <v>3768.08</v>
      </c>
    </row>
    <row r="1637" customFormat="false" ht="15" hidden="false" customHeight="false" outlineLevel="0" collapsed="false">
      <c r="A1637" s="37" t="n">
        <v>501405</v>
      </c>
      <c r="B1637" s="37" t="s">
        <v>1447</v>
      </c>
      <c r="C1637" s="37" t="n">
        <v>202605</v>
      </c>
      <c r="D1637" s="37" t="s">
        <v>62</v>
      </c>
      <c r="E1637" s="37" t="s">
        <v>97</v>
      </c>
      <c r="F1637" s="37" t="s">
        <v>194</v>
      </c>
      <c r="G1637" s="37" t="s">
        <v>354</v>
      </c>
      <c r="H1637" s="37"/>
      <c r="I1637" s="37" t="s">
        <v>355</v>
      </c>
      <c r="J1637" s="37" t="s">
        <v>1448</v>
      </c>
      <c r="K1637" s="45" t="n">
        <v>296</v>
      </c>
      <c r="L1637" s="46" t="n">
        <v>27232.02</v>
      </c>
    </row>
    <row r="1638" customFormat="false" ht="15" hidden="false" customHeight="false" outlineLevel="0" collapsed="false">
      <c r="A1638" s="37" t="n">
        <v>501509</v>
      </c>
      <c r="B1638" s="37" t="s">
        <v>1447</v>
      </c>
      <c r="C1638" s="37" t="n">
        <v>202605</v>
      </c>
      <c r="D1638" s="37" t="s">
        <v>62</v>
      </c>
      <c r="E1638" s="37" t="s">
        <v>101</v>
      </c>
      <c r="F1638" s="37" t="s">
        <v>194</v>
      </c>
      <c r="G1638" s="37" t="s">
        <v>354</v>
      </c>
      <c r="H1638" s="37"/>
      <c r="I1638" s="37" t="s">
        <v>355</v>
      </c>
      <c r="J1638" s="37" t="s">
        <v>1448</v>
      </c>
      <c r="K1638" s="45" t="n">
        <v>126.7</v>
      </c>
      <c r="L1638" s="46" t="n">
        <v>9377.94</v>
      </c>
    </row>
    <row r="1639" customFormat="false" ht="15" hidden="false" customHeight="false" outlineLevel="0" collapsed="false">
      <c r="A1639" s="37" t="n">
        <v>501571</v>
      </c>
      <c r="B1639" s="37" t="s">
        <v>1447</v>
      </c>
      <c r="C1639" s="37" t="n">
        <v>202605</v>
      </c>
      <c r="D1639" s="37" t="s">
        <v>62</v>
      </c>
      <c r="E1639" s="37" t="s">
        <v>106</v>
      </c>
      <c r="F1639" s="37" t="s">
        <v>194</v>
      </c>
      <c r="G1639" s="37" t="s">
        <v>354</v>
      </c>
      <c r="H1639" s="37"/>
      <c r="I1639" s="37" t="s">
        <v>355</v>
      </c>
      <c r="J1639" s="37" t="s">
        <v>1448</v>
      </c>
      <c r="K1639" s="45" t="n">
        <v>103</v>
      </c>
      <c r="L1639" s="46" t="n">
        <v>7315.14</v>
      </c>
    </row>
    <row r="1640" customFormat="false" ht="15" hidden="false" customHeight="false" outlineLevel="0" collapsed="false">
      <c r="A1640" s="37" t="n">
        <v>501651</v>
      </c>
      <c r="B1640" s="37" t="s">
        <v>1447</v>
      </c>
      <c r="C1640" s="37" t="n">
        <v>202605</v>
      </c>
      <c r="D1640" s="37" t="s">
        <v>63</v>
      </c>
      <c r="E1640" s="37" t="s">
        <v>97</v>
      </c>
      <c r="F1640" s="37" t="s">
        <v>194</v>
      </c>
      <c r="G1640" s="37" t="s">
        <v>354</v>
      </c>
      <c r="H1640" s="37"/>
      <c r="I1640" s="37" t="s">
        <v>355</v>
      </c>
      <c r="J1640" s="37" t="s">
        <v>1448</v>
      </c>
      <c r="K1640" s="45" t="n">
        <v>155.3</v>
      </c>
      <c r="L1640" s="46" t="n">
        <v>14290.45</v>
      </c>
    </row>
    <row r="1641" customFormat="false" ht="15" hidden="false" customHeight="false" outlineLevel="0" collapsed="false">
      <c r="A1641" s="37" t="n">
        <v>501801</v>
      </c>
      <c r="B1641" s="37" t="s">
        <v>1447</v>
      </c>
      <c r="C1641" s="37" t="n">
        <v>202605</v>
      </c>
      <c r="D1641" s="37" t="s">
        <v>63</v>
      </c>
      <c r="E1641" s="37" t="s">
        <v>106</v>
      </c>
      <c r="F1641" s="37" t="s">
        <v>194</v>
      </c>
      <c r="G1641" s="37" t="s">
        <v>354</v>
      </c>
      <c r="H1641" s="37"/>
      <c r="I1641" s="37" t="s">
        <v>355</v>
      </c>
      <c r="J1641" s="37" t="s">
        <v>1448</v>
      </c>
      <c r="K1641" s="45" t="n">
        <v>171.4</v>
      </c>
      <c r="L1641" s="46" t="n">
        <v>12170.18</v>
      </c>
    </row>
    <row r="1642" customFormat="false" ht="15" hidden="false" customHeight="false" outlineLevel="0" collapsed="false">
      <c r="A1642" s="37" t="n">
        <v>501885</v>
      </c>
      <c r="B1642" s="37" t="s">
        <v>1447</v>
      </c>
      <c r="C1642" s="37" t="n">
        <v>202605</v>
      </c>
      <c r="D1642" s="37" t="s">
        <v>64</v>
      </c>
      <c r="E1642" s="37" t="s">
        <v>97</v>
      </c>
      <c r="F1642" s="37" t="s">
        <v>194</v>
      </c>
      <c r="G1642" s="37" t="s">
        <v>354</v>
      </c>
      <c r="H1642" s="37"/>
      <c r="I1642" s="37" t="s">
        <v>355</v>
      </c>
      <c r="J1642" s="37" t="s">
        <v>1448</v>
      </c>
      <c r="K1642" s="45" t="n">
        <v>182.6</v>
      </c>
      <c r="L1642" s="46" t="n">
        <v>16801.04</v>
      </c>
    </row>
    <row r="1643" customFormat="false" ht="15" hidden="false" customHeight="false" outlineLevel="0" collapsed="false">
      <c r="A1643" s="37" t="n">
        <v>501975</v>
      </c>
      <c r="B1643" s="37" t="s">
        <v>1447</v>
      </c>
      <c r="C1643" s="37" t="n">
        <v>202605</v>
      </c>
      <c r="D1643" s="37" t="s">
        <v>64</v>
      </c>
      <c r="E1643" s="37" t="s">
        <v>101</v>
      </c>
      <c r="F1643" s="37" t="s">
        <v>194</v>
      </c>
      <c r="G1643" s="37" t="s">
        <v>354</v>
      </c>
      <c r="H1643" s="37"/>
      <c r="I1643" s="37" t="s">
        <v>355</v>
      </c>
      <c r="J1643" s="37" t="s">
        <v>1448</v>
      </c>
      <c r="K1643" s="45" t="n">
        <v>256</v>
      </c>
      <c r="L1643" s="46" t="n">
        <v>18943.45</v>
      </c>
    </row>
    <row r="1644" customFormat="false" ht="15" hidden="false" customHeight="false" outlineLevel="0" collapsed="false">
      <c r="A1644" s="37" t="n">
        <v>502030</v>
      </c>
      <c r="B1644" s="37" t="s">
        <v>1447</v>
      </c>
      <c r="C1644" s="37" t="n">
        <v>202605</v>
      </c>
      <c r="D1644" s="37" t="s">
        <v>64</v>
      </c>
      <c r="E1644" s="37" t="s">
        <v>106</v>
      </c>
      <c r="F1644" s="37" t="s">
        <v>194</v>
      </c>
      <c r="G1644" s="37" t="s">
        <v>354</v>
      </c>
      <c r="H1644" s="37"/>
      <c r="I1644" s="37" t="s">
        <v>355</v>
      </c>
      <c r="J1644" s="37" t="s">
        <v>1448</v>
      </c>
      <c r="K1644" s="45" t="n">
        <v>30</v>
      </c>
      <c r="L1644" s="46" t="n">
        <v>2130.7</v>
      </c>
    </row>
    <row r="1645" customFormat="false" ht="15" hidden="false" customHeight="false" outlineLevel="0" collapsed="false">
      <c r="A1645" s="37" t="n">
        <v>502101</v>
      </c>
      <c r="B1645" s="37" t="s">
        <v>1447</v>
      </c>
      <c r="C1645" s="37" t="n">
        <v>202605</v>
      </c>
      <c r="D1645" s="37" t="s">
        <v>65</v>
      </c>
      <c r="E1645" s="37" t="s">
        <v>97</v>
      </c>
      <c r="F1645" s="37" t="s">
        <v>194</v>
      </c>
      <c r="G1645" s="37" t="s">
        <v>354</v>
      </c>
      <c r="H1645" s="37"/>
      <c r="I1645" s="37" t="s">
        <v>355</v>
      </c>
      <c r="J1645" s="37" t="s">
        <v>1448</v>
      </c>
      <c r="K1645" s="45" t="n">
        <v>207.6</v>
      </c>
      <c r="L1645" s="46" t="n">
        <v>19102.2</v>
      </c>
    </row>
    <row r="1646" customFormat="false" ht="15" hidden="false" customHeight="false" outlineLevel="0" collapsed="false">
      <c r="A1646" s="37" t="n">
        <v>502180</v>
      </c>
      <c r="B1646" s="37" t="s">
        <v>1447</v>
      </c>
      <c r="C1646" s="37" t="n">
        <v>202605</v>
      </c>
      <c r="D1646" s="37" t="s">
        <v>65</v>
      </c>
      <c r="E1646" s="37" t="s">
        <v>101</v>
      </c>
      <c r="F1646" s="37" t="s">
        <v>194</v>
      </c>
      <c r="G1646" s="37" t="s">
        <v>354</v>
      </c>
      <c r="H1646" s="37"/>
      <c r="I1646" s="37" t="s">
        <v>355</v>
      </c>
      <c r="J1646" s="37" t="s">
        <v>1448</v>
      </c>
      <c r="K1646" s="45" t="n">
        <v>289.2</v>
      </c>
      <c r="L1646" s="46" t="n">
        <v>21402.22</v>
      </c>
    </row>
    <row r="1647" customFormat="false" ht="15" hidden="false" customHeight="false" outlineLevel="0" collapsed="false">
      <c r="A1647" s="37" t="n">
        <v>502222</v>
      </c>
      <c r="B1647" s="37" t="s">
        <v>1447</v>
      </c>
      <c r="C1647" s="37" t="n">
        <v>202605</v>
      </c>
      <c r="D1647" s="37" t="s">
        <v>65</v>
      </c>
      <c r="E1647" s="37" t="s">
        <v>106</v>
      </c>
      <c r="F1647" s="37" t="s">
        <v>194</v>
      </c>
      <c r="G1647" s="37" t="s">
        <v>354</v>
      </c>
      <c r="H1647" s="37"/>
      <c r="I1647" s="37" t="s">
        <v>355</v>
      </c>
      <c r="J1647" s="37" t="s">
        <v>1448</v>
      </c>
      <c r="K1647" s="45" t="n">
        <v>22.2</v>
      </c>
      <c r="L1647" s="46" t="n">
        <v>1574.93</v>
      </c>
    </row>
    <row r="1648" customFormat="false" ht="15" hidden="false" customHeight="false" outlineLevel="0" collapsed="false">
      <c r="A1648" s="37" t="n">
        <v>502284</v>
      </c>
      <c r="B1648" s="37" t="s">
        <v>1447</v>
      </c>
      <c r="C1648" s="37" t="n">
        <v>202605</v>
      </c>
      <c r="D1648" s="37" t="s">
        <v>66</v>
      </c>
      <c r="E1648" s="37" t="s">
        <v>97</v>
      </c>
      <c r="F1648" s="37" t="s">
        <v>194</v>
      </c>
      <c r="G1648" s="37" t="s">
        <v>354</v>
      </c>
      <c r="H1648" s="37"/>
      <c r="I1648" s="37" t="s">
        <v>355</v>
      </c>
      <c r="J1648" s="37" t="s">
        <v>1448</v>
      </c>
      <c r="K1648" s="45" t="n">
        <v>250.4</v>
      </c>
      <c r="L1648" s="46" t="n">
        <v>23035.24</v>
      </c>
    </row>
    <row r="1649" customFormat="false" ht="15" hidden="false" customHeight="false" outlineLevel="0" collapsed="false">
      <c r="A1649" s="37" t="n">
        <v>502349</v>
      </c>
      <c r="B1649" s="37" t="s">
        <v>1447</v>
      </c>
      <c r="C1649" s="37" t="n">
        <v>202605</v>
      </c>
      <c r="D1649" s="37" t="s">
        <v>66</v>
      </c>
      <c r="E1649" s="37" t="s">
        <v>101</v>
      </c>
      <c r="F1649" s="37" t="s">
        <v>194</v>
      </c>
      <c r="G1649" s="37" t="s">
        <v>354</v>
      </c>
      <c r="H1649" s="37"/>
      <c r="I1649" s="37" t="s">
        <v>355</v>
      </c>
      <c r="J1649" s="37" t="s">
        <v>1448</v>
      </c>
      <c r="K1649" s="45" t="n">
        <v>382.7</v>
      </c>
      <c r="L1649" s="46" t="n">
        <v>28319.81</v>
      </c>
    </row>
    <row r="1650" customFormat="false" ht="15" hidden="false" customHeight="false" outlineLevel="0" collapsed="false">
      <c r="A1650" s="37" t="n">
        <v>502427</v>
      </c>
      <c r="B1650" s="37" t="s">
        <v>1447</v>
      </c>
      <c r="C1650" s="37" t="n">
        <v>202605</v>
      </c>
      <c r="D1650" s="37" t="s">
        <v>67</v>
      </c>
      <c r="E1650" s="37" t="s">
        <v>97</v>
      </c>
      <c r="F1650" s="37" t="s">
        <v>194</v>
      </c>
      <c r="G1650" s="37" t="s">
        <v>354</v>
      </c>
      <c r="H1650" s="37"/>
      <c r="I1650" s="37" t="s">
        <v>355</v>
      </c>
      <c r="J1650" s="37" t="s">
        <v>1448</v>
      </c>
      <c r="K1650" s="45" t="n">
        <v>87.4</v>
      </c>
      <c r="L1650" s="46" t="n">
        <v>8043.67</v>
      </c>
    </row>
    <row r="1651" customFormat="false" ht="15" hidden="false" customHeight="false" outlineLevel="0" collapsed="false">
      <c r="A1651" s="37" t="n">
        <v>502481</v>
      </c>
      <c r="B1651" s="37" t="s">
        <v>1447</v>
      </c>
      <c r="C1651" s="37" t="n">
        <v>202605</v>
      </c>
      <c r="D1651" s="37" t="s">
        <v>67</v>
      </c>
      <c r="E1651" s="37" t="s">
        <v>101</v>
      </c>
      <c r="F1651" s="37" t="s">
        <v>194</v>
      </c>
      <c r="G1651" s="37" t="s">
        <v>354</v>
      </c>
      <c r="H1651" s="37"/>
      <c r="I1651" s="37" t="s">
        <v>355</v>
      </c>
      <c r="J1651" s="37" t="s">
        <v>1448</v>
      </c>
      <c r="K1651" s="45" t="n">
        <v>191.3</v>
      </c>
      <c r="L1651" s="46" t="n">
        <v>14159.36</v>
      </c>
    </row>
    <row r="1652" customFormat="false" ht="15" hidden="false" customHeight="false" outlineLevel="0" collapsed="false">
      <c r="A1652" s="37" t="n">
        <v>502543</v>
      </c>
      <c r="B1652" s="37" t="s">
        <v>1447</v>
      </c>
      <c r="C1652" s="37" t="n">
        <v>202605</v>
      </c>
      <c r="D1652" s="37" t="s">
        <v>68</v>
      </c>
      <c r="E1652" s="37" t="s">
        <v>97</v>
      </c>
      <c r="F1652" s="37" t="s">
        <v>194</v>
      </c>
      <c r="G1652" s="37" t="s">
        <v>354</v>
      </c>
      <c r="H1652" s="37"/>
      <c r="I1652" s="37" t="s">
        <v>355</v>
      </c>
      <c r="J1652" s="37" t="s">
        <v>1448</v>
      </c>
      <c r="K1652" s="45" t="n">
        <v>36.1</v>
      </c>
      <c r="L1652" s="46" t="n">
        <v>3325.71</v>
      </c>
    </row>
    <row r="1653" customFormat="false" ht="15" hidden="false" customHeight="false" outlineLevel="0" collapsed="false">
      <c r="A1653" s="37" t="n">
        <v>501549</v>
      </c>
      <c r="B1653" s="37" t="s">
        <v>1449</v>
      </c>
      <c r="C1653" s="37" t="n">
        <v>202605</v>
      </c>
      <c r="D1653" s="37" t="s">
        <v>62</v>
      </c>
      <c r="E1653" s="37" t="s">
        <v>103</v>
      </c>
      <c r="F1653" s="37" t="s">
        <v>205</v>
      </c>
      <c r="G1653" s="37" t="s">
        <v>358</v>
      </c>
      <c r="H1653" s="37" t="s">
        <v>897</v>
      </c>
      <c r="I1653" s="37" t="s">
        <v>898</v>
      </c>
      <c r="J1653" s="37" t="s">
        <v>1450</v>
      </c>
      <c r="K1653" s="45" t="n">
        <v>0</v>
      </c>
      <c r="L1653" s="46" t="n">
        <v>69088.06</v>
      </c>
    </row>
    <row r="1654" customFormat="false" ht="15" hidden="false" customHeight="false" outlineLevel="0" collapsed="false">
      <c r="A1654" s="37" t="n">
        <v>501533</v>
      </c>
      <c r="B1654" s="37" t="s">
        <v>1451</v>
      </c>
      <c r="C1654" s="37" t="n">
        <v>202605</v>
      </c>
      <c r="D1654" s="37" t="s">
        <v>62</v>
      </c>
      <c r="E1654" s="37" t="s">
        <v>102</v>
      </c>
      <c r="F1654" s="37" t="s">
        <v>205</v>
      </c>
      <c r="G1654" s="37" t="s">
        <v>358</v>
      </c>
      <c r="H1654" s="37" t="s">
        <v>810</v>
      </c>
      <c r="I1654" s="37" t="s">
        <v>811</v>
      </c>
      <c r="J1654" s="37" t="s">
        <v>1452</v>
      </c>
      <c r="K1654" s="45" t="n">
        <v>0</v>
      </c>
      <c r="L1654" s="46" t="n">
        <v>4766.58</v>
      </c>
    </row>
    <row r="1655" customFormat="false" ht="15" hidden="false" customHeight="false" outlineLevel="0" collapsed="false">
      <c r="A1655" s="37" t="n">
        <v>501695</v>
      </c>
      <c r="B1655" s="37" t="s">
        <v>1451</v>
      </c>
      <c r="C1655" s="37" t="n">
        <v>202605</v>
      </c>
      <c r="D1655" s="37" t="s">
        <v>63</v>
      </c>
      <c r="E1655" s="37" t="s">
        <v>98</v>
      </c>
      <c r="F1655" s="37" t="s">
        <v>196</v>
      </c>
      <c r="G1655" s="37" t="s">
        <v>358</v>
      </c>
      <c r="H1655" s="37" t="s">
        <v>359</v>
      </c>
      <c r="I1655" s="37" t="s">
        <v>360</v>
      </c>
      <c r="J1655" s="37" t="s">
        <v>1453</v>
      </c>
      <c r="K1655" s="45" t="n">
        <v>0</v>
      </c>
      <c r="L1655" s="46" t="n">
        <v>13437.91</v>
      </c>
    </row>
    <row r="1656" customFormat="false" ht="15" hidden="false" customHeight="false" outlineLevel="0" collapsed="false">
      <c r="A1656" s="37" t="n">
        <v>502211</v>
      </c>
      <c r="B1656" s="37" t="s">
        <v>1451</v>
      </c>
      <c r="C1656" s="37" t="n">
        <v>202605</v>
      </c>
      <c r="D1656" s="37" t="s">
        <v>65</v>
      </c>
      <c r="E1656" s="37" t="s">
        <v>103</v>
      </c>
      <c r="F1656" s="37" t="s">
        <v>205</v>
      </c>
      <c r="G1656" s="37" t="s">
        <v>358</v>
      </c>
      <c r="H1656" s="37" t="s">
        <v>1051</v>
      </c>
      <c r="I1656" s="37" t="s">
        <v>898</v>
      </c>
      <c r="J1656" s="37" t="s">
        <v>955</v>
      </c>
      <c r="K1656" s="45" t="n">
        <v>0</v>
      </c>
      <c r="L1656" s="46" t="n">
        <v>60188.66</v>
      </c>
    </row>
    <row r="1657" customFormat="false" ht="15" hidden="false" customHeight="false" outlineLevel="0" collapsed="false">
      <c r="A1657" s="37" t="n">
        <v>502521</v>
      </c>
      <c r="B1657" s="37" t="s">
        <v>1451</v>
      </c>
      <c r="C1657" s="37" t="n">
        <v>202605</v>
      </c>
      <c r="D1657" s="37" t="s">
        <v>67</v>
      </c>
      <c r="E1657" s="37" t="s">
        <v>103</v>
      </c>
      <c r="F1657" s="37" t="s">
        <v>205</v>
      </c>
      <c r="G1657" s="37" t="s">
        <v>358</v>
      </c>
      <c r="H1657" s="37" t="s">
        <v>1368</v>
      </c>
      <c r="I1657" s="37" t="s">
        <v>1369</v>
      </c>
      <c r="J1657" s="37" t="s">
        <v>1454</v>
      </c>
      <c r="K1657" s="45" t="n">
        <v>0</v>
      </c>
      <c r="L1657" s="46" t="n">
        <v>55594.04</v>
      </c>
    </row>
    <row r="1658" customFormat="false" ht="15" hidden="false" customHeight="false" outlineLevel="0" collapsed="false">
      <c r="A1658" s="37" t="n">
        <v>500394</v>
      </c>
      <c r="B1658" s="37" t="s">
        <v>1455</v>
      </c>
      <c r="C1658" s="37" t="n">
        <v>202605</v>
      </c>
      <c r="D1658" s="37" t="s">
        <v>58</v>
      </c>
      <c r="E1658" s="37" t="s">
        <v>108</v>
      </c>
      <c r="F1658" s="37" t="s">
        <v>205</v>
      </c>
      <c r="G1658" s="37" t="s">
        <v>358</v>
      </c>
      <c r="H1658" s="37" t="s">
        <v>885</v>
      </c>
      <c r="I1658" s="37" t="s">
        <v>886</v>
      </c>
      <c r="J1658" s="37" t="s">
        <v>1456</v>
      </c>
      <c r="K1658" s="45" t="n">
        <v>0</v>
      </c>
      <c r="L1658" s="46" t="n">
        <v>31062.2</v>
      </c>
    </row>
    <row r="1659" customFormat="false" ht="15" hidden="false" customHeight="false" outlineLevel="0" collapsed="false">
      <c r="A1659" s="37" t="n">
        <v>502202</v>
      </c>
      <c r="B1659" s="37" t="s">
        <v>1455</v>
      </c>
      <c r="C1659" s="37" t="n">
        <v>202605</v>
      </c>
      <c r="D1659" s="37" t="s">
        <v>65</v>
      </c>
      <c r="E1659" s="37" t="s">
        <v>102</v>
      </c>
      <c r="F1659" s="37" t="s">
        <v>205</v>
      </c>
      <c r="G1659" s="37" t="s">
        <v>358</v>
      </c>
      <c r="H1659" s="37" t="s">
        <v>1039</v>
      </c>
      <c r="I1659" s="37" t="s">
        <v>715</v>
      </c>
      <c r="J1659" s="37" t="s">
        <v>1457</v>
      </c>
      <c r="K1659" s="45" t="n">
        <v>0</v>
      </c>
      <c r="L1659" s="46" t="n">
        <v>50420.56</v>
      </c>
    </row>
    <row r="1660" customFormat="false" ht="15" hidden="false" customHeight="false" outlineLevel="0" collapsed="false">
      <c r="A1660" s="37" t="n">
        <v>500163</v>
      </c>
      <c r="B1660" s="37" t="s">
        <v>1458</v>
      </c>
      <c r="C1660" s="37" t="n">
        <v>202605</v>
      </c>
      <c r="D1660" s="37" t="s">
        <v>58</v>
      </c>
      <c r="E1660" s="37" t="s">
        <v>98</v>
      </c>
      <c r="F1660" s="37" t="s">
        <v>196</v>
      </c>
      <c r="G1660" s="37" t="s">
        <v>358</v>
      </c>
      <c r="H1660" s="37" t="s">
        <v>359</v>
      </c>
      <c r="I1660" s="37" t="s">
        <v>360</v>
      </c>
      <c r="J1660" s="37" t="s">
        <v>1459</v>
      </c>
      <c r="K1660" s="45" t="n">
        <v>0</v>
      </c>
      <c r="L1660" s="46" t="n">
        <v>4168.14</v>
      </c>
    </row>
    <row r="1661" customFormat="false" ht="15" hidden="false" customHeight="false" outlineLevel="0" collapsed="false">
      <c r="A1661" s="37" t="n">
        <v>500885</v>
      </c>
      <c r="B1661" s="37" t="s">
        <v>1458</v>
      </c>
      <c r="C1661" s="37" t="n">
        <v>202605</v>
      </c>
      <c r="D1661" s="37" t="s">
        <v>60</v>
      </c>
      <c r="E1661" s="37" t="s">
        <v>98</v>
      </c>
      <c r="F1661" s="37" t="s">
        <v>196</v>
      </c>
      <c r="G1661" s="37" t="s">
        <v>358</v>
      </c>
      <c r="H1661" s="37" t="s">
        <v>359</v>
      </c>
      <c r="I1661" s="37" t="s">
        <v>360</v>
      </c>
      <c r="J1661" s="37" t="s">
        <v>1460</v>
      </c>
      <c r="K1661" s="45" t="n">
        <v>0</v>
      </c>
      <c r="L1661" s="46" t="n">
        <v>10059.69</v>
      </c>
    </row>
    <row r="1662" customFormat="false" ht="15" hidden="false" customHeight="false" outlineLevel="0" collapsed="false">
      <c r="A1662" s="37" t="n">
        <v>502377</v>
      </c>
      <c r="B1662" s="37" t="s">
        <v>1458</v>
      </c>
      <c r="C1662" s="37" t="n">
        <v>202605</v>
      </c>
      <c r="D1662" s="37" t="s">
        <v>66</v>
      </c>
      <c r="E1662" s="37" t="s">
        <v>102</v>
      </c>
      <c r="F1662" s="37" t="s">
        <v>205</v>
      </c>
      <c r="G1662" s="37" t="s">
        <v>358</v>
      </c>
      <c r="H1662" s="37" t="s">
        <v>1323</v>
      </c>
      <c r="I1662" s="37" t="s">
        <v>715</v>
      </c>
      <c r="J1662" s="37" t="s">
        <v>1461</v>
      </c>
      <c r="K1662" s="45" t="n">
        <v>0</v>
      </c>
      <c r="L1662" s="46" t="n">
        <v>66881.17</v>
      </c>
    </row>
    <row r="1663" customFormat="false" ht="15" hidden="false" customHeight="false" outlineLevel="0" collapsed="false">
      <c r="A1663" s="37" t="n">
        <v>502505</v>
      </c>
      <c r="B1663" s="37" t="s">
        <v>1458</v>
      </c>
      <c r="C1663" s="37" t="n">
        <v>202605</v>
      </c>
      <c r="D1663" s="37" t="s">
        <v>67</v>
      </c>
      <c r="E1663" s="37" t="s">
        <v>102</v>
      </c>
      <c r="F1663" s="37" t="s">
        <v>205</v>
      </c>
      <c r="G1663" s="37" t="s">
        <v>358</v>
      </c>
      <c r="H1663" s="37" t="s">
        <v>1375</v>
      </c>
      <c r="I1663" s="37" t="s">
        <v>892</v>
      </c>
      <c r="J1663" s="37" t="s">
        <v>1462</v>
      </c>
      <c r="K1663" s="45" t="n">
        <v>0</v>
      </c>
      <c r="L1663" s="46" t="n">
        <v>52883.92</v>
      </c>
    </row>
    <row r="1664" customFormat="false" ht="15" hidden="false" customHeight="false" outlineLevel="0" collapsed="false">
      <c r="A1664" s="37" t="n">
        <v>500101</v>
      </c>
      <c r="B1664" s="37" t="s">
        <v>1463</v>
      </c>
      <c r="C1664" s="37" t="n">
        <v>202605</v>
      </c>
      <c r="D1664" s="37" t="s">
        <v>58</v>
      </c>
      <c r="E1664" s="37" t="s">
        <v>97</v>
      </c>
      <c r="F1664" s="37" t="s">
        <v>194</v>
      </c>
      <c r="G1664" s="37" t="s">
        <v>354</v>
      </c>
      <c r="H1664" s="37"/>
      <c r="I1664" s="37" t="s">
        <v>355</v>
      </c>
      <c r="J1664" s="37" t="s">
        <v>1464</v>
      </c>
      <c r="K1664" s="45" t="n">
        <v>46.3</v>
      </c>
      <c r="L1664" s="46" t="n">
        <v>4261.18</v>
      </c>
    </row>
    <row r="1665" customFormat="false" ht="15" hidden="false" customHeight="false" outlineLevel="0" collapsed="false">
      <c r="A1665" s="37" t="n">
        <v>500165</v>
      </c>
      <c r="B1665" s="37" t="s">
        <v>1463</v>
      </c>
      <c r="C1665" s="37" t="n">
        <v>202605</v>
      </c>
      <c r="D1665" s="37" t="s">
        <v>58</v>
      </c>
      <c r="E1665" s="37" t="s">
        <v>98</v>
      </c>
      <c r="F1665" s="37" t="s">
        <v>196</v>
      </c>
      <c r="G1665" s="37" t="s">
        <v>358</v>
      </c>
      <c r="H1665" s="37" t="s">
        <v>359</v>
      </c>
      <c r="I1665" s="37" t="s">
        <v>360</v>
      </c>
      <c r="J1665" s="37" t="s">
        <v>1465</v>
      </c>
      <c r="K1665" s="45" t="n">
        <v>0</v>
      </c>
      <c r="L1665" s="46" t="n">
        <v>3752.77</v>
      </c>
    </row>
    <row r="1666" customFormat="false" ht="15" hidden="false" customHeight="false" outlineLevel="0" collapsed="false">
      <c r="A1666" s="37" t="n">
        <v>500509</v>
      </c>
      <c r="B1666" s="37" t="s">
        <v>1463</v>
      </c>
      <c r="C1666" s="37" t="n">
        <v>202605</v>
      </c>
      <c r="D1666" s="37" t="s">
        <v>59</v>
      </c>
      <c r="E1666" s="37" t="s">
        <v>97</v>
      </c>
      <c r="F1666" s="37" t="s">
        <v>194</v>
      </c>
      <c r="G1666" s="37" t="s">
        <v>354</v>
      </c>
      <c r="H1666" s="37"/>
      <c r="I1666" s="37" t="s">
        <v>355</v>
      </c>
      <c r="J1666" s="37" t="s">
        <v>1464</v>
      </c>
      <c r="K1666" s="45" t="n">
        <v>230.2</v>
      </c>
      <c r="L1666" s="46" t="n">
        <v>21179.98</v>
      </c>
    </row>
    <row r="1667" customFormat="false" ht="15" hidden="false" customHeight="false" outlineLevel="0" collapsed="false">
      <c r="A1667" s="37" t="n">
        <v>500711</v>
      </c>
      <c r="B1667" s="37" t="s">
        <v>1463</v>
      </c>
      <c r="C1667" s="37" t="n">
        <v>202605</v>
      </c>
      <c r="D1667" s="37" t="s">
        <v>59</v>
      </c>
      <c r="E1667" s="37" t="s">
        <v>106</v>
      </c>
      <c r="F1667" s="37" t="s">
        <v>194</v>
      </c>
      <c r="G1667" s="37" t="s">
        <v>354</v>
      </c>
      <c r="H1667" s="37"/>
      <c r="I1667" s="37" t="s">
        <v>355</v>
      </c>
      <c r="J1667" s="37" t="s">
        <v>1464</v>
      </c>
      <c r="K1667" s="45" t="n">
        <v>138.5</v>
      </c>
      <c r="L1667" s="46" t="n">
        <v>9833.32</v>
      </c>
    </row>
    <row r="1668" customFormat="false" ht="15" hidden="false" customHeight="false" outlineLevel="0" collapsed="false">
      <c r="A1668" s="37" t="n">
        <v>500838</v>
      </c>
      <c r="B1668" s="37" t="s">
        <v>1463</v>
      </c>
      <c r="C1668" s="37" t="n">
        <v>202605</v>
      </c>
      <c r="D1668" s="37" t="s">
        <v>60</v>
      </c>
      <c r="E1668" s="37" t="s">
        <v>97</v>
      </c>
      <c r="F1668" s="37" t="s">
        <v>194</v>
      </c>
      <c r="G1668" s="37" t="s">
        <v>354</v>
      </c>
      <c r="H1668" s="37"/>
      <c r="I1668" s="37" t="s">
        <v>355</v>
      </c>
      <c r="J1668" s="37" t="s">
        <v>1464</v>
      </c>
      <c r="K1668" s="45" t="n">
        <v>320.9</v>
      </c>
      <c r="L1668" s="46" t="n">
        <v>29524.39</v>
      </c>
    </row>
    <row r="1669" customFormat="false" ht="15" hidden="false" customHeight="false" outlineLevel="0" collapsed="false">
      <c r="A1669" s="37" t="n">
        <v>501031</v>
      </c>
      <c r="B1669" s="37" t="s">
        <v>1463</v>
      </c>
      <c r="C1669" s="37" t="n">
        <v>202605</v>
      </c>
      <c r="D1669" s="37" t="s">
        <v>60</v>
      </c>
      <c r="E1669" s="37" t="s">
        <v>106</v>
      </c>
      <c r="F1669" s="37" t="s">
        <v>194</v>
      </c>
      <c r="G1669" s="37" t="s">
        <v>354</v>
      </c>
      <c r="H1669" s="37"/>
      <c r="I1669" s="37" t="s">
        <v>355</v>
      </c>
      <c r="J1669" s="37" t="s">
        <v>1464</v>
      </c>
      <c r="K1669" s="45" t="n">
        <v>211.8</v>
      </c>
      <c r="L1669" s="46" t="n">
        <v>15040.24</v>
      </c>
    </row>
    <row r="1670" customFormat="false" ht="15" hidden="false" customHeight="false" outlineLevel="0" collapsed="false">
      <c r="A1670" s="37" t="n">
        <v>501145</v>
      </c>
      <c r="B1670" s="37" t="s">
        <v>1463</v>
      </c>
      <c r="C1670" s="37" t="n">
        <v>202605</v>
      </c>
      <c r="D1670" s="37" t="s">
        <v>61</v>
      </c>
      <c r="E1670" s="37" t="s">
        <v>97</v>
      </c>
      <c r="F1670" s="37" t="s">
        <v>194</v>
      </c>
      <c r="G1670" s="37" t="s">
        <v>354</v>
      </c>
      <c r="H1670" s="37"/>
      <c r="I1670" s="37" t="s">
        <v>355</v>
      </c>
      <c r="J1670" s="37" t="s">
        <v>1464</v>
      </c>
      <c r="K1670" s="45" t="n">
        <v>168.6</v>
      </c>
      <c r="L1670" s="46" t="n">
        <v>15514.02</v>
      </c>
    </row>
    <row r="1671" customFormat="false" ht="15" hidden="false" customHeight="false" outlineLevel="0" collapsed="false">
      <c r="A1671" s="37" t="n">
        <v>501305</v>
      </c>
      <c r="B1671" s="37" t="s">
        <v>1463</v>
      </c>
      <c r="C1671" s="37" t="n">
        <v>202605</v>
      </c>
      <c r="D1671" s="37" t="s">
        <v>61</v>
      </c>
      <c r="E1671" s="37" t="s">
        <v>106</v>
      </c>
      <c r="F1671" s="37" t="s">
        <v>194</v>
      </c>
      <c r="G1671" s="37" t="s">
        <v>354</v>
      </c>
      <c r="H1671" s="37"/>
      <c r="I1671" s="37" t="s">
        <v>355</v>
      </c>
      <c r="J1671" s="37" t="s">
        <v>1464</v>
      </c>
      <c r="K1671" s="45" t="n">
        <v>159.4</v>
      </c>
      <c r="L1671" s="46" t="n">
        <v>11315.22</v>
      </c>
    </row>
    <row r="1672" customFormat="false" ht="15" hidden="false" customHeight="false" outlineLevel="0" collapsed="false">
      <c r="A1672" s="37" t="n">
        <v>501406</v>
      </c>
      <c r="B1672" s="37" t="s">
        <v>1463</v>
      </c>
      <c r="C1672" s="37" t="n">
        <v>202605</v>
      </c>
      <c r="D1672" s="37" t="s">
        <v>62</v>
      </c>
      <c r="E1672" s="37" t="s">
        <v>97</v>
      </c>
      <c r="F1672" s="37" t="s">
        <v>194</v>
      </c>
      <c r="G1672" s="37" t="s">
        <v>354</v>
      </c>
      <c r="H1672" s="37"/>
      <c r="I1672" s="37" t="s">
        <v>355</v>
      </c>
      <c r="J1672" s="37" t="s">
        <v>1464</v>
      </c>
      <c r="K1672" s="45" t="n">
        <v>364.2</v>
      </c>
      <c r="L1672" s="46" t="n">
        <v>33505.99</v>
      </c>
    </row>
    <row r="1673" customFormat="false" ht="15" hidden="false" customHeight="false" outlineLevel="0" collapsed="false">
      <c r="A1673" s="37" t="n">
        <v>501510</v>
      </c>
      <c r="B1673" s="37" t="s">
        <v>1463</v>
      </c>
      <c r="C1673" s="37" t="n">
        <v>202605</v>
      </c>
      <c r="D1673" s="37" t="s">
        <v>62</v>
      </c>
      <c r="E1673" s="37" t="s">
        <v>101</v>
      </c>
      <c r="F1673" s="37" t="s">
        <v>194</v>
      </c>
      <c r="G1673" s="37" t="s">
        <v>354</v>
      </c>
      <c r="H1673" s="37"/>
      <c r="I1673" s="37" t="s">
        <v>355</v>
      </c>
      <c r="J1673" s="37" t="s">
        <v>1464</v>
      </c>
      <c r="K1673" s="45" t="n">
        <v>120.4</v>
      </c>
      <c r="L1673" s="46" t="n">
        <v>8913.29</v>
      </c>
    </row>
    <row r="1674" customFormat="false" ht="15" hidden="false" customHeight="false" outlineLevel="0" collapsed="false">
      <c r="A1674" s="37" t="n">
        <v>501532</v>
      </c>
      <c r="B1674" s="37" t="s">
        <v>1463</v>
      </c>
      <c r="C1674" s="37" t="n">
        <v>202605</v>
      </c>
      <c r="D1674" s="37" t="s">
        <v>62</v>
      </c>
      <c r="E1674" s="37" t="s">
        <v>102</v>
      </c>
      <c r="F1674" s="37" t="s">
        <v>205</v>
      </c>
      <c r="G1674" s="37" t="s">
        <v>358</v>
      </c>
      <c r="H1674" s="37" t="s">
        <v>810</v>
      </c>
      <c r="I1674" s="37" t="s">
        <v>811</v>
      </c>
      <c r="J1674" s="37" t="s">
        <v>1466</v>
      </c>
      <c r="K1674" s="45" t="n">
        <v>0</v>
      </c>
      <c r="L1674" s="46" t="n">
        <v>3586.42</v>
      </c>
    </row>
    <row r="1675" customFormat="false" ht="15" hidden="false" customHeight="false" outlineLevel="0" collapsed="false">
      <c r="A1675" s="37" t="n">
        <v>501548</v>
      </c>
      <c r="B1675" s="37" t="s">
        <v>1463</v>
      </c>
      <c r="C1675" s="37" t="n">
        <v>202605</v>
      </c>
      <c r="D1675" s="37" t="s">
        <v>62</v>
      </c>
      <c r="E1675" s="37" t="s">
        <v>103</v>
      </c>
      <c r="F1675" s="37" t="s">
        <v>205</v>
      </c>
      <c r="G1675" s="37" t="s">
        <v>358</v>
      </c>
      <c r="H1675" s="37" t="s">
        <v>897</v>
      </c>
      <c r="I1675" s="37" t="s">
        <v>898</v>
      </c>
      <c r="J1675" s="37" t="s">
        <v>1467</v>
      </c>
      <c r="K1675" s="45" t="n">
        <v>0</v>
      </c>
      <c r="L1675" s="46" t="n">
        <v>44182.15</v>
      </c>
    </row>
    <row r="1676" customFormat="false" ht="15" hidden="false" customHeight="false" outlineLevel="0" collapsed="false">
      <c r="A1676" s="37" t="n">
        <v>501572</v>
      </c>
      <c r="B1676" s="37" t="s">
        <v>1463</v>
      </c>
      <c r="C1676" s="37" t="n">
        <v>202605</v>
      </c>
      <c r="D1676" s="37" t="s">
        <v>62</v>
      </c>
      <c r="E1676" s="37" t="s">
        <v>106</v>
      </c>
      <c r="F1676" s="37" t="s">
        <v>194</v>
      </c>
      <c r="G1676" s="37" t="s">
        <v>354</v>
      </c>
      <c r="H1676" s="37"/>
      <c r="I1676" s="37" t="s">
        <v>355</v>
      </c>
      <c r="J1676" s="37" t="s">
        <v>1464</v>
      </c>
      <c r="K1676" s="45" t="n">
        <v>71</v>
      </c>
      <c r="L1676" s="46" t="n">
        <v>5042.16</v>
      </c>
    </row>
    <row r="1677" customFormat="false" ht="15" hidden="false" customHeight="false" outlineLevel="0" collapsed="false">
      <c r="A1677" s="37" t="n">
        <v>501652</v>
      </c>
      <c r="B1677" s="37" t="s">
        <v>1463</v>
      </c>
      <c r="C1677" s="37" t="n">
        <v>202605</v>
      </c>
      <c r="D1677" s="37" t="s">
        <v>63</v>
      </c>
      <c r="E1677" s="37" t="s">
        <v>97</v>
      </c>
      <c r="F1677" s="37" t="s">
        <v>194</v>
      </c>
      <c r="G1677" s="37" t="s">
        <v>354</v>
      </c>
      <c r="H1677" s="37"/>
      <c r="I1677" s="37" t="s">
        <v>355</v>
      </c>
      <c r="J1677" s="37" t="s">
        <v>1464</v>
      </c>
      <c r="K1677" s="45" t="n">
        <v>178.5</v>
      </c>
      <c r="L1677" s="46" t="n">
        <v>16418.62</v>
      </c>
    </row>
    <row r="1678" customFormat="false" ht="15" hidden="false" customHeight="false" outlineLevel="0" collapsed="false">
      <c r="A1678" s="37" t="n">
        <v>501802</v>
      </c>
      <c r="B1678" s="37" t="s">
        <v>1463</v>
      </c>
      <c r="C1678" s="37" t="n">
        <v>202605</v>
      </c>
      <c r="D1678" s="37" t="s">
        <v>63</v>
      </c>
      <c r="E1678" s="37" t="s">
        <v>106</v>
      </c>
      <c r="F1678" s="37" t="s">
        <v>194</v>
      </c>
      <c r="G1678" s="37" t="s">
        <v>354</v>
      </c>
      <c r="H1678" s="37"/>
      <c r="I1678" s="37" t="s">
        <v>355</v>
      </c>
      <c r="J1678" s="37" t="s">
        <v>1464</v>
      </c>
      <c r="K1678" s="45" t="n">
        <v>393.9</v>
      </c>
      <c r="L1678" s="46" t="n">
        <v>27969.03</v>
      </c>
    </row>
    <row r="1679" customFormat="false" ht="15" hidden="false" customHeight="false" outlineLevel="0" collapsed="false">
      <c r="A1679" s="37" t="n">
        <v>501886</v>
      </c>
      <c r="B1679" s="37" t="s">
        <v>1463</v>
      </c>
      <c r="C1679" s="37" t="n">
        <v>202605</v>
      </c>
      <c r="D1679" s="37" t="s">
        <v>64</v>
      </c>
      <c r="E1679" s="37" t="s">
        <v>97</v>
      </c>
      <c r="F1679" s="37" t="s">
        <v>194</v>
      </c>
      <c r="G1679" s="37" t="s">
        <v>354</v>
      </c>
      <c r="H1679" s="37"/>
      <c r="I1679" s="37" t="s">
        <v>355</v>
      </c>
      <c r="J1679" s="37" t="s">
        <v>1464</v>
      </c>
      <c r="K1679" s="45" t="n">
        <v>119.1</v>
      </c>
      <c r="L1679" s="46" t="n">
        <v>10955.38</v>
      </c>
    </row>
    <row r="1680" customFormat="false" ht="15" hidden="false" customHeight="false" outlineLevel="0" collapsed="false">
      <c r="A1680" s="37" t="n">
        <v>501976</v>
      </c>
      <c r="B1680" s="37" t="s">
        <v>1463</v>
      </c>
      <c r="C1680" s="37" t="n">
        <v>202605</v>
      </c>
      <c r="D1680" s="37" t="s">
        <v>64</v>
      </c>
      <c r="E1680" s="37" t="s">
        <v>101</v>
      </c>
      <c r="F1680" s="37" t="s">
        <v>194</v>
      </c>
      <c r="G1680" s="37" t="s">
        <v>354</v>
      </c>
      <c r="H1680" s="37"/>
      <c r="I1680" s="37" t="s">
        <v>355</v>
      </c>
      <c r="J1680" s="37" t="s">
        <v>1464</v>
      </c>
      <c r="K1680" s="45" t="n">
        <v>315.7</v>
      </c>
      <c r="L1680" s="46" t="n">
        <v>23362.85</v>
      </c>
    </row>
    <row r="1681" customFormat="false" ht="15" hidden="false" customHeight="false" outlineLevel="0" collapsed="false">
      <c r="A1681" s="37" t="n">
        <v>502014</v>
      </c>
      <c r="B1681" s="37" t="s">
        <v>1463</v>
      </c>
      <c r="C1681" s="37" t="n">
        <v>202605</v>
      </c>
      <c r="D1681" s="37" t="s">
        <v>64</v>
      </c>
      <c r="E1681" s="37" t="s">
        <v>103</v>
      </c>
      <c r="F1681" s="37" t="s">
        <v>205</v>
      </c>
      <c r="G1681" s="37" t="s">
        <v>358</v>
      </c>
      <c r="H1681" s="37" t="s">
        <v>969</v>
      </c>
      <c r="I1681" s="37" t="s">
        <v>898</v>
      </c>
      <c r="J1681" s="37" t="s">
        <v>1468</v>
      </c>
      <c r="K1681" s="45" t="n">
        <v>0</v>
      </c>
      <c r="L1681" s="46" t="n">
        <v>30240.34</v>
      </c>
    </row>
    <row r="1682" customFormat="false" ht="15" hidden="false" customHeight="false" outlineLevel="0" collapsed="false">
      <c r="A1682" s="37" t="n">
        <v>502031</v>
      </c>
      <c r="B1682" s="37" t="s">
        <v>1463</v>
      </c>
      <c r="C1682" s="37" t="n">
        <v>202605</v>
      </c>
      <c r="D1682" s="37" t="s">
        <v>64</v>
      </c>
      <c r="E1682" s="37" t="s">
        <v>106</v>
      </c>
      <c r="F1682" s="37" t="s">
        <v>194</v>
      </c>
      <c r="G1682" s="37" t="s">
        <v>354</v>
      </c>
      <c r="H1682" s="37"/>
      <c r="I1682" s="37" t="s">
        <v>355</v>
      </c>
      <c r="J1682" s="37" t="s">
        <v>1464</v>
      </c>
      <c r="K1682" s="45" t="n">
        <v>68.9</v>
      </c>
      <c r="L1682" s="46" t="n">
        <v>4894.26</v>
      </c>
    </row>
    <row r="1683" customFormat="false" ht="15" hidden="false" customHeight="false" outlineLevel="0" collapsed="false">
      <c r="A1683" s="37" t="n">
        <v>502102</v>
      </c>
      <c r="B1683" s="37" t="s">
        <v>1463</v>
      </c>
      <c r="C1683" s="37" t="n">
        <v>202605</v>
      </c>
      <c r="D1683" s="37" t="s">
        <v>65</v>
      </c>
      <c r="E1683" s="37" t="s">
        <v>97</v>
      </c>
      <c r="F1683" s="37" t="s">
        <v>194</v>
      </c>
      <c r="G1683" s="37" t="s">
        <v>354</v>
      </c>
      <c r="H1683" s="37"/>
      <c r="I1683" s="37" t="s">
        <v>355</v>
      </c>
      <c r="J1683" s="37" t="s">
        <v>1464</v>
      </c>
      <c r="K1683" s="45" t="n">
        <v>131.6</v>
      </c>
      <c r="L1683" s="46" t="n">
        <v>12103.98</v>
      </c>
    </row>
    <row r="1684" customFormat="false" ht="15" hidden="false" customHeight="false" outlineLevel="0" collapsed="false">
      <c r="A1684" s="37" t="n">
        <v>502181</v>
      </c>
      <c r="B1684" s="37" t="s">
        <v>1463</v>
      </c>
      <c r="C1684" s="37" t="n">
        <v>202605</v>
      </c>
      <c r="D1684" s="37" t="s">
        <v>65</v>
      </c>
      <c r="E1684" s="37" t="s">
        <v>101</v>
      </c>
      <c r="F1684" s="37" t="s">
        <v>194</v>
      </c>
      <c r="G1684" s="37" t="s">
        <v>354</v>
      </c>
      <c r="H1684" s="37"/>
      <c r="I1684" s="37" t="s">
        <v>355</v>
      </c>
      <c r="J1684" s="37" t="s">
        <v>1464</v>
      </c>
      <c r="K1684" s="45" t="n">
        <v>165.9</v>
      </c>
      <c r="L1684" s="46" t="n">
        <v>12275.96</v>
      </c>
    </row>
    <row r="1685" customFormat="false" ht="15" hidden="false" customHeight="false" outlineLevel="0" collapsed="false">
      <c r="A1685" s="37" t="n">
        <v>502223</v>
      </c>
      <c r="B1685" s="37" t="s">
        <v>1463</v>
      </c>
      <c r="C1685" s="37" t="n">
        <v>202605</v>
      </c>
      <c r="D1685" s="37" t="s">
        <v>65</v>
      </c>
      <c r="E1685" s="37" t="s">
        <v>106</v>
      </c>
      <c r="F1685" s="37" t="s">
        <v>194</v>
      </c>
      <c r="G1685" s="37" t="s">
        <v>354</v>
      </c>
      <c r="H1685" s="37"/>
      <c r="I1685" s="37" t="s">
        <v>355</v>
      </c>
      <c r="J1685" s="37" t="s">
        <v>1464</v>
      </c>
      <c r="K1685" s="45" t="n">
        <v>30.9</v>
      </c>
      <c r="L1685" s="46" t="n">
        <v>2192.24</v>
      </c>
    </row>
    <row r="1686" customFormat="false" ht="15" hidden="false" customHeight="false" outlineLevel="0" collapsed="false">
      <c r="A1686" s="37" t="n">
        <v>502285</v>
      </c>
      <c r="B1686" s="37" t="s">
        <v>1463</v>
      </c>
      <c r="C1686" s="37" t="n">
        <v>202605</v>
      </c>
      <c r="D1686" s="37" t="s">
        <v>66</v>
      </c>
      <c r="E1686" s="37" t="s">
        <v>97</v>
      </c>
      <c r="F1686" s="37" t="s">
        <v>194</v>
      </c>
      <c r="G1686" s="37" t="s">
        <v>354</v>
      </c>
      <c r="H1686" s="37"/>
      <c r="I1686" s="37" t="s">
        <v>355</v>
      </c>
      <c r="J1686" s="37" t="s">
        <v>1464</v>
      </c>
      <c r="K1686" s="45" t="n">
        <v>147.6</v>
      </c>
      <c r="L1686" s="46" t="n">
        <v>13578.71</v>
      </c>
    </row>
    <row r="1687" customFormat="false" ht="15" hidden="false" customHeight="false" outlineLevel="0" collapsed="false">
      <c r="A1687" s="37" t="n">
        <v>502350</v>
      </c>
      <c r="B1687" s="37" t="s">
        <v>1463</v>
      </c>
      <c r="C1687" s="37" t="n">
        <v>202605</v>
      </c>
      <c r="D1687" s="37" t="s">
        <v>66</v>
      </c>
      <c r="E1687" s="37" t="s">
        <v>101</v>
      </c>
      <c r="F1687" s="37" t="s">
        <v>194</v>
      </c>
      <c r="G1687" s="37" t="s">
        <v>354</v>
      </c>
      <c r="H1687" s="37"/>
      <c r="I1687" s="37" t="s">
        <v>355</v>
      </c>
      <c r="J1687" s="37" t="s">
        <v>1464</v>
      </c>
      <c r="K1687" s="45" t="n">
        <v>285.9</v>
      </c>
      <c r="L1687" s="46" t="n">
        <v>21159.51</v>
      </c>
    </row>
    <row r="1688" customFormat="false" ht="15" hidden="false" customHeight="false" outlineLevel="0" collapsed="false">
      <c r="A1688" s="37" t="n">
        <v>502428</v>
      </c>
      <c r="B1688" s="37" t="s">
        <v>1463</v>
      </c>
      <c r="C1688" s="37" t="n">
        <v>202605</v>
      </c>
      <c r="D1688" s="37" t="s">
        <v>67</v>
      </c>
      <c r="E1688" s="37" t="s">
        <v>97</v>
      </c>
      <c r="F1688" s="37" t="s">
        <v>194</v>
      </c>
      <c r="G1688" s="37" t="s">
        <v>354</v>
      </c>
      <c r="H1688" s="37"/>
      <c r="I1688" s="37" t="s">
        <v>355</v>
      </c>
      <c r="J1688" s="37" t="s">
        <v>1464</v>
      </c>
      <c r="K1688" s="45" t="n">
        <v>39.1</v>
      </c>
      <c r="L1688" s="46" t="n">
        <v>3601.18</v>
      </c>
    </row>
    <row r="1689" customFormat="false" ht="15" hidden="false" customHeight="false" outlineLevel="0" collapsed="false">
      <c r="A1689" s="37" t="n">
        <v>502482</v>
      </c>
      <c r="B1689" s="37" t="s">
        <v>1463</v>
      </c>
      <c r="C1689" s="37" t="n">
        <v>202605</v>
      </c>
      <c r="D1689" s="37" t="s">
        <v>67</v>
      </c>
      <c r="E1689" s="37" t="s">
        <v>101</v>
      </c>
      <c r="F1689" s="37" t="s">
        <v>194</v>
      </c>
      <c r="G1689" s="37" t="s">
        <v>354</v>
      </c>
      <c r="H1689" s="37"/>
      <c r="I1689" s="37" t="s">
        <v>355</v>
      </c>
      <c r="J1689" s="37" t="s">
        <v>1464</v>
      </c>
      <c r="K1689" s="45" t="n">
        <v>289.3</v>
      </c>
      <c r="L1689" s="46" t="n">
        <v>21408.25</v>
      </c>
    </row>
    <row r="1690" customFormat="false" ht="15" hidden="false" customHeight="false" outlineLevel="0" collapsed="false">
      <c r="A1690" s="37" t="n">
        <v>502544</v>
      </c>
      <c r="B1690" s="37" t="s">
        <v>1463</v>
      </c>
      <c r="C1690" s="37" t="n">
        <v>202605</v>
      </c>
      <c r="D1690" s="37" t="s">
        <v>68</v>
      </c>
      <c r="E1690" s="37" t="s">
        <v>97</v>
      </c>
      <c r="F1690" s="37" t="s">
        <v>194</v>
      </c>
      <c r="G1690" s="37" t="s">
        <v>354</v>
      </c>
      <c r="H1690" s="37"/>
      <c r="I1690" s="37" t="s">
        <v>355</v>
      </c>
      <c r="J1690" s="37" t="s">
        <v>1464</v>
      </c>
      <c r="K1690" s="45" t="n">
        <v>41.8</v>
      </c>
      <c r="L1690" s="46" t="n">
        <v>3847.44</v>
      </c>
    </row>
    <row r="1691" customFormat="false" ht="15" hidden="false" customHeight="false" outlineLevel="0" collapsed="false">
      <c r="A1691" s="37" t="n">
        <v>500561</v>
      </c>
      <c r="B1691" s="37" t="s">
        <v>1469</v>
      </c>
      <c r="C1691" s="37" t="n">
        <v>202605</v>
      </c>
      <c r="D1691" s="37" t="s">
        <v>59</v>
      </c>
      <c r="E1691" s="37" t="s">
        <v>98</v>
      </c>
      <c r="F1691" s="37" t="s">
        <v>196</v>
      </c>
      <c r="G1691" s="37" t="s">
        <v>358</v>
      </c>
      <c r="H1691" s="37" t="s">
        <v>359</v>
      </c>
      <c r="I1691" s="37" t="s">
        <v>360</v>
      </c>
      <c r="J1691" s="37" t="s">
        <v>1470</v>
      </c>
      <c r="K1691" s="45" t="n">
        <v>0</v>
      </c>
      <c r="L1691" s="46" t="n">
        <v>29316.73</v>
      </c>
    </row>
    <row r="1692" customFormat="false" ht="15" hidden="false" customHeight="false" outlineLevel="0" collapsed="false">
      <c r="A1692" s="37" t="n">
        <v>501327</v>
      </c>
      <c r="B1692" s="37" t="s">
        <v>1469</v>
      </c>
      <c r="C1692" s="37" t="n">
        <v>202605</v>
      </c>
      <c r="D1692" s="37" t="s">
        <v>61</v>
      </c>
      <c r="E1692" s="37" t="s">
        <v>108</v>
      </c>
      <c r="F1692" s="37" t="s">
        <v>205</v>
      </c>
      <c r="G1692" s="37" t="s">
        <v>358</v>
      </c>
      <c r="H1692" s="37" t="s">
        <v>1404</v>
      </c>
      <c r="I1692" s="37" t="s">
        <v>1405</v>
      </c>
      <c r="J1692" s="37" t="s">
        <v>1471</v>
      </c>
      <c r="K1692" s="45" t="n">
        <v>0</v>
      </c>
      <c r="L1692" s="46" t="n">
        <v>5356.02</v>
      </c>
    </row>
    <row r="1693" customFormat="false" ht="15" hidden="false" customHeight="false" outlineLevel="0" collapsed="false">
      <c r="A1693" s="37" t="n">
        <v>502506</v>
      </c>
      <c r="B1693" s="37" t="s">
        <v>1469</v>
      </c>
      <c r="C1693" s="37" t="n">
        <v>202605</v>
      </c>
      <c r="D1693" s="37" t="s">
        <v>67</v>
      </c>
      <c r="E1693" s="37" t="s">
        <v>102</v>
      </c>
      <c r="F1693" s="37" t="s">
        <v>205</v>
      </c>
      <c r="G1693" s="37" t="s">
        <v>358</v>
      </c>
      <c r="H1693" s="37" t="s">
        <v>1375</v>
      </c>
      <c r="I1693" s="37" t="s">
        <v>892</v>
      </c>
      <c r="J1693" s="37" t="s">
        <v>1472</v>
      </c>
      <c r="K1693" s="45" t="n">
        <v>0</v>
      </c>
      <c r="L1693" s="46" t="n">
        <v>50530.62</v>
      </c>
    </row>
    <row r="1694" customFormat="false" ht="15" hidden="false" customHeight="false" outlineLevel="0" collapsed="false">
      <c r="A1694" s="37" t="n">
        <v>501183</v>
      </c>
      <c r="B1694" s="37" t="s">
        <v>1473</v>
      </c>
      <c r="C1694" s="37" t="n">
        <v>202605</v>
      </c>
      <c r="D1694" s="37" t="s">
        <v>61</v>
      </c>
      <c r="E1694" s="37" t="s">
        <v>98</v>
      </c>
      <c r="F1694" s="37" t="s">
        <v>196</v>
      </c>
      <c r="G1694" s="37" t="s">
        <v>358</v>
      </c>
      <c r="H1694" s="37" t="s">
        <v>359</v>
      </c>
      <c r="I1694" s="37" t="s">
        <v>360</v>
      </c>
      <c r="J1694" s="37" t="s">
        <v>1474</v>
      </c>
      <c r="K1694" s="45" t="n">
        <v>0</v>
      </c>
      <c r="L1694" s="46" t="n">
        <v>6222.08</v>
      </c>
    </row>
    <row r="1695" customFormat="false" ht="15" hidden="false" customHeight="false" outlineLevel="0" collapsed="false">
      <c r="A1695" s="37" t="n">
        <v>500883</v>
      </c>
      <c r="B1695" s="37" t="s">
        <v>1475</v>
      </c>
      <c r="C1695" s="37" t="n">
        <v>202605</v>
      </c>
      <c r="D1695" s="37" t="s">
        <v>60</v>
      </c>
      <c r="E1695" s="37" t="s">
        <v>98</v>
      </c>
      <c r="F1695" s="37" t="s">
        <v>196</v>
      </c>
      <c r="G1695" s="37" t="s">
        <v>358</v>
      </c>
      <c r="H1695" s="37" t="s">
        <v>359</v>
      </c>
      <c r="I1695" s="37" t="s">
        <v>360</v>
      </c>
      <c r="J1695" s="37" t="s">
        <v>1476</v>
      </c>
      <c r="K1695" s="45" t="n">
        <v>0</v>
      </c>
      <c r="L1695" s="46" t="n">
        <v>6226.48</v>
      </c>
    </row>
    <row r="1696" customFormat="false" ht="15" hidden="false" customHeight="false" outlineLevel="0" collapsed="false">
      <c r="A1696" s="37" t="n">
        <v>501696</v>
      </c>
      <c r="B1696" s="37" t="s">
        <v>1477</v>
      </c>
      <c r="C1696" s="37" t="n">
        <v>202605</v>
      </c>
      <c r="D1696" s="37" t="s">
        <v>63</v>
      </c>
      <c r="E1696" s="37" t="s">
        <v>98</v>
      </c>
      <c r="F1696" s="37" t="s">
        <v>196</v>
      </c>
      <c r="G1696" s="37" t="s">
        <v>358</v>
      </c>
      <c r="H1696" s="37" t="s">
        <v>359</v>
      </c>
      <c r="I1696" s="37" t="s">
        <v>360</v>
      </c>
      <c r="J1696" s="37" t="s">
        <v>1478</v>
      </c>
      <c r="K1696" s="45" t="n">
        <v>0</v>
      </c>
      <c r="L1696" s="46" t="n">
        <v>11213.29</v>
      </c>
    </row>
    <row r="1697" customFormat="false" ht="15" hidden="false" customHeight="false" outlineLevel="0" collapsed="false">
      <c r="A1697" s="37" t="n">
        <v>501924</v>
      </c>
      <c r="B1697" s="37" t="s">
        <v>1477</v>
      </c>
      <c r="C1697" s="37" t="n">
        <v>202605</v>
      </c>
      <c r="D1697" s="37" t="s">
        <v>64</v>
      </c>
      <c r="E1697" s="37" t="s">
        <v>98</v>
      </c>
      <c r="F1697" s="37" t="s">
        <v>196</v>
      </c>
      <c r="G1697" s="37" t="s">
        <v>358</v>
      </c>
      <c r="H1697" s="37" t="s">
        <v>359</v>
      </c>
      <c r="I1697" s="37" t="s">
        <v>360</v>
      </c>
      <c r="J1697" s="37" t="s">
        <v>1479</v>
      </c>
      <c r="K1697" s="45" t="n">
        <v>0</v>
      </c>
      <c r="L1697" s="46" t="n">
        <v>32943.27</v>
      </c>
    </row>
    <row r="1698" customFormat="false" ht="15" hidden="false" customHeight="false" outlineLevel="0" collapsed="false">
      <c r="A1698" s="37" t="n">
        <v>502133</v>
      </c>
      <c r="B1698" s="37" t="s">
        <v>1477</v>
      </c>
      <c r="C1698" s="37" t="n">
        <v>202605</v>
      </c>
      <c r="D1698" s="37" t="s">
        <v>65</v>
      </c>
      <c r="E1698" s="37" t="s">
        <v>98</v>
      </c>
      <c r="F1698" s="37" t="s">
        <v>196</v>
      </c>
      <c r="G1698" s="37" t="s">
        <v>358</v>
      </c>
      <c r="H1698" s="37" t="s">
        <v>359</v>
      </c>
      <c r="I1698" s="37" t="s">
        <v>360</v>
      </c>
      <c r="J1698" s="37" t="s">
        <v>1480</v>
      </c>
      <c r="K1698" s="45" t="n">
        <v>0</v>
      </c>
      <c r="L1698" s="46" t="n">
        <v>53571.02</v>
      </c>
    </row>
    <row r="1699" customFormat="false" ht="15" hidden="false" customHeight="false" outlineLevel="0" collapsed="false">
      <c r="A1699" s="37" t="n">
        <v>500741</v>
      </c>
      <c r="B1699" s="37" t="s">
        <v>1481</v>
      </c>
      <c r="C1699" s="37" t="n">
        <v>202605</v>
      </c>
      <c r="D1699" s="37" t="s">
        <v>59</v>
      </c>
      <c r="E1699" s="37" t="s">
        <v>108</v>
      </c>
      <c r="F1699" s="37" t="s">
        <v>205</v>
      </c>
      <c r="G1699" s="37" t="s">
        <v>358</v>
      </c>
      <c r="H1699" s="37" t="s">
        <v>1385</v>
      </c>
      <c r="I1699" s="37" t="s">
        <v>1386</v>
      </c>
      <c r="J1699" s="37" t="s">
        <v>1482</v>
      </c>
      <c r="K1699" s="45" t="n">
        <v>0</v>
      </c>
      <c r="L1699" s="46" t="n">
        <v>42351.99</v>
      </c>
    </row>
    <row r="1700" customFormat="false" ht="15" hidden="false" customHeight="false" outlineLevel="0" collapsed="false">
      <c r="A1700" s="37" t="n">
        <v>502378</v>
      </c>
      <c r="B1700" s="37" t="s">
        <v>1481</v>
      </c>
      <c r="C1700" s="37" t="n">
        <v>202605</v>
      </c>
      <c r="D1700" s="37" t="s">
        <v>66</v>
      </c>
      <c r="E1700" s="37" t="s">
        <v>102</v>
      </c>
      <c r="F1700" s="37" t="s">
        <v>205</v>
      </c>
      <c r="G1700" s="37" t="s">
        <v>358</v>
      </c>
      <c r="H1700" s="37" t="s">
        <v>1323</v>
      </c>
      <c r="I1700" s="37" t="s">
        <v>715</v>
      </c>
      <c r="J1700" s="37" t="s">
        <v>1483</v>
      </c>
      <c r="K1700" s="45" t="n">
        <v>0</v>
      </c>
      <c r="L1700" s="46" t="n">
        <v>36761.67</v>
      </c>
    </row>
    <row r="1701" customFormat="false" ht="15" hidden="false" customHeight="false" outlineLevel="0" collapsed="false">
      <c r="A1701" s="37" t="n">
        <v>502393</v>
      </c>
      <c r="B1701" s="37" t="s">
        <v>1481</v>
      </c>
      <c r="C1701" s="37" t="n">
        <v>202605</v>
      </c>
      <c r="D1701" s="37" t="s">
        <v>66</v>
      </c>
      <c r="E1701" s="37" t="s">
        <v>103</v>
      </c>
      <c r="F1701" s="37" t="s">
        <v>205</v>
      </c>
      <c r="G1701" s="37" t="s">
        <v>358</v>
      </c>
      <c r="H1701" s="37" t="s">
        <v>1296</v>
      </c>
      <c r="I1701" s="37" t="s">
        <v>1297</v>
      </c>
      <c r="J1701" s="37" t="s">
        <v>1484</v>
      </c>
      <c r="K1701" s="45" t="n">
        <v>0</v>
      </c>
      <c r="L1701" s="46" t="n">
        <v>86955.46</v>
      </c>
    </row>
    <row r="1702" customFormat="false" ht="15" hidden="false" customHeight="false" outlineLevel="0" collapsed="false">
      <c r="A1702" s="37" t="n">
        <v>502454</v>
      </c>
      <c r="B1702" s="37" t="s">
        <v>1481</v>
      </c>
      <c r="C1702" s="37" t="n">
        <v>202605</v>
      </c>
      <c r="D1702" s="37" t="s">
        <v>67</v>
      </c>
      <c r="E1702" s="37" t="s">
        <v>98</v>
      </c>
      <c r="F1702" s="37" t="s">
        <v>196</v>
      </c>
      <c r="G1702" s="37" t="s">
        <v>358</v>
      </c>
      <c r="H1702" s="37" t="s">
        <v>359</v>
      </c>
      <c r="I1702" s="37" t="s">
        <v>360</v>
      </c>
      <c r="J1702" s="37" t="s">
        <v>1485</v>
      </c>
      <c r="K1702" s="45" t="n">
        <v>0</v>
      </c>
      <c r="L1702" s="46" t="n">
        <v>4091.93</v>
      </c>
    </row>
    <row r="1703" customFormat="false" ht="15" hidden="false" customHeight="false" outlineLevel="0" collapsed="false">
      <c r="A1703" s="37" t="n">
        <v>500102</v>
      </c>
      <c r="B1703" s="37" t="s">
        <v>1486</v>
      </c>
      <c r="C1703" s="37" t="n">
        <v>202605</v>
      </c>
      <c r="D1703" s="37" t="s">
        <v>58</v>
      </c>
      <c r="E1703" s="37" t="s">
        <v>97</v>
      </c>
      <c r="F1703" s="37" t="s">
        <v>194</v>
      </c>
      <c r="G1703" s="37" t="s">
        <v>354</v>
      </c>
      <c r="H1703" s="37"/>
      <c r="I1703" s="37" t="s">
        <v>355</v>
      </c>
      <c r="J1703" s="37" t="s">
        <v>1487</v>
      </c>
      <c r="K1703" s="45" t="n">
        <v>45.1</v>
      </c>
      <c r="L1703" s="46" t="n">
        <v>4152.99</v>
      </c>
    </row>
    <row r="1704" customFormat="false" ht="15" hidden="false" customHeight="false" outlineLevel="0" collapsed="false">
      <c r="A1704" s="37" t="n">
        <v>500510</v>
      </c>
      <c r="B1704" s="37" t="s">
        <v>1486</v>
      </c>
      <c r="C1704" s="37" t="n">
        <v>202605</v>
      </c>
      <c r="D1704" s="37" t="s">
        <v>59</v>
      </c>
      <c r="E1704" s="37" t="s">
        <v>97</v>
      </c>
      <c r="F1704" s="37" t="s">
        <v>194</v>
      </c>
      <c r="G1704" s="37" t="s">
        <v>354</v>
      </c>
      <c r="H1704" s="37"/>
      <c r="I1704" s="37" t="s">
        <v>355</v>
      </c>
      <c r="J1704" s="37" t="s">
        <v>1487</v>
      </c>
      <c r="K1704" s="45" t="n">
        <v>128.8</v>
      </c>
      <c r="L1704" s="46" t="n">
        <v>11852.2</v>
      </c>
    </row>
    <row r="1705" customFormat="false" ht="15" hidden="false" customHeight="false" outlineLevel="0" collapsed="false">
      <c r="A1705" s="37" t="n">
        <v>500712</v>
      </c>
      <c r="B1705" s="37" t="s">
        <v>1486</v>
      </c>
      <c r="C1705" s="37" t="n">
        <v>202605</v>
      </c>
      <c r="D1705" s="37" t="s">
        <v>59</v>
      </c>
      <c r="E1705" s="37" t="s">
        <v>106</v>
      </c>
      <c r="F1705" s="37" t="s">
        <v>194</v>
      </c>
      <c r="G1705" s="37" t="s">
        <v>354</v>
      </c>
      <c r="H1705" s="37"/>
      <c r="I1705" s="37" t="s">
        <v>355</v>
      </c>
      <c r="J1705" s="37" t="s">
        <v>1487</v>
      </c>
      <c r="K1705" s="45" t="n">
        <v>55.8</v>
      </c>
      <c r="L1705" s="46" t="n">
        <v>3960.94</v>
      </c>
    </row>
    <row r="1706" customFormat="false" ht="15" hidden="false" customHeight="false" outlineLevel="0" collapsed="false">
      <c r="A1706" s="37" t="n">
        <v>500839</v>
      </c>
      <c r="B1706" s="37" t="s">
        <v>1486</v>
      </c>
      <c r="C1706" s="37" t="n">
        <v>202605</v>
      </c>
      <c r="D1706" s="37" t="s">
        <v>60</v>
      </c>
      <c r="E1706" s="37" t="s">
        <v>97</v>
      </c>
      <c r="F1706" s="37" t="s">
        <v>194</v>
      </c>
      <c r="G1706" s="37" t="s">
        <v>354</v>
      </c>
      <c r="H1706" s="37"/>
      <c r="I1706" s="37" t="s">
        <v>355</v>
      </c>
      <c r="J1706" s="37" t="s">
        <v>1487</v>
      </c>
      <c r="K1706" s="45" t="n">
        <v>206.8</v>
      </c>
      <c r="L1706" s="46" t="n">
        <v>19027.34</v>
      </c>
    </row>
    <row r="1707" customFormat="false" ht="15" hidden="false" customHeight="false" outlineLevel="0" collapsed="false">
      <c r="A1707" s="37" t="n">
        <v>501032</v>
      </c>
      <c r="B1707" s="37" t="s">
        <v>1486</v>
      </c>
      <c r="C1707" s="37" t="n">
        <v>202605</v>
      </c>
      <c r="D1707" s="37" t="s">
        <v>60</v>
      </c>
      <c r="E1707" s="37" t="s">
        <v>106</v>
      </c>
      <c r="F1707" s="37" t="s">
        <v>194</v>
      </c>
      <c r="G1707" s="37" t="s">
        <v>354</v>
      </c>
      <c r="H1707" s="37"/>
      <c r="I1707" s="37" t="s">
        <v>355</v>
      </c>
      <c r="J1707" s="37" t="s">
        <v>1487</v>
      </c>
      <c r="K1707" s="45" t="n">
        <v>548.6</v>
      </c>
      <c r="L1707" s="46" t="n">
        <v>38950.3</v>
      </c>
    </row>
    <row r="1708" customFormat="false" ht="15" hidden="false" customHeight="false" outlineLevel="0" collapsed="false">
      <c r="A1708" s="37" t="n">
        <v>501059</v>
      </c>
      <c r="B1708" s="37" t="s">
        <v>1486</v>
      </c>
      <c r="C1708" s="37" t="n">
        <v>202605</v>
      </c>
      <c r="D1708" s="37" t="s">
        <v>60</v>
      </c>
      <c r="E1708" s="37" t="s">
        <v>108</v>
      </c>
      <c r="F1708" s="37" t="s">
        <v>205</v>
      </c>
      <c r="G1708" s="37" t="s">
        <v>358</v>
      </c>
      <c r="H1708" s="37" t="s">
        <v>1488</v>
      </c>
      <c r="I1708" s="37" t="s">
        <v>1489</v>
      </c>
      <c r="J1708" s="37" t="s">
        <v>1490</v>
      </c>
      <c r="K1708" s="45" t="n">
        <v>0</v>
      </c>
      <c r="L1708" s="46" t="n">
        <v>1256.73</v>
      </c>
    </row>
    <row r="1709" customFormat="false" ht="15" hidden="false" customHeight="false" outlineLevel="0" collapsed="false">
      <c r="A1709" s="37" t="n">
        <v>501146</v>
      </c>
      <c r="B1709" s="37" t="s">
        <v>1486</v>
      </c>
      <c r="C1709" s="37" t="n">
        <v>202605</v>
      </c>
      <c r="D1709" s="37" t="s">
        <v>61</v>
      </c>
      <c r="E1709" s="37" t="s">
        <v>97</v>
      </c>
      <c r="F1709" s="37" t="s">
        <v>194</v>
      </c>
      <c r="G1709" s="37" t="s">
        <v>354</v>
      </c>
      <c r="H1709" s="37"/>
      <c r="I1709" s="37" t="s">
        <v>355</v>
      </c>
      <c r="J1709" s="37" t="s">
        <v>1487</v>
      </c>
      <c r="K1709" s="45" t="n">
        <v>171.7</v>
      </c>
      <c r="L1709" s="46" t="n">
        <v>15795</v>
      </c>
    </row>
    <row r="1710" customFormat="false" ht="15" hidden="false" customHeight="false" outlineLevel="0" collapsed="false">
      <c r="A1710" s="37" t="n">
        <v>501306</v>
      </c>
      <c r="B1710" s="37" t="s">
        <v>1486</v>
      </c>
      <c r="C1710" s="37" t="n">
        <v>202605</v>
      </c>
      <c r="D1710" s="37" t="s">
        <v>61</v>
      </c>
      <c r="E1710" s="37" t="s">
        <v>106</v>
      </c>
      <c r="F1710" s="37" t="s">
        <v>194</v>
      </c>
      <c r="G1710" s="37" t="s">
        <v>354</v>
      </c>
      <c r="H1710" s="37"/>
      <c r="I1710" s="37" t="s">
        <v>355</v>
      </c>
      <c r="J1710" s="37" t="s">
        <v>1487</v>
      </c>
      <c r="K1710" s="45" t="n">
        <v>63.6</v>
      </c>
      <c r="L1710" s="46" t="n">
        <v>4518.63</v>
      </c>
    </row>
    <row r="1711" customFormat="false" ht="15" hidden="false" customHeight="false" outlineLevel="0" collapsed="false">
      <c r="A1711" s="37" t="n">
        <v>501407</v>
      </c>
      <c r="B1711" s="37" t="s">
        <v>1486</v>
      </c>
      <c r="C1711" s="37" t="n">
        <v>202605</v>
      </c>
      <c r="D1711" s="37" t="s">
        <v>62</v>
      </c>
      <c r="E1711" s="37" t="s">
        <v>97</v>
      </c>
      <c r="F1711" s="37" t="s">
        <v>194</v>
      </c>
      <c r="G1711" s="37" t="s">
        <v>354</v>
      </c>
      <c r="H1711" s="37"/>
      <c r="I1711" s="37" t="s">
        <v>355</v>
      </c>
      <c r="J1711" s="37" t="s">
        <v>1487</v>
      </c>
      <c r="K1711" s="45" t="n">
        <v>220.1</v>
      </c>
      <c r="L1711" s="46" t="n">
        <v>20252.69</v>
      </c>
    </row>
    <row r="1712" customFormat="false" ht="15" hidden="false" customHeight="false" outlineLevel="0" collapsed="false">
      <c r="A1712" s="37" t="n">
        <v>501511</v>
      </c>
      <c r="B1712" s="37" t="s">
        <v>1486</v>
      </c>
      <c r="C1712" s="37" t="n">
        <v>202605</v>
      </c>
      <c r="D1712" s="37" t="s">
        <v>62</v>
      </c>
      <c r="E1712" s="37" t="s">
        <v>101</v>
      </c>
      <c r="F1712" s="37" t="s">
        <v>194</v>
      </c>
      <c r="G1712" s="37" t="s">
        <v>354</v>
      </c>
      <c r="H1712" s="37"/>
      <c r="I1712" s="37" t="s">
        <v>355</v>
      </c>
      <c r="J1712" s="37" t="s">
        <v>1487</v>
      </c>
      <c r="K1712" s="45" t="n">
        <v>34.1</v>
      </c>
      <c r="L1712" s="46" t="n">
        <v>2525.65</v>
      </c>
    </row>
    <row r="1713" customFormat="false" ht="15" hidden="false" customHeight="false" outlineLevel="0" collapsed="false">
      <c r="A1713" s="37" t="n">
        <v>501573</v>
      </c>
      <c r="B1713" s="37" t="s">
        <v>1486</v>
      </c>
      <c r="C1713" s="37" t="n">
        <v>202605</v>
      </c>
      <c r="D1713" s="37" t="s">
        <v>62</v>
      </c>
      <c r="E1713" s="37" t="s">
        <v>106</v>
      </c>
      <c r="F1713" s="37" t="s">
        <v>194</v>
      </c>
      <c r="G1713" s="37" t="s">
        <v>354</v>
      </c>
      <c r="H1713" s="37"/>
      <c r="I1713" s="37" t="s">
        <v>355</v>
      </c>
      <c r="J1713" s="37" t="s">
        <v>1487</v>
      </c>
      <c r="K1713" s="45" t="n">
        <v>81.3</v>
      </c>
      <c r="L1713" s="46" t="n">
        <v>5770.66</v>
      </c>
    </row>
    <row r="1714" customFormat="false" ht="15" hidden="false" customHeight="false" outlineLevel="0" collapsed="false">
      <c r="A1714" s="37" t="n">
        <v>501653</v>
      </c>
      <c r="B1714" s="37" t="s">
        <v>1486</v>
      </c>
      <c r="C1714" s="37" t="n">
        <v>202605</v>
      </c>
      <c r="D1714" s="37" t="s">
        <v>63</v>
      </c>
      <c r="E1714" s="37" t="s">
        <v>97</v>
      </c>
      <c r="F1714" s="37" t="s">
        <v>194</v>
      </c>
      <c r="G1714" s="37" t="s">
        <v>354</v>
      </c>
      <c r="H1714" s="37"/>
      <c r="I1714" s="37" t="s">
        <v>355</v>
      </c>
      <c r="J1714" s="37" t="s">
        <v>1487</v>
      </c>
      <c r="K1714" s="45" t="n">
        <v>149.1</v>
      </c>
      <c r="L1714" s="46" t="n">
        <v>13715.24</v>
      </c>
    </row>
    <row r="1715" customFormat="false" ht="15" hidden="false" customHeight="false" outlineLevel="0" collapsed="false">
      <c r="A1715" s="37" t="n">
        <v>501803</v>
      </c>
      <c r="B1715" s="37" t="s">
        <v>1486</v>
      </c>
      <c r="C1715" s="37" t="n">
        <v>202605</v>
      </c>
      <c r="D1715" s="37" t="s">
        <v>63</v>
      </c>
      <c r="E1715" s="37" t="s">
        <v>106</v>
      </c>
      <c r="F1715" s="37" t="s">
        <v>194</v>
      </c>
      <c r="G1715" s="37" t="s">
        <v>354</v>
      </c>
      <c r="H1715" s="37"/>
      <c r="I1715" s="37" t="s">
        <v>355</v>
      </c>
      <c r="J1715" s="37" t="s">
        <v>1487</v>
      </c>
      <c r="K1715" s="45" t="n">
        <v>168.4</v>
      </c>
      <c r="L1715" s="46" t="n">
        <v>11957.03</v>
      </c>
    </row>
    <row r="1716" customFormat="false" ht="15" hidden="false" customHeight="false" outlineLevel="0" collapsed="false">
      <c r="A1716" s="37" t="n">
        <v>501887</v>
      </c>
      <c r="B1716" s="37" t="s">
        <v>1486</v>
      </c>
      <c r="C1716" s="37" t="n">
        <v>202605</v>
      </c>
      <c r="D1716" s="37" t="s">
        <v>64</v>
      </c>
      <c r="E1716" s="37" t="s">
        <v>97</v>
      </c>
      <c r="F1716" s="37" t="s">
        <v>194</v>
      </c>
      <c r="G1716" s="37" t="s">
        <v>354</v>
      </c>
      <c r="H1716" s="37"/>
      <c r="I1716" s="37" t="s">
        <v>355</v>
      </c>
      <c r="J1716" s="37" t="s">
        <v>1487</v>
      </c>
      <c r="K1716" s="45" t="n">
        <v>256.3</v>
      </c>
      <c r="L1716" s="46" t="n">
        <v>23579.87</v>
      </c>
    </row>
    <row r="1717" customFormat="false" ht="15" hidden="false" customHeight="false" outlineLevel="0" collapsed="false">
      <c r="A1717" s="37" t="n">
        <v>501977</v>
      </c>
      <c r="B1717" s="37" t="s">
        <v>1486</v>
      </c>
      <c r="C1717" s="37" t="n">
        <v>202605</v>
      </c>
      <c r="D1717" s="37" t="s">
        <v>64</v>
      </c>
      <c r="E1717" s="37" t="s">
        <v>101</v>
      </c>
      <c r="F1717" s="37" t="s">
        <v>194</v>
      </c>
      <c r="G1717" s="37" t="s">
        <v>354</v>
      </c>
      <c r="H1717" s="37"/>
      <c r="I1717" s="37" t="s">
        <v>355</v>
      </c>
      <c r="J1717" s="37" t="s">
        <v>1487</v>
      </c>
      <c r="K1717" s="45" t="n">
        <v>179</v>
      </c>
      <c r="L1717" s="46" t="n">
        <v>13245.02</v>
      </c>
    </row>
    <row r="1718" customFormat="false" ht="15" hidden="false" customHeight="false" outlineLevel="0" collapsed="false">
      <c r="A1718" s="37" t="n">
        <v>502015</v>
      </c>
      <c r="B1718" s="37" t="s">
        <v>1486</v>
      </c>
      <c r="C1718" s="37" t="n">
        <v>202605</v>
      </c>
      <c r="D1718" s="37" t="s">
        <v>64</v>
      </c>
      <c r="E1718" s="37" t="s">
        <v>103</v>
      </c>
      <c r="F1718" s="37" t="s">
        <v>205</v>
      </c>
      <c r="G1718" s="37" t="s">
        <v>358</v>
      </c>
      <c r="H1718" s="37" t="s">
        <v>969</v>
      </c>
      <c r="I1718" s="37" t="s">
        <v>898</v>
      </c>
      <c r="J1718" s="37" t="s">
        <v>1491</v>
      </c>
      <c r="K1718" s="45" t="n">
        <v>0</v>
      </c>
      <c r="L1718" s="46" t="n">
        <v>24146.97</v>
      </c>
    </row>
    <row r="1719" customFormat="false" ht="15" hidden="false" customHeight="false" outlineLevel="0" collapsed="false">
      <c r="A1719" s="37" t="n">
        <v>502032</v>
      </c>
      <c r="B1719" s="37" t="s">
        <v>1486</v>
      </c>
      <c r="C1719" s="37" t="n">
        <v>202605</v>
      </c>
      <c r="D1719" s="37" t="s">
        <v>64</v>
      </c>
      <c r="E1719" s="37" t="s">
        <v>106</v>
      </c>
      <c r="F1719" s="37" t="s">
        <v>194</v>
      </c>
      <c r="G1719" s="37" t="s">
        <v>354</v>
      </c>
      <c r="H1719" s="37"/>
      <c r="I1719" s="37" t="s">
        <v>355</v>
      </c>
      <c r="J1719" s="37" t="s">
        <v>1487</v>
      </c>
      <c r="K1719" s="45" t="n">
        <v>65.8</v>
      </c>
      <c r="L1719" s="46" t="n">
        <v>4668.45</v>
      </c>
    </row>
    <row r="1720" customFormat="false" ht="15" hidden="false" customHeight="false" outlineLevel="0" collapsed="false">
      <c r="A1720" s="37" t="n">
        <v>502103</v>
      </c>
      <c r="B1720" s="37" t="s">
        <v>1486</v>
      </c>
      <c r="C1720" s="37" t="n">
        <v>202605</v>
      </c>
      <c r="D1720" s="37" t="s">
        <v>65</v>
      </c>
      <c r="E1720" s="37" t="s">
        <v>97</v>
      </c>
      <c r="F1720" s="37" t="s">
        <v>194</v>
      </c>
      <c r="G1720" s="37" t="s">
        <v>354</v>
      </c>
      <c r="H1720" s="37"/>
      <c r="I1720" s="37" t="s">
        <v>355</v>
      </c>
      <c r="J1720" s="37" t="s">
        <v>1487</v>
      </c>
      <c r="K1720" s="45" t="n">
        <v>169</v>
      </c>
      <c r="L1720" s="46" t="n">
        <v>15548.14</v>
      </c>
    </row>
    <row r="1721" customFormat="false" ht="15" hidden="false" customHeight="false" outlineLevel="0" collapsed="false">
      <c r="A1721" s="37" t="n">
        <v>502182</v>
      </c>
      <c r="B1721" s="37" t="s">
        <v>1486</v>
      </c>
      <c r="C1721" s="37" t="n">
        <v>202605</v>
      </c>
      <c r="D1721" s="37" t="s">
        <v>65</v>
      </c>
      <c r="E1721" s="37" t="s">
        <v>101</v>
      </c>
      <c r="F1721" s="37" t="s">
        <v>194</v>
      </c>
      <c r="G1721" s="37" t="s">
        <v>354</v>
      </c>
      <c r="H1721" s="37"/>
      <c r="I1721" s="37" t="s">
        <v>355</v>
      </c>
      <c r="J1721" s="37" t="s">
        <v>1487</v>
      </c>
      <c r="K1721" s="45" t="n">
        <v>219.6</v>
      </c>
      <c r="L1721" s="46" t="n">
        <v>16253.83</v>
      </c>
    </row>
    <row r="1722" customFormat="false" ht="15" hidden="false" customHeight="false" outlineLevel="0" collapsed="false">
      <c r="A1722" s="37" t="n">
        <v>502224</v>
      </c>
      <c r="B1722" s="37" t="s">
        <v>1486</v>
      </c>
      <c r="C1722" s="37" t="n">
        <v>202605</v>
      </c>
      <c r="D1722" s="37" t="s">
        <v>65</v>
      </c>
      <c r="E1722" s="37" t="s">
        <v>106</v>
      </c>
      <c r="F1722" s="37" t="s">
        <v>194</v>
      </c>
      <c r="G1722" s="37" t="s">
        <v>354</v>
      </c>
      <c r="H1722" s="37"/>
      <c r="I1722" s="37" t="s">
        <v>355</v>
      </c>
      <c r="J1722" s="37" t="s">
        <v>1487</v>
      </c>
      <c r="K1722" s="45" t="n">
        <v>22.1</v>
      </c>
      <c r="L1722" s="46" t="n">
        <v>1571</v>
      </c>
    </row>
    <row r="1723" customFormat="false" ht="15" hidden="false" customHeight="false" outlineLevel="0" collapsed="false">
      <c r="A1723" s="37" t="n">
        <v>502286</v>
      </c>
      <c r="B1723" s="37" t="s">
        <v>1486</v>
      </c>
      <c r="C1723" s="37" t="n">
        <v>202605</v>
      </c>
      <c r="D1723" s="37" t="s">
        <v>66</v>
      </c>
      <c r="E1723" s="37" t="s">
        <v>97</v>
      </c>
      <c r="F1723" s="37" t="s">
        <v>194</v>
      </c>
      <c r="G1723" s="37" t="s">
        <v>354</v>
      </c>
      <c r="H1723" s="37"/>
      <c r="I1723" s="37" t="s">
        <v>355</v>
      </c>
      <c r="J1723" s="37" t="s">
        <v>1487</v>
      </c>
      <c r="K1723" s="45" t="n">
        <v>119.7</v>
      </c>
      <c r="L1723" s="46" t="n">
        <v>11016.56</v>
      </c>
    </row>
    <row r="1724" customFormat="false" ht="15" hidden="false" customHeight="false" outlineLevel="0" collapsed="false">
      <c r="A1724" s="37" t="n">
        <v>502351</v>
      </c>
      <c r="B1724" s="37" t="s">
        <v>1486</v>
      </c>
      <c r="C1724" s="37" t="n">
        <v>202605</v>
      </c>
      <c r="D1724" s="37" t="s">
        <v>66</v>
      </c>
      <c r="E1724" s="37" t="s">
        <v>101</v>
      </c>
      <c r="F1724" s="37" t="s">
        <v>194</v>
      </c>
      <c r="G1724" s="37" t="s">
        <v>354</v>
      </c>
      <c r="H1724" s="37"/>
      <c r="I1724" s="37" t="s">
        <v>355</v>
      </c>
      <c r="J1724" s="37" t="s">
        <v>1487</v>
      </c>
      <c r="K1724" s="45" t="n">
        <v>432.5</v>
      </c>
      <c r="L1724" s="46" t="n">
        <v>32007.02</v>
      </c>
    </row>
    <row r="1725" customFormat="false" ht="15" hidden="false" customHeight="false" outlineLevel="0" collapsed="false">
      <c r="A1725" s="37" t="n">
        <v>502392</v>
      </c>
      <c r="B1725" s="37" t="s">
        <v>1486</v>
      </c>
      <c r="C1725" s="37" t="n">
        <v>202605</v>
      </c>
      <c r="D1725" s="37" t="s">
        <v>66</v>
      </c>
      <c r="E1725" s="37" t="s">
        <v>103</v>
      </c>
      <c r="F1725" s="37" t="s">
        <v>205</v>
      </c>
      <c r="G1725" s="37" t="s">
        <v>358</v>
      </c>
      <c r="H1725" s="37" t="s">
        <v>1296</v>
      </c>
      <c r="I1725" s="37" t="s">
        <v>1297</v>
      </c>
      <c r="J1725" s="37" t="s">
        <v>1492</v>
      </c>
      <c r="K1725" s="45" t="n">
        <v>0</v>
      </c>
      <c r="L1725" s="46" t="n">
        <v>59127.5</v>
      </c>
    </row>
    <row r="1726" customFormat="false" ht="15" hidden="false" customHeight="false" outlineLevel="0" collapsed="false">
      <c r="A1726" s="37" t="n">
        <v>502429</v>
      </c>
      <c r="B1726" s="37" t="s">
        <v>1486</v>
      </c>
      <c r="C1726" s="37" t="n">
        <v>202605</v>
      </c>
      <c r="D1726" s="37" t="s">
        <v>67</v>
      </c>
      <c r="E1726" s="37" t="s">
        <v>97</v>
      </c>
      <c r="F1726" s="37" t="s">
        <v>194</v>
      </c>
      <c r="G1726" s="37" t="s">
        <v>354</v>
      </c>
      <c r="H1726" s="37"/>
      <c r="I1726" s="37" t="s">
        <v>355</v>
      </c>
      <c r="J1726" s="37" t="s">
        <v>1487</v>
      </c>
      <c r="K1726" s="45" t="n">
        <v>98.9</v>
      </c>
      <c r="L1726" s="46" t="n">
        <v>9103.19</v>
      </c>
    </row>
    <row r="1727" customFormat="false" ht="15" hidden="false" customHeight="false" outlineLevel="0" collapsed="false">
      <c r="A1727" s="37" t="n">
        <v>502483</v>
      </c>
      <c r="B1727" s="37" t="s">
        <v>1486</v>
      </c>
      <c r="C1727" s="37" t="n">
        <v>202605</v>
      </c>
      <c r="D1727" s="37" t="s">
        <v>67</v>
      </c>
      <c r="E1727" s="37" t="s">
        <v>101</v>
      </c>
      <c r="F1727" s="37" t="s">
        <v>194</v>
      </c>
      <c r="G1727" s="37" t="s">
        <v>354</v>
      </c>
      <c r="H1727" s="37"/>
      <c r="I1727" s="37" t="s">
        <v>355</v>
      </c>
      <c r="J1727" s="37" t="s">
        <v>1487</v>
      </c>
      <c r="K1727" s="45" t="n">
        <v>226.3</v>
      </c>
      <c r="L1727" s="46" t="n">
        <v>16747.39</v>
      </c>
    </row>
    <row r="1728" customFormat="false" ht="15" hidden="false" customHeight="false" outlineLevel="0" collapsed="false">
      <c r="A1728" s="37" t="n">
        <v>502545</v>
      </c>
      <c r="B1728" s="37" t="s">
        <v>1486</v>
      </c>
      <c r="C1728" s="37" t="n">
        <v>202605</v>
      </c>
      <c r="D1728" s="37" t="s">
        <v>68</v>
      </c>
      <c r="E1728" s="37" t="s">
        <v>97</v>
      </c>
      <c r="F1728" s="37" t="s">
        <v>194</v>
      </c>
      <c r="G1728" s="37" t="s">
        <v>354</v>
      </c>
      <c r="H1728" s="37"/>
      <c r="I1728" s="37" t="s">
        <v>355</v>
      </c>
      <c r="J1728" s="37" t="s">
        <v>1487</v>
      </c>
      <c r="K1728" s="45" t="n">
        <v>50</v>
      </c>
      <c r="L1728" s="46" t="n">
        <v>4599.11</v>
      </c>
    </row>
    <row r="1729" customFormat="false" ht="15" hidden="false" customHeight="false" outlineLevel="0" collapsed="false">
      <c r="A1729" s="37" t="n">
        <v>502565</v>
      </c>
      <c r="B1729" s="37" t="s">
        <v>1486</v>
      </c>
      <c r="C1729" s="37" t="n">
        <v>202605</v>
      </c>
      <c r="D1729" s="37" t="s">
        <v>68</v>
      </c>
      <c r="E1729" s="37" t="s">
        <v>98</v>
      </c>
      <c r="F1729" s="37" t="s">
        <v>196</v>
      </c>
      <c r="G1729" s="37" t="s">
        <v>358</v>
      </c>
      <c r="H1729" s="37" t="s">
        <v>359</v>
      </c>
      <c r="I1729" s="37" t="s">
        <v>360</v>
      </c>
      <c r="J1729" s="37" t="s">
        <v>1493</v>
      </c>
      <c r="K1729" s="45" t="n">
        <v>0</v>
      </c>
      <c r="L1729" s="46" t="n">
        <v>1193.29</v>
      </c>
    </row>
    <row r="1730" customFormat="false" ht="15" hidden="false" customHeight="false" outlineLevel="0" collapsed="false">
      <c r="A1730" s="37" t="n">
        <v>501061</v>
      </c>
      <c r="B1730" s="37" t="s">
        <v>1494</v>
      </c>
      <c r="C1730" s="37" t="n">
        <v>202605</v>
      </c>
      <c r="D1730" s="37" t="s">
        <v>60</v>
      </c>
      <c r="E1730" s="37" t="s">
        <v>108</v>
      </c>
      <c r="F1730" s="37" t="s">
        <v>205</v>
      </c>
      <c r="G1730" s="37" t="s">
        <v>358</v>
      </c>
      <c r="H1730" s="37" t="s">
        <v>1488</v>
      </c>
      <c r="I1730" s="37" t="s">
        <v>1489</v>
      </c>
      <c r="J1730" s="37" t="s">
        <v>1495</v>
      </c>
      <c r="K1730" s="45" t="n">
        <v>0</v>
      </c>
      <c r="L1730" s="46" t="n">
        <v>6039.48</v>
      </c>
    </row>
    <row r="1731" customFormat="false" ht="15" hidden="false" customHeight="false" outlineLevel="0" collapsed="false">
      <c r="A1731" s="37" t="n">
        <v>502212</v>
      </c>
      <c r="B1731" s="37" t="s">
        <v>1494</v>
      </c>
      <c r="C1731" s="37" t="n">
        <v>202605</v>
      </c>
      <c r="D1731" s="37" t="s">
        <v>65</v>
      </c>
      <c r="E1731" s="37" t="s">
        <v>103</v>
      </c>
      <c r="F1731" s="37" t="s">
        <v>205</v>
      </c>
      <c r="G1731" s="37" t="s">
        <v>358</v>
      </c>
      <c r="H1731" s="37" t="s">
        <v>1051</v>
      </c>
      <c r="I1731" s="37" t="s">
        <v>898</v>
      </c>
      <c r="J1731" s="37" t="s">
        <v>1496</v>
      </c>
      <c r="K1731" s="45" t="n">
        <v>0</v>
      </c>
      <c r="L1731" s="46" t="n">
        <v>107932.38</v>
      </c>
    </row>
    <row r="1732" customFormat="false" ht="15" hidden="false" customHeight="false" outlineLevel="0" collapsed="false">
      <c r="A1732" s="37" t="n">
        <v>501447</v>
      </c>
      <c r="B1732" s="37" t="s">
        <v>1497</v>
      </c>
      <c r="C1732" s="37" t="n">
        <v>202605</v>
      </c>
      <c r="D1732" s="37" t="s">
        <v>62</v>
      </c>
      <c r="E1732" s="37" t="s">
        <v>98</v>
      </c>
      <c r="F1732" s="37" t="s">
        <v>196</v>
      </c>
      <c r="G1732" s="37" t="s">
        <v>358</v>
      </c>
      <c r="H1732" s="37" t="s">
        <v>359</v>
      </c>
      <c r="I1732" s="37" t="s">
        <v>360</v>
      </c>
      <c r="J1732" s="37" t="s">
        <v>1498</v>
      </c>
      <c r="K1732" s="45" t="n">
        <v>0</v>
      </c>
      <c r="L1732" s="46" t="n">
        <v>76637.21</v>
      </c>
    </row>
    <row r="1733" customFormat="false" ht="15" hidden="false" customHeight="false" outlineLevel="0" collapsed="false">
      <c r="A1733" s="37" t="n">
        <v>500560</v>
      </c>
      <c r="B1733" s="37" t="s">
        <v>1499</v>
      </c>
      <c r="C1733" s="37" t="n">
        <v>202605</v>
      </c>
      <c r="D1733" s="37" t="s">
        <v>59</v>
      </c>
      <c r="E1733" s="37" t="s">
        <v>98</v>
      </c>
      <c r="F1733" s="37" t="s">
        <v>196</v>
      </c>
      <c r="G1733" s="37" t="s">
        <v>358</v>
      </c>
      <c r="H1733" s="37" t="s">
        <v>359</v>
      </c>
      <c r="I1733" s="37" t="s">
        <v>360</v>
      </c>
      <c r="J1733" s="37" t="s">
        <v>1500</v>
      </c>
      <c r="K1733" s="45" t="n">
        <v>0</v>
      </c>
      <c r="L1733" s="46" t="n">
        <v>29364.67</v>
      </c>
    </row>
    <row r="1734" customFormat="false" ht="15" hidden="false" customHeight="false" outlineLevel="0" collapsed="false">
      <c r="A1734" s="37" t="n">
        <v>501995</v>
      </c>
      <c r="B1734" s="37" t="s">
        <v>1499</v>
      </c>
      <c r="C1734" s="37" t="n">
        <v>202605</v>
      </c>
      <c r="D1734" s="37" t="s">
        <v>64</v>
      </c>
      <c r="E1734" s="37" t="s">
        <v>102</v>
      </c>
      <c r="F1734" s="37" t="s">
        <v>205</v>
      </c>
      <c r="G1734" s="37" t="s">
        <v>358</v>
      </c>
      <c r="H1734" s="37" t="s">
        <v>947</v>
      </c>
      <c r="I1734" s="37" t="s">
        <v>811</v>
      </c>
      <c r="J1734" s="37" t="s">
        <v>1501</v>
      </c>
      <c r="K1734" s="45" t="n">
        <v>0</v>
      </c>
      <c r="L1734" s="46" t="n">
        <v>14609.91</v>
      </c>
    </row>
    <row r="1735" customFormat="false" ht="15" hidden="false" customHeight="false" outlineLevel="0" collapsed="false">
      <c r="A1735" s="37" t="n">
        <v>502455</v>
      </c>
      <c r="B1735" s="37" t="s">
        <v>1499</v>
      </c>
      <c r="C1735" s="37" t="n">
        <v>202605</v>
      </c>
      <c r="D1735" s="37" t="s">
        <v>67</v>
      </c>
      <c r="E1735" s="37" t="s">
        <v>98</v>
      </c>
      <c r="F1735" s="37" t="s">
        <v>196</v>
      </c>
      <c r="G1735" s="37" t="s">
        <v>358</v>
      </c>
      <c r="H1735" s="37" t="s">
        <v>359</v>
      </c>
      <c r="I1735" s="37" t="s">
        <v>360</v>
      </c>
      <c r="J1735" s="37" t="s">
        <v>1502</v>
      </c>
      <c r="K1735" s="45" t="n">
        <v>0</v>
      </c>
      <c r="L1735" s="46" t="n">
        <v>2221.09</v>
      </c>
    </row>
    <row r="1736" customFormat="false" ht="15" hidden="false" customHeight="false" outlineLevel="0" collapsed="false">
      <c r="A1736" s="37" t="n">
        <v>502520</v>
      </c>
      <c r="B1736" s="37" t="s">
        <v>1499</v>
      </c>
      <c r="C1736" s="37" t="n">
        <v>202605</v>
      </c>
      <c r="D1736" s="37" t="s">
        <v>67</v>
      </c>
      <c r="E1736" s="37" t="s">
        <v>103</v>
      </c>
      <c r="F1736" s="37" t="s">
        <v>205</v>
      </c>
      <c r="G1736" s="37" t="s">
        <v>358</v>
      </c>
      <c r="H1736" s="37" t="s">
        <v>1368</v>
      </c>
      <c r="I1736" s="37" t="s">
        <v>1369</v>
      </c>
      <c r="J1736" s="37" t="s">
        <v>1503</v>
      </c>
      <c r="K1736" s="45" t="n">
        <v>0</v>
      </c>
      <c r="L1736" s="46" t="n">
        <v>36927.94</v>
      </c>
    </row>
    <row r="1737" customFormat="false" ht="15" hidden="false" customHeight="false" outlineLevel="0" collapsed="false">
      <c r="A1737" s="37" t="n">
        <v>501328</v>
      </c>
      <c r="B1737" s="37" t="s">
        <v>1504</v>
      </c>
      <c r="C1737" s="37" t="n">
        <v>202605</v>
      </c>
      <c r="D1737" s="37" t="s">
        <v>61</v>
      </c>
      <c r="E1737" s="37" t="s">
        <v>108</v>
      </c>
      <c r="F1737" s="37" t="s">
        <v>205</v>
      </c>
      <c r="G1737" s="37" t="s">
        <v>358</v>
      </c>
      <c r="H1737" s="37" t="s">
        <v>1404</v>
      </c>
      <c r="I1737" s="37" t="s">
        <v>1405</v>
      </c>
      <c r="J1737" s="37" t="s">
        <v>1505</v>
      </c>
      <c r="K1737" s="45" t="n">
        <v>0</v>
      </c>
      <c r="L1737" s="46" t="n">
        <v>23139.18</v>
      </c>
    </row>
    <row r="1738" customFormat="false" ht="15" hidden="false" customHeight="false" outlineLevel="0" collapsed="false">
      <c r="A1738" s="37" t="n">
        <v>502314</v>
      </c>
      <c r="B1738" s="37" t="s">
        <v>1504</v>
      </c>
      <c r="C1738" s="37" t="n">
        <v>202605</v>
      </c>
      <c r="D1738" s="37" t="s">
        <v>66</v>
      </c>
      <c r="E1738" s="37" t="s">
        <v>98</v>
      </c>
      <c r="F1738" s="37" t="s">
        <v>196</v>
      </c>
      <c r="G1738" s="37" t="s">
        <v>358</v>
      </c>
      <c r="H1738" s="37" t="s">
        <v>359</v>
      </c>
      <c r="I1738" s="37" t="s">
        <v>360</v>
      </c>
      <c r="J1738" s="37" t="s">
        <v>1506</v>
      </c>
      <c r="K1738" s="45" t="n">
        <v>0</v>
      </c>
      <c r="L1738" s="46" t="n">
        <v>12498.08</v>
      </c>
    </row>
    <row r="1739" customFormat="false" ht="15" hidden="false" customHeight="false" outlineLevel="0" collapsed="false">
      <c r="A1739" s="37" t="n">
        <v>502313</v>
      </c>
      <c r="B1739" s="37" t="s">
        <v>1507</v>
      </c>
      <c r="C1739" s="37" t="n">
        <v>202605</v>
      </c>
      <c r="D1739" s="37" t="s">
        <v>66</v>
      </c>
      <c r="E1739" s="37" t="s">
        <v>98</v>
      </c>
      <c r="F1739" s="37" t="s">
        <v>196</v>
      </c>
      <c r="G1739" s="37" t="s">
        <v>358</v>
      </c>
      <c r="H1739" s="37" t="s">
        <v>359</v>
      </c>
      <c r="I1739" s="37" t="s">
        <v>360</v>
      </c>
      <c r="J1739" s="37" t="s">
        <v>1508</v>
      </c>
      <c r="K1739" s="45" t="n">
        <v>0</v>
      </c>
      <c r="L1739" s="46" t="n">
        <v>15440.71</v>
      </c>
    </row>
    <row r="1740" customFormat="false" ht="15" hidden="false" customHeight="false" outlineLevel="0" collapsed="false">
      <c r="A1740" s="37" t="n">
        <v>500395</v>
      </c>
      <c r="B1740" s="37" t="s">
        <v>1509</v>
      </c>
      <c r="C1740" s="37" t="n">
        <v>202605</v>
      </c>
      <c r="D1740" s="37" t="s">
        <v>58</v>
      </c>
      <c r="E1740" s="37" t="s">
        <v>108</v>
      </c>
      <c r="F1740" s="37" t="s">
        <v>205</v>
      </c>
      <c r="G1740" s="37" t="s">
        <v>358</v>
      </c>
      <c r="H1740" s="37" t="s">
        <v>885</v>
      </c>
      <c r="I1740" s="37" t="s">
        <v>886</v>
      </c>
      <c r="J1740" s="37" t="s">
        <v>1510</v>
      </c>
      <c r="K1740" s="45" t="n">
        <v>0</v>
      </c>
      <c r="L1740" s="46" t="n">
        <v>38561.71</v>
      </c>
    </row>
    <row r="1741" customFormat="false" ht="15" hidden="false" customHeight="false" outlineLevel="0" collapsed="false">
      <c r="A1741" s="37" t="n">
        <v>502315</v>
      </c>
      <c r="B1741" s="37" t="s">
        <v>1509</v>
      </c>
      <c r="C1741" s="37" t="n">
        <v>202605</v>
      </c>
      <c r="D1741" s="37" t="s">
        <v>66</v>
      </c>
      <c r="E1741" s="37" t="s">
        <v>98</v>
      </c>
      <c r="F1741" s="37" t="s">
        <v>196</v>
      </c>
      <c r="G1741" s="37" t="s">
        <v>358</v>
      </c>
      <c r="H1741" s="37" t="s">
        <v>359</v>
      </c>
      <c r="I1741" s="37" t="s">
        <v>360</v>
      </c>
      <c r="J1741" s="37" t="s">
        <v>1511</v>
      </c>
      <c r="K1741" s="45" t="n">
        <v>0</v>
      </c>
      <c r="L1741" s="46" t="n">
        <v>4027.1</v>
      </c>
    </row>
    <row r="1742" customFormat="false" ht="15" hidden="false" customHeight="false" outlineLevel="0" collapsed="false">
      <c r="A1742" s="37" t="n">
        <v>502456</v>
      </c>
      <c r="B1742" s="37" t="s">
        <v>1509</v>
      </c>
      <c r="C1742" s="37" t="n">
        <v>202605</v>
      </c>
      <c r="D1742" s="37" t="s">
        <v>67</v>
      </c>
      <c r="E1742" s="37" t="s">
        <v>98</v>
      </c>
      <c r="F1742" s="37" t="s">
        <v>196</v>
      </c>
      <c r="G1742" s="37" t="s">
        <v>358</v>
      </c>
      <c r="H1742" s="37" t="s">
        <v>359</v>
      </c>
      <c r="I1742" s="37" t="s">
        <v>360</v>
      </c>
      <c r="J1742" s="37" t="s">
        <v>1512</v>
      </c>
      <c r="K1742" s="45" t="n">
        <v>0</v>
      </c>
      <c r="L1742" s="46" t="n">
        <v>7270.09</v>
      </c>
    </row>
    <row r="1743" customFormat="false" ht="15" hidden="false" customHeight="false" outlineLevel="0" collapsed="false">
      <c r="A1743" s="37" t="n">
        <v>500103</v>
      </c>
      <c r="B1743" s="37" t="s">
        <v>1513</v>
      </c>
      <c r="C1743" s="37" t="n">
        <v>202605</v>
      </c>
      <c r="D1743" s="37" t="s">
        <v>58</v>
      </c>
      <c r="E1743" s="37" t="s">
        <v>97</v>
      </c>
      <c r="F1743" s="37" t="s">
        <v>194</v>
      </c>
      <c r="G1743" s="37" t="s">
        <v>354</v>
      </c>
      <c r="H1743" s="37"/>
      <c r="I1743" s="37" t="s">
        <v>355</v>
      </c>
      <c r="J1743" s="37" t="s">
        <v>1514</v>
      </c>
      <c r="K1743" s="45" t="n">
        <v>75.8</v>
      </c>
      <c r="L1743" s="46" t="n">
        <v>6973.52</v>
      </c>
    </row>
    <row r="1744" customFormat="false" ht="15" hidden="false" customHeight="false" outlineLevel="0" collapsed="false">
      <c r="A1744" s="37" t="n">
        <v>500511</v>
      </c>
      <c r="B1744" s="37" t="s">
        <v>1513</v>
      </c>
      <c r="C1744" s="37" t="n">
        <v>202605</v>
      </c>
      <c r="D1744" s="37" t="s">
        <v>59</v>
      </c>
      <c r="E1744" s="37" t="s">
        <v>97</v>
      </c>
      <c r="F1744" s="37" t="s">
        <v>194</v>
      </c>
      <c r="G1744" s="37" t="s">
        <v>354</v>
      </c>
      <c r="H1744" s="37"/>
      <c r="I1744" s="37" t="s">
        <v>355</v>
      </c>
      <c r="J1744" s="37" t="s">
        <v>1514</v>
      </c>
      <c r="K1744" s="45" t="n">
        <v>348.5</v>
      </c>
      <c r="L1744" s="46" t="n">
        <v>32060.83</v>
      </c>
    </row>
    <row r="1745" customFormat="false" ht="15" hidden="false" customHeight="false" outlineLevel="0" collapsed="false">
      <c r="A1745" s="37" t="n">
        <v>500713</v>
      </c>
      <c r="B1745" s="37" t="s">
        <v>1513</v>
      </c>
      <c r="C1745" s="37" t="n">
        <v>202605</v>
      </c>
      <c r="D1745" s="37" t="s">
        <v>59</v>
      </c>
      <c r="E1745" s="37" t="s">
        <v>106</v>
      </c>
      <c r="F1745" s="37" t="s">
        <v>194</v>
      </c>
      <c r="G1745" s="37" t="s">
        <v>354</v>
      </c>
      <c r="H1745" s="37"/>
      <c r="I1745" s="37" t="s">
        <v>355</v>
      </c>
      <c r="J1745" s="37" t="s">
        <v>1514</v>
      </c>
      <c r="K1745" s="45" t="n">
        <v>249.4</v>
      </c>
      <c r="L1745" s="46" t="n">
        <v>17710.4</v>
      </c>
    </row>
    <row r="1746" customFormat="false" ht="15" hidden="false" customHeight="false" outlineLevel="0" collapsed="false">
      <c r="A1746" s="37" t="n">
        <v>500840</v>
      </c>
      <c r="B1746" s="37" t="s">
        <v>1513</v>
      </c>
      <c r="C1746" s="37" t="n">
        <v>202605</v>
      </c>
      <c r="D1746" s="37" t="s">
        <v>60</v>
      </c>
      <c r="E1746" s="37" t="s">
        <v>97</v>
      </c>
      <c r="F1746" s="37" t="s">
        <v>194</v>
      </c>
      <c r="G1746" s="37" t="s">
        <v>354</v>
      </c>
      <c r="H1746" s="37"/>
      <c r="I1746" s="37" t="s">
        <v>355</v>
      </c>
      <c r="J1746" s="37" t="s">
        <v>1514</v>
      </c>
      <c r="K1746" s="45" t="n">
        <v>240.6</v>
      </c>
      <c r="L1746" s="46" t="n">
        <v>22131.68</v>
      </c>
    </row>
    <row r="1747" customFormat="false" ht="15" hidden="false" customHeight="false" outlineLevel="0" collapsed="false">
      <c r="A1747" s="37" t="n">
        <v>501033</v>
      </c>
      <c r="B1747" s="37" t="s">
        <v>1513</v>
      </c>
      <c r="C1747" s="37" t="n">
        <v>202605</v>
      </c>
      <c r="D1747" s="37" t="s">
        <v>60</v>
      </c>
      <c r="E1747" s="37" t="s">
        <v>106</v>
      </c>
      <c r="F1747" s="37" t="s">
        <v>194</v>
      </c>
      <c r="G1747" s="37" t="s">
        <v>354</v>
      </c>
      <c r="H1747" s="37"/>
      <c r="I1747" s="37" t="s">
        <v>355</v>
      </c>
      <c r="J1747" s="37" t="s">
        <v>1514</v>
      </c>
      <c r="K1747" s="45" t="n">
        <v>611.1</v>
      </c>
      <c r="L1747" s="46" t="n">
        <v>43391</v>
      </c>
    </row>
    <row r="1748" customFormat="false" ht="15" hidden="false" customHeight="false" outlineLevel="0" collapsed="false">
      <c r="A1748" s="37" t="n">
        <v>501147</v>
      </c>
      <c r="B1748" s="37" t="s">
        <v>1513</v>
      </c>
      <c r="C1748" s="37" t="n">
        <v>202605</v>
      </c>
      <c r="D1748" s="37" t="s">
        <v>61</v>
      </c>
      <c r="E1748" s="37" t="s">
        <v>97</v>
      </c>
      <c r="F1748" s="37" t="s">
        <v>194</v>
      </c>
      <c r="G1748" s="37" t="s">
        <v>354</v>
      </c>
      <c r="H1748" s="37"/>
      <c r="I1748" s="37" t="s">
        <v>355</v>
      </c>
      <c r="J1748" s="37" t="s">
        <v>1514</v>
      </c>
      <c r="K1748" s="45" t="n">
        <v>56</v>
      </c>
      <c r="L1748" s="46" t="n">
        <v>5151.98</v>
      </c>
    </row>
    <row r="1749" customFormat="false" ht="15" hidden="false" customHeight="false" outlineLevel="0" collapsed="false">
      <c r="A1749" s="37" t="n">
        <v>501307</v>
      </c>
      <c r="B1749" s="37" t="s">
        <v>1513</v>
      </c>
      <c r="C1749" s="37" t="n">
        <v>202605</v>
      </c>
      <c r="D1749" s="37" t="s">
        <v>61</v>
      </c>
      <c r="E1749" s="37" t="s">
        <v>106</v>
      </c>
      <c r="F1749" s="37" t="s">
        <v>194</v>
      </c>
      <c r="G1749" s="37" t="s">
        <v>354</v>
      </c>
      <c r="H1749" s="37"/>
      <c r="I1749" s="37" t="s">
        <v>355</v>
      </c>
      <c r="J1749" s="37" t="s">
        <v>1514</v>
      </c>
      <c r="K1749" s="45" t="n">
        <v>75.8</v>
      </c>
      <c r="L1749" s="46" t="n">
        <v>5381.36</v>
      </c>
    </row>
    <row r="1750" customFormat="false" ht="15" hidden="false" customHeight="false" outlineLevel="0" collapsed="false">
      <c r="A1750" s="37" t="n">
        <v>501408</v>
      </c>
      <c r="B1750" s="37" t="s">
        <v>1513</v>
      </c>
      <c r="C1750" s="37" t="n">
        <v>202605</v>
      </c>
      <c r="D1750" s="37" t="s">
        <v>62</v>
      </c>
      <c r="E1750" s="37" t="s">
        <v>97</v>
      </c>
      <c r="F1750" s="37" t="s">
        <v>194</v>
      </c>
      <c r="G1750" s="37" t="s">
        <v>354</v>
      </c>
      <c r="H1750" s="37"/>
      <c r="I1750" s="37" t="s">
        <v>355</v>
      </c>
      <c r="J1750" s="37" t="s">
        <v>1514</v>
      </c>
      <c r="K1750" s="45" t="n">
        <v>327.7</v>
      </c>
      <c r="L1750" s="46" t="n">
        <v>30148.83</v>
      </c>
    </row>
    <row r="1751" customFormat="false" ht="15" hidden="false" customHeight="false" outlineLevel="0" collapsed="false">
      <c r="A1751" s="37" t="n">
        <v>501512</v>
      </c>
      <c r="B1751" s="37" t="s">
        <v>1513</v>
      </c>
      <c r="C1751" s="37" t="n">
        <v>202605</v>
      </c>
      <c r="D1751" s="37" t="s">
        <v>62</v>
      </c>
      <c r="E1751" s="37" t="s">
        <v>101</v>
      </c>
      <c r="F1751" s="37" t="s">
        <v>194</v>
      </c>
      <c r="G1751" s="37" t="s">
        <v>354</v>
      </c>
      <c r="H1751" s="37"/>
      <c r="I1751" s="37" t="s">
        <v>355</v>
      </c>
      <c r="J1751" s="37" t="s">
        <v>1514</v>
      </c>
      <c r="K1751" s="45" t="n">
        <v>280.3</v>
      </c>
      <c r="L1751" s="46" t="n">
        <v>20743.33</v>
      </c>
    </row>
    <row r="1752" customFormat="false" ht="15" hidden="false" customHeight="false" outlineLevel="0" collapsed="false">
      <c r="A1752" s="37" t="n">
        <v>501574</v>
      </c>
      <c r="B1752" s="37" t="s">
        <v>1513</v>
      </c>
      <c r="C1752" s="37" t="n">
        <v>202605</v>
      </c>
      <c r="D1752" s="37" t="s">
        <v>62</v>
      </c>
      <c r="E1752" s="37" t="s">
        <v>106</v>
      </c>
      <c r="F1752" s="37" t="s">
        <v>194</v>
      </c>
      <c r="G1752" s="37" t="s">
        <v>354</v>
      </c>
      <c r="H1752" s="37"/>
      <c r="I1752" s="37" t="s">
        <v>355</v>
      </c>
      <c r="J1752" s="37" t="s">
        <v>1514</v>
      </c>
      <c r="K1752" s="45" t="n">
        <v>209.5</v>
      </c>
      <c r="L1752" s="46" t="n">
        <v>14874.43</v>
      </c>
    </row>
    <row r="1753" customFormat="false" ht="15" hidden="false" customHeight="false" outlineLevel="0" collapsed="false">
      <c r="A1753" s="37" t="n">
        <v>501654</v>
      </c>
      <c r="B1753" s="37" t="s">
        <v>1513</v>
      </c>
      <c r="C1753" s="37" t="n">
        <v>202605</v>
      </c>
      <c r="D1753" s="37" t="s">
        <v>63</v>
      </c>
      <c r="E1753" s="37" t="s">
        <v>97</v>
      </c>
      <c r="F1753" s="37" t="s">
        <v>194</v>
      </c>
      <c r="G1753" s="37" t="s">
        <v>354</v>
      </c>
      <c r="H1753" s="37"/>
      <c r="I1753" s="37" t="s">
        <v>355</v>
      </c>
      <c r="J1753" s="37" t="s">
        <v>1514</v>
      </c>
      <c r="K1753" s="45" t="n">
        <v>329.2</v>
      </c>
      <c r="L1753" s="46" t="n">
        <v>30287.44</v>
      </c>
    </row>
    <row r="1754" customFormat="false" ht="15" hidden="false" customHeight="false" outlineLevel="0" collapsed="false">
      <c r="A1754" s="37" t="n">
        <v>501804</v>
      </c>
      <c r="B1754" s="37" t="s">
        <v>1513</v>
      </c>
      <c r="C1754" s="37" t="n">
        <v>202605</v>
      </c>
      <c r="D1754" s="37" t="s">
        <v>63</v>
      </c>
      <c r="E1754" s="37" t="s">
        <v>106</v>
      </c>
      <c r="F1754" s="37" t="s">
        <v>194</v>
      </c>
      <c r="G1754" s="37" t="s">
        <v>354</v>
      </c>
      <c r="H1754" s="37"/>
      <c r="I1754" s="37" t="s">
        <v>355</v>
      </c>
      <c r="J1754" s="37" t="s">
        <v>1514</v>
      </c>
      <c r="K1754" s="45" t="n">
        <v>431.9</v>
      </c>
      <c r="L1754" s="46" t="n">
        <v>30667.21</v>
      </c>
    </row>
    <row r="1755" customFormat="false" ht="15" hidden="false" customHeight="false" outlineLevel="0" collapsed="false">
      <c r="A1755" s="37" t="n">
        <v>501888</v>
      </c>
      <c r="B1755" s="37" t="s">
        <v>1513</v>
      </c>
      <c r="C1755" s="37" t="n">
        <v>202605</v>
      </c>
      <c r="D1755" s="37" t="s">
        <v>64</v>
      </c>
      <c r="E1755" s="37" t="s">
        <v>97</v>
      </c>
      <c r="F1755" s="37" t="s">
        <v>194</v>
      </c>
      <c r="G1755" s="37" t="s">
        <v>354</v>
      </c>
      <c r="H1755" s="37"/>
      <c r="I1755" s="37" t="s">
        <v>355</v>
      </c>
      <c r="J1755" s="37" t="s">
        <v>1514</v>
      </c>
      <c r="K1755" s="45" t="n">
        <v>224.7</v>
      </c>
      <c r="L1755" s="46" t="n">
        <v>20675.16</v>
      </c>
    </row>
    <row r="1756" customFormat="false" ht="15" hidden="false" customHeight="false" outlineLevel="0" collapsed="false">
      <c r="A1756" s="37" t="n">
        <v>501978</v>
      </c>
      <c r="B1756" s="37" t="s">
        <v>1513</v>
      </c>
      <c r="C1756" s="37" t="n">
        <v>202605</v>
      </c>
      <c r="D1756" s="37" t="s">
        <v>64</v>
      </c>
      <c r="E1756" s="37" t="s">
        <v>101</v>
      </c>
      <c r="F1756" s="37" t="s">
        <v>194</v>
      </c>
      <c r="G1756" s="37" t="s">
        <v>354</v>
      </c>
      <c r="H1756" s="37"/>
      <c r="I1756" s="37" t="s">
        <v>355</v>
      </c>
      <c r="J1756" s="37" t="s">
        <v>1514</v>
      </c>
      <c r="K1756" s="45" t="n">
        <v>293.2</v>
      </c>
      <c r="L1756" s="46" t="n">
        <v>21697.2</v>
      </c>
    </row>
    <row r="1757" customFormat="false" ht="15" hidden="false" customHeight="false" outlineLevel="0" collapsed="false">
      <c r="A1757" s="37" t="n">
        <v>502013</v>
      </c>
      <c r="B1757" s="37" t="s">
        <v>1513</v>
      </c>
      <c r="C1757" s="37" t="n">
        <v>202605</v>
      </c>
      <c r="D1757" s="37" t="s">
        <v>64</v>
      </c>
      <c r="E1757" s="37" t="s">
        <v>103</v>
      </c>
      <c r="F1757" s="37" t="s">
        <v>205</v>
      </c>
      <c r="G1757" s="37" t="s">
        <v>358</v>
      </c>
      <c r="H1757" s="37" t="s">
        <v>969</v>
      </c>
      <c r="I1757" s="37" t="s">
        <v>898</v>
      </c>
      <c r="J1757" s="37" t="s">
        <v>1515</v>
      </c>
      <c r="K1757" s="45" t="n">
        <v>0</v>
      </c>
      <c r="L1757" s="46" t="n">
        <v>22094.44</v>
      </c>
    </row>
    <row r="1758" customFormat="false" ht="15" hidden="false" customHeight="false" outlineLevel="0" collapsed="false">
      <c r="A1758" s="37" t="n">
        <v>502033</v>
      </c>
      <c r="B1758" s="37" t="s">
        <v>1513</v>
      </c>
      <c r="C1758" s="37" t="n">
        <v>202605</v>
      </c>
      <c r="D1758" s="37" t="s">
        <v>64</v>
      </c>
      <c r="E1758" s="37" t="s">
        <v>106</v>
      </c>
      <c r="F1758" s="37" t="s">
        <v>194</v>
      </c>
      <c r="G1758" s="37" t="s">
        <v>354</v>
      </c>
      <c r="H1758" s="37"/>
      <c r="I1758" s="37" t="s">
        <v>355</v>
      </c>
      <c r="J1758" s="37" t="s">
        <v>1514</v>
      </c>
      <c r="K1758" s="45" t="n">
        <v>73.1</v>
      </c>
      <c r="L1758" s="46" t="n">
        <v>5191.45</v>
      </c>
    </row>
    <row r="1759" customFormat="false" ht="15" hidden="false" customHeight="false" outlineLevel="0" collapsed="false">
      <c r="A1759" s="37" t="n">
        <v>502104</v>
      </c>
      <c r="B1759" s="37" t="s">
        <v>1513</v>
      </c>
      <c r="C1759" s="37" t="n">
        <v>202605</v>
      </c>
      <c r="D1759" s="37" t="s">
        <v>65</v>
      </c>
      <c r="E1759" s="37" t="s">
        <v>97</v>
      </c>
      <c r="F1759" s="37" t="s">
        <v>194</v>
      </c>
      <c r="G1759" s="37" t="s">
        <v>354</v>
      </c>
      <c r="H1759" s="37"/>
      <c r="I1759" s="37" t="s">
        <v>355</v>
      </c>
      <c r="J1759" s="37" t="s">
        <v>1514</v>
      </c>
      <c r="K1759" s="45" t="n">
        <v>148.5</v>
      </c>
      <c r="L1759" s="46" t="n">
        <v>13661.3</v>
      </c>
    </row>
    <row r="1760" customFormat="false" ht="15" hidden="false" customHeight="false" outlineLevel="0" collapsed="false">
      <c r="A1760" s="37" t="n">
        <v>502183</v>
      </c>
      <c r="B1760" s="37" t="s">
        <v>1513</v>
      </c>
      <c r="C1760" s="37" t="n">
        <v>202605</v>
      </c>
      <c r="D1760" s="37" t="s">
        <v>65</v>
      </c>
      <c r="E1760" s="37" t="s">
        <v>101</v>
      </c>
      <c r="F1760" s="37" t="s">
        <v>194</v>
      </c>
      <c r="G1760" s="37" t="s">
        <v>354</v>
      </c>
      <c r="H1760" s="37"/>
      <c r="I1760" s="37" t="s">
        <v>355</v>
      </c>
      <c r="J1760" s="37" t="s">
        <v>1514</v>
      </c>
      <c r="K1760" s="45" t="n">
        <v>281.2</v>
      </c>
      <c r="L1760" s="46" t="n">
        <v>20810.82</v>
      </c>
    </row>
    <row r="1761" customFormat="false" ht="15" hidden="false" customHeight="false" outlineLevel="0" collapsed="false">
      <c r="A1761" s="37" t="n">
        <v>502225</v>
      </c>
      <c r="B1761" s="37" t="s">
        <v>1513</v>
      </c>
      <c r="C1761" s="37" t="n">
        <v>202605</v>
      </c>
      <c r="D1761" s="37" t="s">
        <v>65</v>
      </c>
      <c r="E1761" s="37" t="s">
        <v>106</v>
      </c>
      <c r="F1761" s="37" t="s">
        <v>194</v>
      </c>
      <c r="G1761" s="37" t="s">
        <v>354</v>
      </c>
      <c r="H1761" s="37"/>
      <c r="I1761" s="37" t="s">
        <v>355</v>
      </c>
      <c r="J1761" s="37" t="s">
        <v>1514</v>
      </c>
      <c r="K1761" s="45" t="n">
        <v>25</v>
      </c>
      <c r="L1761" s="46" t="n">
        <v>1775</v>
      </c>
    </row>
    <row r="1762" customFormat="false" ht="15" hidden="false" customHeight="false" outlineLevel="0" collapsed="false">
      <c r="A1762" s="37" t="n">
        <v>502287</v>
      </c>
      <c r="B1762" s="37" t="s">
        <v>1513</v>
      </c>
      <c r="C1762" s="37" t="n">
        <v>202605</v>
      </c>
      <c r="D1762" s="37" t="s">
        <v>66</v>
      </c>
      <c r="E1762" s="37" t="s">
        <v>97</v>
      </c>
      <c r="F1762" s="37" t="s">
        <v>194</v>
      </c>
      <c r="G1762" s="37" t="s">
        <v>354</v>
      </c>
      <c r="H1762" s="37"/>
      <c r="I1762" s="37" t="s">
        <v>355</v>
      </c>
      <c r="J1762" s="37" t="s">
        <v>1514</v>
      </c>
      <c r="K1762" s="45" t="n">
        <v>93.6</v>
      </c>
      <c r="L1762" s="46" t="n">
        <v>8613.01</v>
      </c>
    </row>
    <row r="1763" customFormat="false" ht="15" hidden="false" customHeight="false" outlineLevel="0" collapsed="false">
      <c r="A1763" s="37" t="n">
        <v>502352</v>
      </c>
      <c r="B1763" s="37" t="s">
        <v>1513</v>
      </c>
      <c r="C1763" s="37" t="n">
        <v>202605</v>
      </c>
      <c r="D1763" s="37" t="s">
        <v>66</v>
      </c>
      <c r="E1763" s="37" t="s">
        <v>101</v>
      </c>
      <c r="F1763" s="37" t="s">
        <v>194</v>
      </c>
      <c r="G1763" s="37" t="s">
        <v>354</v>
      </c>
      <c r="H1763" s="37"/>
      <c r="I1763" s="37" t="s">
        <v>355</v>
      </c>
      <c r="J1763" s="37" t="s">
        <v>1514</v>
      </c>
      <c r="K1763" s="45" t="n">
        <v>135.3</v>
      </c>
      <c r="L1763" s="46" t="n">
        <v>10013.93</v>
      </c>
    </row>
    <row r="1764" customFormat="false" ht="15" hidden="false" customHeight="false" outlineLevel="0" collapsed="false">
      <c r="A1764" s="37" t="n">
        <v>502430</v>
      </c>
      <c r="B1764" s="37" t="s">
        <v>1513</v>
      </c>
      <c r="C1764" s="37" t="n">
        <v>202605</v>
      </c>
      <c r="D1764" s="37" t="s">
        <v>67</v>
      </c>
      <c r="E1764" s="37" t="s">
        <v>97</v>
      </c>
      <c r="F1764" s="37" t="s">
        <v>194</v>
      </c>
      <c r="G1764" s="37" t="s">
        <v>354</v>
      </c>
      <c r="H1764" s="37"/>
      <c r="I1764" s="37" t="s">
        <v>355</v>
      </c>
      <c r="J1764" s="37" t="s">
        <v>1514</v>
      </c>
      <c r="K1764" s="45" t="n">
        <v>81.8</v>
      </c>
      <c r="L1764" s="46" t="n">
        <v>7522.81</v>
      </c>
    </row>
    <row r="1765" customFormat="false" ht="15" hidden="false" customHeight="false" outlineLevel="0" collapsed="false">
      <c r="A1765" s="37" t="n">
        <v>502484</v>
      </c>
      <c r="B1765" s="37" t="s">
        <v>1513</v>
      </c>
      <c r="C1765" s="37" t="n">
        <v>202605</v>
      </c>
      <c r="D1765" s="37" t="s">
        <v>67</v>
      </c>
      <c r="E1765" s="37" t="s">
        <v>101</v>
      </c>
      <c r="F1765" s="37" t="s">
        <v>194</v>
      </c>
      <c r="G1765" s="37" t="s">
        <v>354</v>
      </c>
      <c r="H1765" s="37"/>
      <c r="I1765" s="37" t="s">
        <v>355</v>
      </c>
      <c r="J1765" s="37" t="s">
        <v>1514</v>
      </c>
      <c r="K1765" s="45" t="n">
        <v>119.4</v>
      </c>
      <c r="L1765" s="46" t="n">
        <v>8835</v>
      </c>
    </row>
    <row r="1766" customFormat="false" ht="15" hidden="false" customHeight="false" outlineLevel="0" collapsed="false">
      <c r="A1766" s="37" t="n">
        <v>502546</v>
      </c>
      <c r="B1766" s="37" t="s">
        <v>1513</v>
      </c>
      <c r="C1766" s="37" t="n">
        <v>202605</v>
      </c>
      <c r="D1766" s="37" t="s">
        <v>68</v>
      </c>
      <c r="E1766" s="37" t="s">
        <v>97</v>
      </c>
      <c r="F1766" s="37" t="s">
        <v>194</v>
      </c>
      <c r="G1766" s="37" t="s">
        <v>354</v>
      </c>
      <c r="H1766" s="37"/>
      <c r="I1766" s="37" t="s">
        <v>355</v>
      </c>
      <c r="J1766" s="37" t="s">
        <v>1514</v>
      </c>
      <c r="K1766" s="45" t="n">
        <v>27.7</v>
      </c>
      <c r="L1766" s="46" t="n">
        <v>2546.77</v>
      </c>
    </row>
    <row r="1767" customFormat="false" ht="15" hidden="false" customHeight="false" outlineLevel="0" collapsed="false">
      <c r="A1767" s="37" t="n">
        <v>502566</v>
      </c>
      <c r="B1767" s="37" t="s">
        <v>1513</v>
      </c>
      <c r="C1767" s="37" t="n">
        <v>202605</v>
      </c>
      <c r="D1767" s="37" t="s">
        <v>68</v>
      </c>
      <c r="E1767" s="37" t="s">
        <v>98</v>
      </c>
      <c r="F1767" s="37" t="s">
        <v>196</v>
      </c>
      <c r="G1767" s="37" t="s">
        <v>358</v>
      </c>
      <c r="H1767" s="37" t="s">
        <v>359</v>
      </c>
      <c r="I1767" s="37" t="s">
        <v>360</v>
      </c>
      <c r="J1767" s="37" t="s">
        <v>1516</v>
      </c>
      <c r="K1767" s="45" t="n">
        <v>0</v>
      </c>
      <c r="L1767" s="46" t="n">
        <v>1270.98</v>
      </c>
    </row>
    <row r="1768" customFormat="false" ht="15" hidden="false" customHeight="false" outlineLevel="0" collapsed="false">
      <c r="A1768" s="37" t="n">
        <v>500164</v>
      </c>
      <c r="B1768" s="37" t="s">
        <v>1517</v>
      </c>
      <c r="C1768" s="37" t="n">
        <v>202605</v>
      </c>
      <c r="D1768" s="37" t="s">
        <v>58</v>
      </c>
      <c r="E1768" s="37" t="s">
        <v>98</v>
      </c>
      <c r="F1768" s="37" t="s">
        <v>196</v>
      </c>
      <c r="G1768" s="37" t="s">
        <v>358</v>
      </c>
      <c r="H1768" s="37" t="s">
        <v>359</v>
      </c>
      <c r="I1768" s="37" t="s">
        <v>360</v>
      </c>
      <c r="J1768" s="37" t="s">
        <v>1518</v>
      </c>
      <c r="K1768" s="45" t="n">
        <v>0</v>
      </c>
      <c r="L1768" s="46" t="n">
        <v>1262.94</v>
      </c>
    </row>
    <row r="1769" customFormat="false" ht="15" hidden="false" customHeight="false" outlineLevel="0" collapsed="false">
      <c r="A1769" s="37" t="n">
        <v>501697</v>
      </c>
      <c r="B1769" s="37" t="s">
        <v>1517</v>
      </c>
      <c r="C1769" s="37" t="n">
        <v>202605</v>
      </c>
      <c r="D1769" s="37" t="s">
        <v>63</v>
      </c>
      <c r="E1769" s="37" t="s">
        <v>98</v>
      </c>
      <c r="F1769" s="37" t="s">
        <v>196</v>
      </c>
      <c r="G1769" s="37" t="s">
        <v>358</v>
      </c>
      <c r="H1769" s="37" t="s">
        <v>359</v>
      </c>
      <c r="I1769" s="37" t="s">
        <v>360</v>
      </c>
      <c r="J1769" s="37" t="s">
        <v>1519</v>
      </c>
      <c r="K1769" s="45" t="n">
        <v>0</v>
      </c>
      <c r="L1769" s="46" t="n">
        <v>4367.34</v>
      </c>
    </row>
    <row r="1770" customFormat="false" ht="15" hidden="false" customHeight="false" outlineLevel="0" collapsed="false">
      <c r="A1770" s="37" t="n">
        <v>502567</v>
      </c>
      <c r="B1770" s="37" t="s">
        <v>1517</v>
      </c>
      <c r="C1770" s="37" t="n">
        <v>202605</v>
      </c>
      <c r="D1770" s="37" t="s">
        <v>68</v>
      </c>
      <c r="E1770" s="37" t="s">
        <v>98</v>
      </c>
      <c r="F1770" s="37" t="s">
        <v>196</v>
      </c>
      <c r="G1770" s="37" t="s">
        <v>358</v>
      </c>
      <c r="H1770" s="37" t="s">
        <v>359</v>
      </c>
      <c r="I1770" s="37" t="s">
        <v>360</v>
      </c>
      <c r="J1770" s="37" t="s">
        <v>1520</v>
      </c>
      <c r="K1770" s="45" t="n">
        <v>0</v>
      </c>
      <c r="L1770" s="46" t="n">
        <v>2293.59</v>
      </c>
    </row>
    <row r="1771" customFormat="false" ht="15" hidden="false" customHeight="false" outlineLevel="0" collapsed="false">
      <c r="A1771" s="37" t="n">
        <v>501184</v>
      </c>
      <c r="B1771" s="37" t="s">
        <v>1521</v>
      </c>
      <c r="C1771" s="37" t="n">
        <v>202605</v>
      </c>
      <c r="D1771" s="37" t="s">
        <v>61</v>
      </c>
      <c r="E1771" s="37" t="s">
        <v>98</v>
      </c>
      <c r="F1771" s="37" t="s">
        <v>196</v>
      </c>
      <c r="G1771" s="37" t="s">
        <v>358</v>
      </c>
      <c r="H1771" s="37" t="s">
        <v>359</v>
      </c>
      <c r="I1771" s="37" t="s">
        <v>360</v>
      </c>
      <c r="J1771" s="37" t="s">
        <v>1522</v>
      </c>
      <c r="K1771" s="45" t="n">
        <v>0</v>
      </c>
      <c r="L1771" s="46" t="n">
        <v>4652.73</v>
      </c>
    </row>
    <row r="1772" customFormat="false" ht="15" hidden="false" customHeight="false" outlineLevel="0" collapsed="false">
      <c r="A1772" s="37" t="n">
        <v>501531</v>
      </c>
      <c r="B1772" s="37" t="s">
        <v>1521</v>
      </c>
      <c r="C1772" s="37" t="n">
        <v>202605</v>
      </c>
      <c r="D1772" s="37" t="s">
        <v>62</v>
      </c>
      <c r="E1772" s="37" t="s">
        <v>102</v>
      </c>
      <c r="F1772" s="37" t="s">
        <v>205</v>
      </c>
      <c r="G1772" s="37" t="s">
        <v>358</v>
      </c>
      <c r="H1772" s="37" t="s">
        <v>810</v>
      </c>
      <c r="I1772" s="37" t="s">
        <v>811</v>
      </c>
      <c r="J1772" s="37" t="s">
        <v>1523</v>
      </c>
      <c r="K1772" s="45" t="n">
        <v>0</v>
      </c>
      <c r="L1772" s="46" t="n">
        <v>862.81</v>
      </c>
    </row>
    <row r="1773" customFormat="false" ht="15" hidden="false" customHeight="false" outlineLevel="0" collapsed="false">
      <c r="A1773" s="37" t="n">
        <v>500407</v>
      </c>
      <c r="B1773" s="37" t="s">
        <v>1524</v>
      </c>
      <c r="C1773" s="37" t="n">
        <v>202605</v>
      </c>
      <c r="D1773" s="37" t="s">
        <v>58</v>
      </c>
      <c r="E1773" s="37" t="s">
        <v>109</v>
      </c>
      <c r="F1773" s="37" t="s">
        <v>201</v>
      </c>
      <c r="G1773" s="37" t="s">
        <v>358</v>
      </c>
      <c r="H1773" s="37" t="s">
        <v>928</v>
      </c>
      <c r="I1773" s="37" t="s">
        <v>929</v>
      </c>
      <c r="J1773" s="37" t="s">
        <v>1525</v>
      </c>
      <c r="K1773" s="45" t="n">
        <v>0</v>
      </c>
      <c r="L1773" s="46" t="n">
        <v>96540.66</v>
      </c>
    </row>
    <row r="1774" customFormat="false" ht="15" hidden="false" customHeight="false" outlineLevel="0" collapsed="false">
      <c r="A1774" s="37" t="n">
        <v>500425</v>
      </c>
      <c r="B1774" s="37" t="s">
        <v>1524</v>
      </c>
      <c r="C1774" s="37" t="n">
        <v>202605</v>
      </c>
      <c r="D1774" s="37" t="s">
        <v>58</v>
      </c>
      <c r="E1774" s="37" t="s">
        <v>110</v>
      </c>
      <c r="F1774" s="37" t="s">
        <v>201</v>
      </c>
      <c r="G1774" s="37" t="s">
        <v>358</v>
      </c>
      <c r="H1774" s="37" t="s">
        <v>547</v>
      </c>
      <c r="I1774" s="37" t="s">
        <v>548</v>
      </c>
      <c r="J1774" s="37" t="s">
        <v>1525</v>
      </c>
      <c r="K1774" s="45" t="n">
        <v>0</v>
      </c>
      <c r="L1774" s="46" t="n">
        <v>94279.53</v>
      </c>
    </row>
    <row r="1775" customFormat="false" ht="15" hidden="false" customHeight="false" outlineLevel="0" collapsed="false">
      <c r="A1775" s="37" t="n">
        <v>500444</v>
      </c>
      <c r="B1775" s="37" t="s">
        <v>1524</v>
      </c>
      <c r="C1775" s="37" t="n">
        <v>202605</v>
      </c>
      <c r="D1775" s="37" t="s">
        <v>58</v>
      </c>
      <c r="E1775" s="37" t="s">
        <v>111</v>
      </c>
      <c r="F1775" s="37" t="s">
        <v>201</v>
      </c>
      <c r="G1775" s="37" t="s">
        <v>358</v>
      </c>
      <c r="H1775" s="37" t="s">
        <v>549</v>
      </c>
      <c r="I1775" s="37" t="s">
        <v>550</v>
      </c>
      <c r="J1775" s="37" t="s">
        <v>1525</v>
      </c>
      <c r="K1775" s="45" t="n">
        <v>0</v>
      </c>
      <c r="L1775" s="46" t="n">
        <v>52457.11</v>
      </c>
    </row>
    <row r="1776" customFormat="false" ht="15" hidden="false" customHeight="false" outlineLevel="0" collapsed="false">
      <c r="A1776" s="37" t="n">
        <v>500737</v>
      </c>
      <c r="B1776" s="37" t="s">
        <v>1524</v>
      </c>
      <c r="C1776" s="37" t="n">
        <v>202605</v>
      </c>
      <c r="D1776" s="37" t="s">
        <v>59</v>
      </c>
      <c r="E1776" s="37" t="s">
        <v>107</v>
      </c>
      <c r="F1776" s="37" t="s">
        <v>201</v>
      </c>
      <c r="G1776" s="37" t="s">
        <v>358</v>
      </c>
      <c r="H1776" s="37" t="s">
        <v>1095</v>
      </c>
      <c r="I1776" s="37" t="s">
        <v>1096</v>
      </c>
      <c r="J1776" s="37" t="s">
        <v>1525</v>
      </c>
      <c r="K1776" s="45" t="n">
        <v>0</v>
      </c>
      <c r="L1776" s="46" t="n">
        <v>114437.34</v>
      </c>
    </row>
    <row r="1777" customFormat="false" ht="15" hidden="false" customHeight="false" outlineLevel="0" collapsed="false">
      <c r="A1777" s="37" t="n">
        <v>500754</v>
      </c>
      <c r="B1777" s="37" t="s">
        <v>1524</v>
      </c>
      <c r="C1777" s="37" t="n">
        <v>202605</v>
      </c>
      <c r="D1777" s="37" t="s">
        <v>59</v>
      </c>
      <c r="E1777" s="37" t="s">
        <v>109</v>
      </c>
      <c r="F1777" s="37" t="s">
        <v>201</v>
      </c>
      <c r="G1777" s="37" t="s">
        <v>358</v>
      </c>
      <c r="H1777" s="37" t="s">
        <v>1433</v>
      </c>
      <c r="I1777" s="37" t="s">
        <v>929</v>
      </c>
      <c r="J1777" s="37" t="s">
        <v>1525</v>
      </c>
      <c r="K1777" s="45" t="n">
        <v>0</v>
      </c>
      <c r="L1777" s="46" t="n">
        <v>82590.39</v>
      </c>
    </row>
    <row r="1778" customFormat="false" ht="15" hidden="false" customHeight="false" outlineLevel="0" collapsed="false">
      <c r="A1778" s="37" t="n">
        <v>500767</v>
      </c>
      <c r="B1778" s="37" t="s">
        <v>1524</v>
      </c>
      <c r="C1778" s="37" t="n">
        <v>202605</v>
      </c>
      <c r="D1778" s="37" t="s">
        <v>59</v>
      </c>
      <c r="E1778" s="37" t="s">
        <v>110</v>
      </c>
      <c r="F1778" s="37" t="s">
        <v>201</v>
      </c>
      <c r="G1778" s="37" t="s">
        <v>358</v>
      </c>
      <c r="H1778" s="37" t="s">
        <v>849</v>
      </c>
      <c r="I1778" s="37" t="s">
        <v>850</v>
      </c>
      <c r="J1778" s="37" t="s">
        <v>1525</v>
      </c>
      <c r="K1778" s="45" t="n">
        <v>0</v>
      </c>
      <c r="L1778" s="46" t="n">
        <v>299202.58</v>
      </c>
    </row>
    <row r="1779" customFormat="false" ht="15" hidden="false" customHeight="false" outlineLevel="0" collapsed="false">
      <c r="A1779" s="37" t="n">
        <v>500780</v>
      </c>
      <c r="B1779" s="37" t="s">
        <v>1524</v>
      </c>
      <c r="C1779" s="37" t="n">
        <v>202605</v>
      </c>
      <c r="D1779" s="37" t="s">
        <v>59</v>
      </c>
      <c r="E1779" s="37" t="s">
        <v>111</v>
      </c>
      <c r="F1779" s="37" t="s">
        <v>201</v>
      </c>
      <c r="G1779" s="37" t="s">
        <v>358</v>
      </c>
      <c r="H1779" s="37" t="s">
        <v>851</v>
      </c>
      <c r="I1779" s="37" t="s">
        <v>852</v>
      </c>
      <c r="J1779" s="37" t="s">
        <v>1525</v>
      </c>
      <c r="K1779" s="45" t="n">
        <v>0</v>
      </c>
      <c r="L1779" s="46" t="n">
        <v>320594.74</v>
      </c>
    </row>
    <row r="1780" customFormat="false" ht="15" hidden="false" customHeight="false" outlineLevel="0" collapsed="false">
      <c r="A1780" s="37" t="n">
        <v>500884</v>
      </c>
      <c r="B1780" s="37" t="s">
        <v>1524</v>
      </c>
      <c r="C1780" s="37" t="n">
        <v>202605</v>
      </c>
      <c r="D1780" s="37" t="s">
        <v>60</v>
      </c>
      <c r="E1780" s="37" t="s">
        <v>98</v>
      </c>
      <c r="F1780" s="37" t="s">
        <v>196</v>
      </c>
      <c r="G1780" s="37" t="s">
        <v>358</v>
      </c>
      <c r="H1780" s="37" t="s">
        <v>359</v>
      </c>
      <c r="I1780" s="37" t="s">
        <v>360</v>
      </c>
      <c r="J1780" s="37" t="s">
        <v>1526</v>
      </c>
      <c r="K1780" s="45" t="n">
        <v>0</v>
      </c>
      <c r="L1780" s="46" t="n">
        <v>16648.24</v>
      </c>
    </row>
    <row r="1781" customFormat="false" ht="15" hidden="false" customHeight="false" outlineLevel="0" collapsed="false">
      <c r="A1781" s="37" t="n">
        <v>501004</v>
      </c>
      <c r="B1781" s="37" t="s">
        <v>1524</v>
      </c>
      <c r="C1781" s="37" t="n">
        <v>202605</v>
      </c>
      <c r="D1781" s="37" t="s">
        <v>60</v>
      </c>
      <c r="E1781" s="37" t="s">
        <v>104</v>
      </c>
      <c r="F1781" s="37" t="s">
        <v>201</v>
      </c>
      <c r="G1781" s="37" t="s">
        <v>358</v>
      </c>
      <c r="H1781" s="37" t="s">
        <v>1097</v>
      </c>
      <c r="I1781" s="37" t="s">
        <v>1098</v>
      </c>
      <c r="J1781" s="37" t="s">
        <v>1525</v>
      </c>
      <c r="K1781" s="45" t="n">
        <v>0</v>
      </c>
      <c r="L1781" s="46" t="n">
        <v>99447.91</v>
      </c>
    </row>
    <row r="1782" customFormat="false" ht="15" hidden="false" customHeight="false" outlineLevel="0" collapsed="false">
      <c r="A1782" s="37" t="n">
        <v>501055</v>
      </c>
      <c r="B1782" s="37" t="s">
        <v>1524</v>
      </c>
      <c r="C1782" s="37" t="n">
        <v>202605</v>
      </c>
      <c r="D1782" s="37" t="s">
        <v>60</v>
      </c>
      <c r="E1782" s="37" t="s">
        <v>107</v>
      </c>
      <c r="F1782" s="37" t="s">
        <v>201</v>
      </c>
      <c r="G1782" s="37" t="s">
        <v>358</v>
      </c>
      <c r="H1782" s="37" t="s">
        <v>1253</v>
      </c>
      <c r="I1782" s="37" t="s">
        <v>1254</v>
      </c>
      <c r="J1782" s="37" t="s">
        <v>1525</v>
      </c>
      <c r="K1782" s="45" t="n">
        <v>0</v>
      </c>
      <c r="L1782" s="46" t="n">
        <v>334396.2</v>
      </c>
    </row>
    <row r="1783" customFormat="false" ht="15" hidden="false" customHeight="false" outlineLevel="0" collapsed="false">
      <c r="A1783" s="37" t="n">
        <v>501070</v>
      </c>
      <c r="B1783" s="37" t="s">
        <v>1524</v>
      </c>
      <c r="C1783" s="37" t="n">
        <v>202605</v>
      </c>
      <c r="D1783" s="37" t="s">
        <v>60</v>
      </c>
      <c r="E1783" s="37" t="s">
        <v>109</v>
      </c>
      <c r="F1783" s="37" t="s">
        <v>201</v>
      </c>
      <c r="G1783" s="37" t="s">
        <v>358</v>
      </c>
      <c r="H1783" s="37" t="s">
        <v>1527</v>
      </c>
      <c r="I1783" s="37" t="s">
        <v>1436</v>
      </c>
      <c r="J1783" s="37" t="s">
        <v>1525</v>
      </c>
      <c r="K1783" s="45" t="n">
        <v>0</v>
      </c>
      <c r="L1783" s="46" t="n">
        <v>25666.18</v>
      </c>
    </row>
    <row r="1784" customFormat="false" ht="15" hidden="false" customHeight="false" outlineLevel="0" collapsed="false">
      <c r="A1784" s="37" t="n">
        <v>501081</v>
      </c>
      <c r="B1784" s="37" t="s">
        <v>1524</v>
      </c>
      <c r="C1784" s="37" t="n">
        <v>202605</v>
      </c>
      <c r="D1784" s="37" t="s">
        <v>60</v>
      </c>
      <c r="E1784" s="37" t="s">
        <v>110</v>
      </c>
      <c r="F1784" s="37" t="s">
        <v>201</v>
      </c>
      <c r="G1784" s="37" t="s">
        <v>358</v>
      </c>
      <c r="H1784" s="37" t="s">
        <v>1010</v>
      </c>
      <c r="I1784" s="37" t="s">
        <v>548</v>
      </c>
      <c r="J1784" s="37" t="s">
        <v>1525</v>
      </c>
      <c r="K1784" s="45" t="n">
        <v>0</v>
      </c>
      <c r="L1784" s="46" t="n">
        <v>280471.88</v>
      </c>
    </row>
    <row r="1785" customFormat="false" ht="15" hidden="false" customHeight="false" outlineLevel="0" collapsed="false">
      <c r="A1785" s="37" t="n">
        <v>501092</v>
      </c>
      <c r="B1785" s="37" t="s">
        <v>1524</v>
      </c>
      <c r="C1785" s="37" t="n">
        <v>202605</v>
      </c>
      <c r="D1785" s="37" t="s">
        <v>60</v>
      </c>
      <c r="E1785" s="37" t="s">
        <v>111</v>
      </c>
      <c r="F1785" s="37" t="s">
        <v>201</v>
      </c>
      <c r="G1785" s="37" t="s">
        <v>358</v>
      </c>
      <c r="H1785" s="37" t="s">
        <v>1011</v>
      </c>
      <c r="I1785" s="37" t="s">
        <v>1012</v>
      </c>
      <c r="J1785" s="37" t="s">
        <v>1525</v>
      </c>
      <c r="K1785" s="45" t="n">
        <v>0</v>
      </c>
      <c r="L1785" s="46" t="n">
        <v>184510.58</v>
      </c>
    </row>
    <row r="1786" customFormat="false" ht="15" hidden="false" customHeight="false" outlineLevel="0" collapsed="false">
      <c r="A1786" s="37" t="n">
        <v>501182</v>
      </c>
      <c r="B1786" s="37" t="s">
        <v>1524</v>
      </c>
      <c r="C1786" s="37" t="n">
        <v>202605</v>
      </c>
      <c r="D1786" s="37" t="s">
        <v>61</v>
      </c>
      <c r="E1786" s="37" t="s">
        <v>98</v>
      </c>
      <c r="F1786" s="37" t="s">
        <v>196</v>
      </c>
      <c r="G1786" s="37" t="s">
        <v>358</v>
      </c>
      <c r="H1786" s="37" t="s">
        <v>359</v>
      </c>
      <c r="I1786" s="37" t="s">
        <v>360</v>
      </c>
      <c r="J1786" s="37" t="s">
        <v>1528</v>
      </c>
      <c r="K1786" s="45" t="n">
        <v>0</v>
      </c>
      <c r="L1786" s="46" t="n">
        <v>7238.24</v>
      </c>
    </row>
    <row r="1787" customFormat="false" ht="15" hidden="false" customHeight="false" outlineLevel="0" collapsed="false">
      <c r="A1787" s="37" t="n">
        <v>501322</v>
      </c>
      <c r="B1787" s="37" t="s">
        <v>1524</v>
      </c>
      <c r="C1787" s="37" t="n">
        <v>202605</v>
      </c>
      <c r="D1787" s="37" t="s">
        <v>61</v>
      </c>
      <c r="E1787" s="37" t="s">
        <v>107</v>
      </c>
      <c r="F1787" s="37" t="s">
        <v>201</v>
      </c>
      <c r="G1787" s="37" t="s">
        <v>358</v>
      </c>
      <c r="H1787" s="37" t="s">
        <v>1176</v>
      </c>
      <c r="I1787" s="37" t="s">
        <v>1096</v>
      </c>
      <c r="J1787" s="37" t="s">
        <v>1525</v>
      </c>
      <c r="K1787" s="45" t="n">
        <v>0</v>
      </c>
      <c r="L1787" s="46" t="n">
        <v>67296.63</v>
      </c>
    </row>
    <row r="1788" customFormat="false" ht="15" hidden="false" customHeight="false" outlineLevel="0" collapsed="false">
      <c r="A1788" s="37" t="n">
        <v>501339</v>
      </c>
      <c r="B1788" s="37" t="s">
        <v>1524</v>
      </c>
      <c r="C1788" s="37" t="n">
        <v>202605</v>
      </c>
      <c r="D1788" s="37" t="s">
        <v>61</v>
      </c>
      <c r="E1788" s="37" t="s">
        <v>109</v>
      </c>
      <c r="F1788" s="37" t="s">
        <v>201</v>
      </c>
      <c r="G1788" s="37" t="s">
        <v>358</v>
      </c>
      <c r="H1788" s="37" t="s">
        <v>1435</v>
      </c>
      <c r="I1788" s="37" t="s">
        <v>1436</v>
      </c>
      <c r="J1788" s="37" t="s">
        <v>1525</v>
      </c>
      <c r="K1788" s="45" t="n">
        <v>0</v>
      </c>
      <c r="L1788" s="46" t="n">
        <v>48041.69</v>
      </c>
    </row>
    <row r="1789" customFormat="false" ht="15" hidden="false" customHeight="false" outlineLevel="0" collapsed="false">
      <c r="A1789" s="37" t="n">
        <v>501350</v>
      </c>
      <c r="B1789" s="37" t="s">
        <v>1524</v>
      </c>
      <c r="C1789" s="37" t="n">
        <v>202605</v>
      </c>
      <c r="D1789" s="37" t="s">
        <v>61</v>
      </c>
      <c r="E1789" s="37" t="s">
        <v>110</v>
      </c>
      <c r="F1789" s="37" t="s">
        <v>201</v>
      </c>
      <c r="G1789" s="37" t="s">
        <v>358</v>
      </c>
      <c r="H1789" s="37" t="s">
        <v>1014</v>
      </c>
      <c r="I1789" s="37" t="s">
        <v>1015</v>
      </c>
      <c r="J1789" s="37" t="s">
        <v>1525</v>
      </c>
      <c r="K1789" s="45" t="n">
        <v>0</v>
      </c>
      <c r="L1789" s="46" t="n">
        <v>190847</v>
      </c>
    </row>
    <row r="1790" customFormat="false" ht="15" hidden="false" customHeight="false" outlineLevel="0" collapsed="false">
      <c r="A1790" s="37" t="n">
        <v>501361</v>
      </c>
      <c r="B1790" s="37" t="s">
        <v>1524</v>
      </c>
      <c r="C1790" s="37" t="n">
        <v>202605</v>
      </c>
      <c r="D1790" s="37" t="s">
        <v>61</v>
      </c>
      <c r="E1790" s="37" t="s">
        <v>111</v>
      </c>
      <c r="F1790" s="37" t="s">
        <v>201</v>
      </c>
      <c r="G1790" s="37" t="s">
        <v>358</v>
      </c>
      <c r="H1790" s="37" t="s">
        <v>1016</v>
      </c>
      <c r="I1790" s="37" t="s">
        <v>1017</v>
      </c>
      <c r="J1790" s="37" t="s">
        <v>1525</v>
      </c>
      <c r="K1790" s="45" t="n">
        <v>0</v>
      </c>
      <c r="L1790" s="46" t="n">
        <v>201280.85</v>
      </c>
    </row>
    <row r="1791" customFormat="false" ht="15" hidden="false" customHeight="false" outlineLevel="0" collapsed="false">
      <c r="A1791" s="37" t="n">
        <v>501553</v>
      </c>
      <c r="B1791" s="37" t="s">
        <v>1524</v>
      </c>
      <c r="C1791" s="37" t="n">
        <v>202605</v>
      </c>
      <c r="D1791" s="37" t="s">
        <v>62</v>
      </c>
      <c r="E1791" s="37" t="s">
        <v>104</v>
      </c>
      <c r="F1791" s="37" t="s">
        <v>201</v>
      </c>
      <c r="G1791" s="37" t="s">
        <v>358</v>
      </c>
      <c r="H1791" s="37" t="s">
        <v>1339</v>
      </c>
      <c r="I1791" s="37" t="s">
        <v>1340</v>
      </c>
      <c r="J1791" s="37" t="s">
        <v>1525</v>
      </c>
      <c r="K1791" s="45" t="n">
        <v>0</v>
      </c>
      <c r="L1791" s="46" t="n">
        <v>102379.69</v>
      </c>
    </row>
    <row r="1792" customFormat="false" ht="15" hidden="false" customHeight="false" outlineLevel="0" collapsed="false">
      <c r="A1792" s="37" t="n">
        <v>501562</v>
      </c>
      <c r="B1792" s="37" t="s">
        <v>1524</v>
      </c>
      <c r="C1792" s="37" t="n">
        <v>202605</v>
      </c>
      <c r="D1792" s="37" t="s">
        <v>62</v>
      </c>
      <c r="E1792" s="37" t="s">
        <v>105</v>
      </c>
      <c r="F1792" s="37" t="s">
        <v>201</v>
      </c>
      <c r="G1792" s="37" t="s">
        <v>358</v>
      </c>
      <c r="H1792" s="37" t="s">
        <v>1178</v>
      </c>
      <c r="I1792" s="37" t="s">
        <v>1179</v>
      </c>
      <c r="J1792" s="37" t="s">
        <v>1525</v>
      </c>
      <c r="K1792" s="45" t="n">
        <v>0</v>
      </c>
      <c r="L1792" s="46" t="n">
        <v>763995.67</v>
      </c>
    </row>
    <row r="1793" customFormat="false" ht="15" hidden="false" customHeight="false" outlineLevel="0" collapsed="false">
      <c r="A1793" s="37" t="n">
        <v>501593</v>
      </c>
      <c r="B1793" s="37" t="s">
        <v>1524</v>
      </c>
      <c r="C1793" s="37" t="n">
        <v>202605</v>
      </c>
      <c r="D1793" s="37" t="s">
        <v>62</v>
      </c>
      <c r="E1793" s="37" t="s">
        <v>107</v>
      </c>
      <c r="F1793" s="37" t="s">
        <v>201</v>
      </c>
      <c r="G1793" s="37" t="s">
        <v>358</v>
      </c>
      <c r="H1793" s="37" t="s">
        <v>1529</v>
      </c>
      <c r="I1793" s="37" t="s">
        <v>1530</v>
      </c>
      <c r="J1793" s="37" t="s">
        <v>1525</v>
      </c>
      <c r="K1793" s="45" t="n">
        <v>0</v>
      </c>
      <c r="L1793" s="46" t="n">
        <v>4924.04</v>
      </c>
    </row>
    <row r="1794" customFormat="false" ht="15" hidden="false" customHeight="false" outlineLevel="0" collapsed="false">
      <c r="A1794" s="37" t="n">
        <v>501604</v>
      </c>
      <c r="B1794" s="37" t="s">
        <v>1524</v>
      </c>
      <c r="C1794" s="37" t="n">
        <v>202605</v>
      </c>
      <c r="D1794" s="37" t="s">
        <v>62</v>
      </c>
      <c r="E1794" s="37" t="s">
        <v>110</v>
      </c>
      <c r="F1794" s="37" t="s">
        <v>201</v>
      </c>
      <c r="G1794" s="37" t="s">
        <v>358</v>
      </c>
      <c r="H1794" s="37" t="s">
        <v>1257</v>
      </c>
      <c r="I1794" s="37" t="s">
        <v>548</v>
      </c>
      <c r="J1794" s="37" t="s">
        <v>1525</v>
      </c>
      <c r="K1794" s="45" t="n">
        <v>0</v>
      </c>
      <c r="L1794" s="46" t="n">
        <v>163813.72</v>
      </c>
    </row>
    <row r="1795" customFormat="false" ht="15" hidden="false" customHeight="false" outlineLevel="0" collapsed="false">
      <c r="A1795" s="37" t="n">
        <v>501612</v>
      </c>
      <c r="B1795" s="37" t="s">
        <v>1524</v>
      </c>
      <c r="C1795" s="37" t="n">
        <v>202605</v>
      </c>
      <c r="D1795" s="37" t="s">
        <v>62</v>
      </c>
      <c r="E1795" s="37" t="s">
        <v>111</v>
      </c>
      <c r="F1795" s="37" t="s">
        <v>201</v>
      </c>
      <c r="G1795" s="37" t="s">
        <v>358</v>
      </c>
      <c r="H1795" s="37" t="s">
        <v>1258</v>
      </c>
      <c r="I1795" s="37" t="s">
        <v>1259</v>
      </c>
      <c r="J1795" s="37" t="s">
        <v>1525</v>
      </c>
      <c r="K1795" s="45" t="n">
        <v>0</v>
      </c>
      <c r="L1795" s="46" t="n">
        <v>118552.36</v>
      </c>
    </row>
    <row r="1796" customFormat="false" ht="15" hidden="false" customHeight="false" outlineLevel="0" collapsed="false">
      <c r="A1796" s="37" t="n">
        <v>501785</v>
      </c>
      <c r="B1796" s="37" t="s">
        <v>1524</v>
      </c>
      <c r="C1796" s="37" t="n">
        <v>202605</v>
      </c>
      <c r="D1796" s="37" t="s">
        <v>63</v>
      </c>
      <c r="E1796" s="37" t="s">
        <v>104</v>
      </c>
      <c r="F1796" s="37" t="s">
        <v>201</v>
      </c>
      <c r="G1796" s="37" t="s">
        <v>358</v>
      </c>
      <c r="H1796" s="37" t="s">
        <v>1261</v>
      </c>
      <c r="I1796" s="37" t="s">
        <v>1098</v>
      </c>
      <c r="J1796" s="37" t="s">
        <v>1525</v>
      </c>
      <c r="K1796" s="45" t="n">
        <v>0</v>
      </c>
      <c r="L1796" s="46" t="n">
        <v>146220.87</v>
      </c>
    </row>
    <row r="1797" customFormat="false" ht="15" hidden="false" customHeight="false" outlineLevel="0" collapsed="false">
      <c r="A1797" s="37" t="n">
        <v>501792</v>
      </c>
      <c r="B1797" s="37" t="s">
        <v>1524</v>
      </c>
      <c r="C1797" s="37" t="n">
        <v>202605</v>
      </c>
      <c r="D1797" s="37" t="s">
        <v>63</v>
      </c>
      <c r="E1797" s="37" t="s">
        <v>105</v>
      </c>
      <c r="F1797" s="37" t="s">
        <v>201</v>
      </c>
      <c r="G1797" s="37" t="s">
        <v>358</v>
      </c>
      <c r="H1797" s="37" t="s">
        <v>1100</v>
      </c>
      <c r="I1797" s="37" t="s">
        <v>1101</v>
      </c>
      <c r="J1797" s="37" t="s">
        <v>1525</v>
      </c>
      <c r="K1797" s="45" t="n">
        <v>0</v>
      </c>
      <c r="L1797" s="46" t="n">
        <v>21358.53</v>
      </c>
    </row>
    <row r="1798" customFormat="false" ht="15" hidden="false" customHeight="false" outlineLevel="0" collapsed="false">
      <c r="A1798" s="37" t="n">
        <v>501821</v>
      </c>
      <c r="B1798" s="37" t="s">
        <v>1524</v>
      </c>
      <c r="C1798" s="37" t="n">
        <v>202605</v>
      </c>
      <c r="D1798" s="37" t="s">
        <v>63</v>
      </c>
      <c r="E1798" s="37" t="s">
        <v>107</v>
      </c>
      <c r="F1798" s="37" t="s">
        <v>201</v>
      </c>
      <c r="G1798" s="37" t="s">
        <v>358</v>
      </c>
      <c r="H1798" s="37" t="s">
        <v>1341</v>
      </c>
      <c r="I1798" s="37" t="s">
        <v>1096</v>
      </c>
      <c r="J1798" s="37" t="s">
        <v>1525</v>
      </c>
      <c r="K1798" s="45" t="n">
        <v>0</v>
      </c>
      <c r="L1798" s="46" t="n">
        <v>172561.66</v>
      </c>
    </row>
    <row r="1799" customFormat="false" ht="15" hidden="false" customHeight="false" outlineLevel="0" collapsed="false">
      <c r="A1799" s="37" t="n">
        <v>501841</v>
      </c>
      <c r="B1799" s="37" t="s">
        <v>1524</v>
      </c>
      <c r="C1799" s="37" t="n">
        <v>202605</v>
      </c>
      <c r="D1799" s="37" t="s">
        <v>63</v>
      </c>
      <c r="E1799" s="37" t="s">
        <v>110</v>
      </c>
      <c r="F1799" s="37" t="s">
        <v>201</v>
      </c>
      <c r="G1799" s="37" t="s">
        <v>358</v>
      </c>
      <c r="H1799" s="37" t="s">
        <v>1180</v>
      </c>
      <c r="I1799" s="37" t="s">
        <v>1181</v>
      </c>
      <c r="J1799" s="37" t="s">
        <v>1525</v>
      </c>
      <c r="K1799" s="45" t="n">
        <v>0</v>
      </c>
      <c r="L1799" s="46" t="n">
        <v>224830.74</v>
      </c>
    </row>
    <row r="1800" customFormat="false" ht="15" hidden="false" customHeight="false" outlineLevel="0" collapsed="false">
      <c r="A1800" s="37" t="n">
        <v>501850</v>
      </c>
      <c r="B1800" s="37" t="s">
        <v>1524</v>
      </c>
      <c r="C1800" s="37" t="n">
        <v>202605</v>
      </c>
      <c r="D1800" s="37" t="s">
        <v>63</v>
      </c>
      <c r="E1800" s="37" t="s">
        <v>111</v>
      </c>
      <c r="F1800" s="37" t="s">
        <v>201</v>
      </c>
      <c r="G1800" s="37" t="s">
        <v>358</v>
      </c>
      <c r="H1800" s="37" t="s">
        <v>1182</v>
      </c>
      <c r="I1800" s="37" t="s">
        <v>852</v>
      </c>
      <c r="J1800" s="37" t="s">
        <v>1525</v>
      </c>
      <c r="K1800" s="45" t="n">
        <v>0</v>
      </c>
      <c r="L1800" s="46" t="n">
        <v>130616.12</v>
      </c>
    </row>
    <row r="1801" customFormat="false" ht="15" hidden="false" customHeight="false" outlineLevel="0" collapsed="false">
      <c r="A1801" s="37" t="n">
        <v>502019</v>
      </c>
      <c r="B1801" s="37" t="s">
        <v>1524</v>
      </c>
      <c r="C1801" s="37" t="n">
        <v>202605</v>
      </c>
      <c r="D1801" s="37" t="s">
        <v>64</v>
      </c>
      <c r="E1801" s="37" t="s">
        <v>104</v>
      </c>
      <c r="F1801" s="37" t="s">
        <v>201</v>
      </c>
      <c r="G1801" s="37" t="s">
        <v>358</v>
      </c>
      <c r="H1801" s="37" t="s">
        <v>1439</v>
      </c>
      <c r="I1801" s="37" t="s">
        <v>1340</v>
      </c>
      <c r="J1801" s="37" t="s">
        <v>1525</v>
      </c>
      <c r="K1801" s="45" t="n">
        <v>0</v>
      </c>
      <c r="L1801" s="46" t="n">
        <v>135805.9</v>
      </c>
    </row>
    <row r="1802" customFormat="false" ht="15" hidden="false" customHeight="false" outlineLevel="0" collapsed="false">
      <c r="A1802" s="37" t="n">
        <v>502027</v>
      </c>
      <c r="B1802" s="37" t="s">
        <v>1524</v>
      </c>
      <c r="C1802" s="37" t="n">
        <v>202605</v>
      </c>
      <c r="D1802" s="37" t="s">
        <v>64</v>
      </c>
      <c r="E1802" s="37" t="s">
        <v>105</v>
      </c>
      <c r="F1802" s="37" t="s">
        <v>201</v>
      </c>
      <c r="G1802" s="37" t="s">
        <v>358</v>
      </c>
      <c r="H1802" s="37" t="s">
        <v>1262</v>
      </c>
      <c r="I1802" s="37" t="s">
        <v>796</v>
      </c>
      <c r="J1802" s="37" t="s">
        <v>1525</v>
      </c>
      <c r="K1802" s="45" t="n">
        <v>0</v>
      </c>
      <c r="L1802" s="46" t="n">
        <v>233777.99</v>
      </c>
    </row>
    <row r="1803" customFormat="false" ht="15" hidden="false" customHeight="false" outlineLevel="0" collapsed="false">
      <c r="A1803" s="37" t="n">
        <v>502064</v>
      </c>
      <c r="B1803" s="37" t="s">
        <v>1524</v>
      </c>
      <c r="C1803" s="37" t="n">
        <v>202605</v>
      </c>
      <c r="D1803" s="37" t="s">
        <v>64</v>
      </c>
      <c r="E1803" s="37" t="s">
        <v>110</v>
      </c>
      <c r="F1803" s="37" t="s">
        <v>201</v>
      </c>
      <c r="G1803" s="37" t="s">
        <v>358</v>
      </c>
      <c r="H1803" s="37" t="s">
        <v>1342</v>
      </c>
      <c r="I1803" s="37" t="s">
        <v>1343</v>
      </c>
      <c r="J1803" s="37" t="s">
        <v>1525</v>
      </c>
      <c r="K1803" s="45" t="n">
        <v>0</v>
      </c>
      <c r="L1803" s="46" t="n">
        <v>94894.36</v>
      </c>
    </row>
    <row r="1804" customFormat="false" ht="15" hidden="false" customHeight="false" outlineLevel="0" collapsed="false">
      <c r="A1804" s="37" t="n">
        <v>502071</v>
      </c>
      <c r="B1804" s="37" t="s">
        <v>1524</v>
      </c>
      <c r="C1804" s="37" t="n">
        <v>202605</v>
      </c>
      <c r="D1804" s="37" t="s">
        <v>64</v>
      </c>
      <c r="E1804" s="37" t="s">
        <v>111</v>
      </c>
      <c r="F1804" s="37" t="s">
        <v>201</v>
      </c>
      <c r="G1804" s="37" t="s">
        <v>358</v>
      </c>
      <c r="H1804" s="37" t="s">
        <v>1344</v>
      </c>
      <c r="I1804" s="37" t="s">
        <v>1345</v>
      </c>
      <c r="J1804" s="37" t="s">
        <v>1525</v>
      </c>
      <c r="K1804" s="45" t="n">
        <v>0</v>
      </c>
      <c r="L1804" s="46" t="n">
        <v>64569.18</v>
      </c>
    </row>
    <row r="1805" customFormat="false" ht="15" hidden="false" customHeight="false" outlineLevel="0" collapsed="false">
      <c r="A1805" s="37" t="n">
        <v>502218</v>
      </c>
      <c r="B1805" s="37" t="s">
        <v>1524</v>
      </c>
      <c r="C1805" s="37" t="n">
        <v>202605</v>
      </c>
      <c r="D1805" s="37" t="s">
        <v>65</v>
      </c>
      <c r="E1805" s="37" t="s">
        <v>105</v>
      </c>
      <c r="F1805" s="37" t="s">
        <v>201</v>
      </c>
      <c r="G1805" s="37" t="s">
        <v>358</v>
      </c>
      <c r="H1805" s="37" t="s">
        <v>1346</v>
      </c>
      <c r="I1805" s="37" t="s">
        <v>934</v>
      </c>
      <c r="J1805" s="37" t="s">
        <v>1525</v>
      </c>
      <c r="K1805" s="45" t="n">
        <v>0</v>
      </c>
      <c r="L1805" s="46" t="n">
        <v>897874.6</v>
      </c>
    </row>
    <row r="1806" customFormat="false" ht="15" hidden="false" customHeight="false" outlineLevel="0" collapsed="false">
      <c r="A1806" s="37" t="n">
        <v>502255</v>
      </c>
      <c r="B1806" s="37" t="s">
        <v>1524</v>
      </c>
      <c r="C1806" s="37" t="n">
        <v>202605</v>
      </c>
      <c r="D1806" s="37" t="s">
        <v>65</v>
      </c>
      <c r="E1806" s="37" t="s">
        <v>110</v>
      </c>
      <c r="F1806" s="37" t="s">
        <v>201</v>
      </c>
      <c r="G1806" s="37" t="s">
        <v>358</v>
      </c>
      <c r="H1806" s="37" t="s">
        <v>1347</v>
      </c>
      <c r="I1806" s="37" t="s">
        <v>1181</v>
      </c>
      <c r="J1806" s="37" t="s">
        <v>1525</v>
      </c>
      <c r="K1806" s="45" t="n">
        <v>0</v>
      </c>
      <c r="L1806" s="46" t="n">
        <v>152936.61</v>
      </c>
    </row>
    <row r="1807" customFormat="false" ht="15" hidden="false" customHeight="false" outlineLevel="0" collapsed="false">
      <c r="A1807" s="37" t="n">
        <v>502262</v>
      </c>
      <c r="B1807" s="37" t="s">
        <v>1524</v>
      </c>
      <c r="C1807" s="37" t="n">
        <v>202605</v>
      </c>
      <c r="D1807" s="37" t="s">
        <v>65</v>
      </c>
      <c r="E1807" s="37" t="s">
        <v>111</v>
      </c>
      <c r="F1807" s="37" t="s">
        <v>201</v>
      </c>
      <c r="G1807" s="37" t="s">
        <v>358</v>
      </c>
      <c r="H1807" s="37" t="s">
        <v>1348</v>
      </c>
      <c r="I1807" s="37" t="s">
        <v>1017</v>
      </c>
      <c r="J1807" s="37" t="s">
        <v>1525</v>
      </c>
      <c r="K1807" s="45" t="n">
        <v>0</v>
      </c>
      <c r="L1807" s="46" t="n">
        <v>124059.72</v>
      </c>
    </row>
    <row r="1808" customFormat="false" ht="15" hidden="false" customHeight="false" outlineLevel="0" collapsed="false">
      <c r="A1808" s="37" t="n">
        <v>502339</v>
      </c>
      <c r="B1808" s="37" t="s">
        <v>1524</v>
      </c>
      <c r="C1808" s="37" t="n">
        <v>202605</v>
      </c>
      <c r="D1808" s="37" t="s">
        <v>66</v>
      </c>
      <c r="E1808" s="37" t="s">
        <v>100</v>
      </c>
      <c r="F1808" s="37" t="s">
        <v>201</v>
      </c>
      <c r="G1808" s="37" t="s">
        <v>358</v>
      </c>
      <c r="H1808" s="37" t="s">
        <v>1185</v>
      </c>
      <c r="I1808" s="37" t="s">
        <v>370</v>
      </c>
      <c r="J1808" s="37" t="s">
        <v>1525</v>
      </c>
      <c r="K1808" s="45" t="n">
        <v>0</v>
      </c>
      <c r="L1808" s="46" t="n">
        <v>117602.42</v>
      </c>
    </row>
    <row r="1809" customFormat="false" ht="15" hidden="false" customHeight="false" outlineLevel="0" collapsed="false">
      <c r="A1809" s="37" t="n">
        <v>502474</v>
      </c>
      <c r="B1809" s="37" t="s">
        <v>1524</v>
      </c>
      <c r="C1809" s="37" t="n">
        <v>202605</v>
      </c>
      <c r="D1809" s="37" t="s">
        <v>67</v>
      </c>
      <c r="E1809" s="37" t="s">
        <v>100</v>
      </c>
      <c r="F1809" s="37" t="s">
        <v>201</v>
      </c>
      <c r="G1809" s="37" t="s">
        <v>358</v>
      </c>
      <c r="H1809" s="37" t="s">
        <v>1350</v>
      </c>
      <c r="I1809" s="37" t="s">
        <v>646</v>
      </c>
      <c r="J1809" s="37" t="s">
        <v>1525</v>
      </c>
      <c r="K1809" s="45" t="n">
        <v>0</v>
      </c>
      <c r="L1809" s="46" t="n">
        <v>323803.74</v>
      </c>
    </row>
    <row r="1810" customFormat="false" ht="15" hidden="false" customHeight="false" outlineLevel="0" collapsed="false">
      <c r="A1810" s="37" t="n">
        <v>502580</v>
      </c>
      <c r="B1810" s="37" t="s">
        <v>1524</v>
      </c>
      <c r="C1810" s="37" t="n">
        <v>202605</v>
      </c>
      <c r="D1810" s="37" t="s">
        <v>68</v>
      </c>
      <c r="E1810" s="37" t="s">
        <v>100</v>
      </c>
      <c r="F1810" s="37" t="s">
        <v>201</v>
      </c>
      <c r="G1810" s="37" t="s">
        <v>358</v>
      </c>
      <c r="H1810" s="37" t="s">
        <v>1531</v>
      </c>
      <c r="I1810" s="37" t="s">
        <v>370</v>
      </c>
      <c r="J1810" s="37" t="s">
        <v>1525</v>
      </c>
      <c r="K1810" s="45" t="n">
        <v>0</v>
      </c>
      <c r="L1810" s="46" t="n">
        <v>64180.67</v>
      </c>
    </row>
    <row r="1811" customFormat="false" ht="15" hidden="false" customHeight="false" outlineLevel="0" collapsed="false">
      <c r="A1811" s="37" t="n">
        <v>501060</v>
      </c>
      <c r="B1811" s="37" t="s">
        <v>1532</v>
      </c>
      <c r="C1811" s="37" t="n">
        <v>202605</v>
      </c>
      <c r="D1811" s="37" t="s">
        <v>60</v>
      </c>
      <c r="E1811" s="37" t="s">
        <v>108</v>
      </c>
      <c r="F1811" s="37" t="s">
        <v>205</v>
      </c>
      <c r="G1811" s="37" t="s">
        <v>358</v>
      </c>
      <c r="H1811" s="37" t="s">
        <v>1488</v>
      </c>
      <c r="I1811" s="37" t="s">
        <v>1489</v>
      </c>
      <c r="J1811" s="37" t="s">
        <v>1533</v>
      </c>
      <c r="K1811" s="45" t="n">
        <v>0</v>
      </c>
      <c r="L1811" s="46" t="n">
        <v>2154.75</v>
      </c>
    </row>
    <row r="1812" customFormat="false" ht="15" hidden="false" customHeight="false" outlineLevel="0" collapsed="false">
      <c r="A1812" s="37" t="n">
        <v>500104</v>
      </c>
      <c r="B1812" s="37" t="s">
        <v>1534</v>
      </c>
      <c r="C1812" s="37" t="n">
        <v>202605</v>
      </c>
      <c r="D1812" s="37" t="s">
        <v>58</v>
      </c>
      <c r="E1812" s="37" t="s">
        <v>97</v>
      </c>
      <c r="F1812" s="37" t="s">
        <v>194</v>
      </c>
      <c r="G1812" s="37" t="s">
        <v>354</v>
      </c>
      <c r="H1812" s="37"/>
      <c r="I1812" s="37" t="s">
        <v>355</v>
      </c>
      <c r="J1812" s="37" t="s">
        <v>1535</v>
      </c>
      <c r="K1812" s="45" t="n">
        <v>41.7</v>
      </c>
      <c r="L1812" s="46" t="n">
        <v>3839.38</v>
      </c>
    </row>
    <row r="1813" customFormat="false" ht="15" hidden="false" customHeight="false" outlineLevel="0" collapsed="false">
      <c r="A1813" s="37" t="n">
        <v>500512</v>
      </c>
      <c r="B1813" s="37" t="s">
        <v>1534</v>
      </c>
      <c r="C1813" s="37" t="n">
        <v>202605</v>
      </c>
      <c r="D1813" s="37" t="s">
        <v>59</v>
      </c>
      <c r="E1813" s="37" t="s">
        <v>97</v>
      </c>
      <c r="F1813" s="37" t="s">
        <v>194</v>
      </c>
      <c r="G1813" s="37" t="s">
        <v>354</v>
      </c>
      <c r="H1813" s="37"/>
      <c r="I1813" s="37" t="s">
        <v>355</v>
      </c>
      <c r="J1813" s="37" t="s">
        <v>1535</v>
      </c>
      <c r="K1813" s="45" t="n">
        <v>66.5</v>
      </c>
      <c r="L1813" s="46" t="n">
        <v>6115.87</v>
      </c>
    </row>
    <row r="1814" customFormat="false" ht="15" hidden="false" customHeight="false" outlineLevel="0" collapsed="false">
      <c r="A1814" s="37" t="n">
        <v>500714</v>
      </c>
      <c r="B1814" s="37" t="s">
        <v>1534</v>
      </c>
      <c r="C1814" s="37" t="n">
        <v>202605</v>
      </c>
      <c r="D1814" s="37" t="s">
        <v>59</v>
      </c>
      <c r="E1814" s="37" t="s">
        <v>106</v>
      </c>
      <c r="F1814" s="37" t="s">
        <v>194</v>
      </c>
      <c r="G1814" s="37" t="s">
        <v>354</v>
      </c>
      <c r="H1814" s="37"/>
      <c r="I1814" s="37" t="s">
        <v>355</v>
      </c>
      <c r="J1814" s="37" t="s">
        <v>1535</v>
      </c>
      <c r="K1814" s="45" t="n">
        <v>254.3</v>
      </c>
      <c r="L1814" s="46" t="n">
        <v>18057.63</v>
      </c>
    </row>
    <row r="1815" customFormat="false" ht="15" hidden="false" customHeight="false" outlineLevel="0" collapsed="false">
      <c r="A1815" s="37" t="n">
        <v>500841</v>
      </c>
      <c r="B1815" s="37" t="s">
        <v>1534</v>
      </c>
      <c r="C1815" s="37" t="n">
        <v>202605</v>
      </c>
      <c r="D1815" s="37" t="s">
        <v>60</v>
      </c>
      <c r="E1815" s="37" t="s">
        <v>97</v>
      </c>
      <c r="F1815" s="37" t="s">
        <v>194</v>
      </c>
      <c r="G1815" s="37" t="s">
        <v>354</v>
      </c>
      <c r="H1815" s="37"/>
      <c r="I1815" s="37" t="s">
        <v>355</v>
      </c>
      <c r="J1815" s="37" t="s">
        <v>1535</v>
      </c>
      <c r="K1815" s="45" t="n">
        <v>188.7</v>
      </c>
      <c r="L1815" s="46" t="n">
        <v>17357.14</v>
      </c>
    </row>
    <row r="1816" customFormat="false" ht="15" hidden="false" customHeight="false" outlineLevel="0" collapsed="false">
      <c r="A1816" s="37" t="n">
        <v>501034</v>
      </c>
      <c r="B1816" s="37" t="s">
        <v>1534</v>
      </c>
      <c r="C1816" s="37" t="n">
        <v>202605</v>
      </c>
      <c r="D1816" s="37" t="s">
        <v>60</v>
      </c>
      <c r="E1816" s="37" t="s">
        <v>106</v>
      </c>
      <c r="F1816" s="37" t="s">
        <v>194</v>
      </c>
      <c r="G1816" s="37" t="s">
        <v>354</v>
      </c>
      <c r="H1816" s="37"/>
      <c r="I1816" s="37" t="s">
        <v>355</v>
      </c>
      <c r="J1816" s="37" t="s">
        <v>1535</v>
      </c>
      <c r="K1816" s="45" t="n">
        <v>422</v>
      </c>
      <c r="L1816" s="46" t="n">
        <v>29960.86</v>
      </c>
    </row>
    <row r="1817" customFormat="false" ht="15" hidden="false" customHeight="false" outlineLevel="0" collapsed="false">
      <c r="A1817" s="37" t="n">
        <v>501148</v>
      </c>
      <c r="B1817" s="37" t="s">
        <v>1534</v>
      </c>
      <c r="C1817" s="37" t="n">
        <v>202605</v>
      </c>
      <c r="D1817" s="37" t="s">
        <v>61</v>
      </c>
      <c r="E1817" s="37" t="s">
        <v>97</v>
      </c>
      <c r="F1817" s="37" t="s">
        <v>194</v>
      </c>
      <c r="G1817" s="37" t="s">
        <v>354</v>
      </c>
      <c r="H1817" s="37"/>
      <c r="I1817" s="37" t="s">
        <v>355</v>
      </c>
      <c r="J1817" s="37" t="s">
        <v>1535</v>
      </c>
      <c r="K1817" s="45" t="n">
        <v>242.2</v>
      </c>
      <c r="L1817" s="46" t="n">
        <v>22279.09</v>
      </c>
    </row>
    <row r="1818" customFormat="false" ht="15" hidden="false" customHeight="false" outlineLevel="0" collapsed="false">
      <c r="A1818" s="37" t="n">
        <v>501308</v>
      </c>
      <c r="B1818" s="37" t="s">
        <v>1534</v>
      </c>
      <c r="C1818" s="37" t="n">
        <v>202605</v>
      </c>
      <c r="D1818" s="37" t="s">
        <v>61</v>
      </c>
      <c r="E1818" s="37" t="s">
        <v>106</v>
      </c>
      <c r="F1818" s="37" t="s">
        <v>194</v>
      </c>
      <c r="G1818" s="37" t="s">
        <v>354</v>
      </c>
      <c r="H1818" s="37"/>
      <c r="I1818" s="37" t="s">
        <v>355</v>
      </c>
      <c r="J1818" s="37" t="s">
        <v>1535</v>
      </c>
      <c r="K1818" s="45" t="n">
        <v>143.5</v>
      </c>
      <c r="L1818" s="46" t="n">
        <v>10191.53</v>
      </c>
    </row>
    <row r="1819" customFormat="false" ht="15" hidden="false" customHeight="false" outlineLevel="0" collapsed="false">
      <c r="A1819" s="37" t="n">
        <v>501409</v>
      </c>
      <c r="B1819" s="37" t="s">
        <v>1534</v>
      </c>
      <c r="C1819" s="37" t="n">
        <v>202605</v>
      </c>
      <c r="D1819" s="37" t="s">
        <v>62</v>
      </c>
      <c r="E1819" s="37" t="s">
        <v>97</v>
      </c>
      <c r="F1819" s="37" t="s">
        <v>194</v>
      </c>
      <c r="G1819" s="37" t="s">
        <v>354</v>
      </c>
      <c r="H1819" s="37"/>
      <c r="I1819" s="37" t="s">
        <v>355</v>
      </c>
      <c r="J1819" s="37" t="s">
        <v>1535</v>
      </c>
      <c r="K1819" s="45" t="n">
        <v>306.3</v>
      </c>
      <c r="L1819" s="46" t="n">
        <v>28184.05</v>
      </c>
    </row>
    <row r="1820" customFormat="false" ht="15" hidden="false" customHeight="false" outlineLevel="0" collapsed="false">
      <c r="A1820" s="37" t="n">
        <v>501513</v>
      </c>
      <c r="B1820" s="37" t="s">
        <v>1534</v>
      </c>
      <c r="C1820" s="37" t="n">
        <v>202605</v>
      </c>
      <c r="D1820" s="37" t="s">
        <v>62</v>
      </c>
      <c r="E1820" s="37" t="s">
        <v>101</v>
      </c>
      <c r="F1820" s="37" t="s">
        <v>194</v>
      </c>
      <c r="G1820" s="37" t="s">
        <v>354</v>
      </c>
      <c r="H1820" s="37"/>
      <c r="I1820" s="37" t="s">
        <v>355</v>
      </c>
      <c r="J1820" s="37" t="s">
        <v>1535</v>
      </c>
      <c r="K1820" s="45" t="n">
        <v>98.9</v>
      </c>
      <c r="L1820" s="46" t="n">
        <v>7317.97</v>
      </c>
    </row>
    <row r="1821" customFormat="false" ht="15" hidden="false" customHeight="false" outlineLevel="0" collapsed="false">
      <c r="A1821" s="37" t="n">
        <v>501575</v>
      </c>
      <c r="B1821" s="37" t="s">
        <v>1534</v>
      </c>
      <c r="C1821" s="37" t="n">
        <v>202605</v>
      </c>
      <c r="D1821" s="37" t="s">
        <v>62</v>
      </c>
      <c r="E1821" s="37" t="s">
        <v>106</v>
      </c>
      <c r="F1821" s="37" t="s">
        <v>194</v>
      </c>
      <c r="G1821" s="37" t="s">
        <v>354</v>
      </c>
      <c r="H1821" s="37"/>
      <c r="I1821" s="37" t="s">
        <v>355</v>
      </c>
      <c r="J1821" s="37" t="s">
        <v>1535</v>
      </c>
      <c r="K1821" s="45" t="n">
        <v>103.7</v>
      </c>
      <c r="L1821" s="46" t="n">
        <v>7363.26</v>
      </c>
    </row>
    <row r="1822" customFormat="false" ht="15" hidden="false" customHeight="false" outlineLevel="0" collapsed="false">
      <c r="A1822" s="37" t="n">
        <v>501655</v>
      </c>
      <c r="B1822" s="37" t="s">
        <v>1534</v>
      </c>
      <c r="C1822" s="37" t="n">
        <v>202605</v>
      </c>
      <c r="D1822" s="37" t="s">
        <v>63</v>
      </c>
      <c r="E1822" s="37" t="s">
        <v>97</v>
      </c>
      <c r="F1822" s="37" t="s">
        <v>194</v>
      </c>
      <c r="G1822" s="37" t="s">
        <v>354</v>
      </c>
      <c r="H1822" s="37"/>
      <c r="I1822" s="37" t="s">
        <v>355</v>
      </c>
      <c r="J1822" s="37" t="s">
        <v>1535</v>
      </c>
      <c r="K1822" s="45" t="n">
        <v>250</v>
      </c>
      <c r="L1822" s="46" t="n">
        <v>23003.86</v>
      </c>
    </row>
    <row r="1823" customFormat="false" ht="15" hidden="false" customHeight="false" outlineLevel="0" collapsed="false">
      <c r="A1823" s="37" t="n">
        <v>501805</v>
      </c>
      <c r="B1823" s="37" t="s">
        <v>1534</v>
      </c>
      <c r="C1823" s="37" t="n">
        <v>202605</v>
      </c>
      <c r="D1823" s="37" t="s">
        <v>63</v>
      </c>
      <c r="E1823" s="37" t="s">
        <v>106</v>
      </c>
      <c r="F1823" s="37" t="s">
        <v>194</v>
      </c>
      <c r="G1823" s="37" t="s">
        <v>354</v>
      </c>
      <c r="H1823" s="37"/>
      <c r="I1823" s="37" t="s">
        <v>355</v>
      </c>
      <c r="J1823" s="37" t="s">
        <v>1535</v>
      </c>
      <c r="K1823" s="45" t="n">
        <v>199.4</v>
      </c>
      <c r="L1823" s="46" t="n">
        <v>14157.26</v>
      </c>
    </row>
    <row r="1824" customFormat="false" ht="15" hidden="false" customHeight="false" outlineLevel="0" collapsed="false">
      <c r="A1824" s="37" t="n">
        <v>501889</v>
      </c>
      <c r="B1824" s="37" t="s">
        <v>1534</v>
      </c>
      <c r="C1824" s="37" t="n">
        <v>202605</v>
      </c>
      <c r="D1824" s="37" t="s">
        <v>64</v>
      </c>
      <c r="E1824" s="37" t="s">
        <v>97</v>
      </c>
      <c r="F1824" s="37" t="s">
        <v>194</v>
      </c>
      <c r="G1824" s="37" t="s">
        <v>354</v>
      </c>
      <c r="H1824" s="37"/>
      <c r="I1824" s="37" t="s">
        <v>355</v>
      </c>
      <c r="J1824" s="37" t="s">
        <v>1535</v>
      </c>
      <c r="K1824" s="45" t="n">
        <v>132.4</v>
      </c>
      <c r="L1824" s="46" t="n">
        <v>12185.3</v>
      </c>
    </row>
    <row r="1825" customFormat="false" ht="15" hidden="false" customHeight="false" outlineLevel="0" collapsed="false">
      <c r="A1825" s="37" t="n">
        <v>501979</v>
      </c>
      <c r="B1825" s="37" t="s">
        <v>1534</v>
      </c>
      <c r="C1825" s="37" t="n">
        <v>202605</v>
      </c>
      <c r="D1825" s="37" t="s">
        <v>64</v>
      </c>
      <c r="E1825" s="37" t="s">
        <v>101</v>
      </c>
      <c r="F1825" s="37" t="s">
        <v>194</v>
      </c>
      <c r="G1825" s="37" t="s">
        <v>354</v>
      </c>
      <c r="H1825" s="37"/>
      <c r="I1825" s="37" t="s">
        <v>355</v>
      </c>
      <c r="J1825" s="37" t="s">
        <v>1535</v>
      </c>
      <c r="K1825" s="45" t="n">
        <v>225.4</v>
      </c>
      <c r="L1825" s="46" t="n">
        <v>16683.17</v>
      </c>
    </row>
    <row r="1826" customFormat="false" ht="15" hidden="false" customHeight="false" outlineLevel="0" collapsed="false">
      <c r="A1826" s="37" t="n">
        <v>502034</v>
      </c>
      <c r="B1826" s="37" t="s">
        <v>1534</v>
      </c>
      <c r="C1826" s="37" t="n">
        <v>202605</v>
      </c>
      <c r="D1826" s="37" t="s">
        <v>64</v>
      </c>
      <c r="E1826" s="37" t="s">
        <v>106</v>
      </c>
      <c r="F1826" s="37" t="s">
        <v>194</v>
      </c>
      <c r="G1826" s="37" t="s">
        <v>354</v>
      </c>
      <c r="H1826" s="37"/>
      <c r="I1826" s="37" t="s">
        <v>355</v>
      </c>
      <c r="J1826" s="37" t="s">
        <v>1535</v>
      </c>
      <c r="K1826" s="45" t="n">
        <v>19.3</v>
      </c>
      <c r="L1826" s="46" t="n">
        <v>1368.05</v>
      </c>
    </row>
    <row r="1827" customFormat="false" ht="15" hidden="false" customHeight="false" outlineLevel="0" collapsed="false">
      <c r="A1827" s="37" t="n">
        <v>502105</v>
      </c>
      <c r="B1827" s="37" t="s">
        <v>1534</v>
      </c>
      <c r="C1827" s="37" t="n">
        <v>202605</v>
      </c>
      <c r="D1827" s="37" t="s">
        <v>65</v>
      </c>
      <c r="E1827" s="37" t="s">
        <v>97</v>
      </c>
      <c r="F1827" s="37" t="s">
        <v>194</v>
      </c>
      <c r="G1827" s="37" t="s">
        <v>354</v>
      </c>
      <c r="H1827" s="37"/>
      <c r="I1827" s="37" t="s">
        <v>355</v>
      </c>
      <c r="J1827" s="37" t="s">
        <v>1535</v>
      </c>
      <c r="K1827" s="45" t="n">
        <v>591.2</v>
      </c>
      <c r="L1827" s="46" t="n">
        <v>54394.66</v>
      </c>
    </row>
    <row r="1828" customFormat="false" ht="15" hidden="false" customHeight="false" outlineLevel="0" collapsed="false">
      <c r="A1828" s="37" t="n">
        <v>502184</v>
      </c>
      <c r="B1828" s="37" t="s">
        <v>1534</v>
      </c>
      <c r="C1828" s="37" t="n">
        <v>202605</v>
      </c>
      <c r="D1828" s="37" t="s">
        <v>65</v>
      </c>
      <c r="E1828" s="37" t="s">
        <v>101</v>
      </c>
      <c r="F1828" s="37" t="s">
        <v>194</v>
      </c>
      <c r="G1828" s="37" t="s">
        <v>354</v>
      </c>
      <c r="H1828" s="37"/>
      <c r="I1828" s="37" t="s">
        <v>355</v>
      </c>
      <c r="J1828" s="37" t="s">
        <v>1535</v>
      </c>
      <c r="K1828" s="45" t="n">
        <v>186.5</v>
      </c>
      <c r="L1828" s="46" t="n">
        <v>13800.5</v>
      </c>
    </row>
    <row r="1829" customFormat="false" ht="15" hidden="false" customHeight="false" outlineLevel="0" collapsed="false">
      <c r="A1829" s="37" t="n">
        <v>502226</v>
      </c>
      <c r="B1829" s="37" t="s">
        <v>1534</v>
      </c>
      <c r="C1829" s="37" t="n">
        <v>202605</v>
      </c>
      <c r="D1829" s="37" t="s">
        <v>65</v>
      </c>
      <c r="E1829" s="37" t="s">
        <v>106</v>
      </c>
      <c r="F1829" s="37" t="s">
        <v>194</v>
      </c>
      <c r="G1829" s="37" t="s">
        <v>354</v>
      </c>
      <c r="H1829" s="37"/>
      <c r="I1829" s="37" t="s">
        <v>355</v>
      </c>
      <c r="J1829" s="37" t="s">
        <v>1535</v>
      </c>
      <c r="K1829" s="45" t="n">
        <v>24.6</v>
      </c>
      <c r="L1829" s="46" t="n">
        <v>1747.13</v>
      </c>
    </row>
    <row r="1830" customFormat="false" ht="15" hidden="false" customHeight="false" outlineLevel="0" collapsed="false">
      <c r="A1830" s="37" t="n">
        <v>502288</v>
      </c>
      <c r="B1830" s="37" t="s">
        <v>1534</v>
      </c>
      <c r="C1830" s="37" t="n">
        <v>202605</v>
      </c>
      <c r="D1830" s="37" t="s">
        <v>66</v>
      </c>
      <c r="E1830" s="37" t="s">
        <v>97</v>
      </c>
      <c r="F1830" s="37" t="s">
        <v>194</v>
      </c>
      <c r="G1830" s="37" t="s">
        <v>354</v>
      </c>
      <c r="H1830" s="37"/>
      <c r="I1830" s="37" t="s">
        <v>355</v>
      </c>
      <c r="J1830" s="37" t="s">
        <v>1535</v>
      </c>
      <c r="K1830" s="45" t="n">
        <v>32.8</v>
      </c>
      <c r="L1830" s="46" t="n">
        <v>3017.4</v>
      </c>
    </row>
    <row r="1831" customFormat="false" ht="15" hidden="false" customHeight="false" outlineLevel="0" collapsed="false">
      <c r="A1831" s="37" t="n">
        <v>502353</v>
      </c>
      <c r="B1831" s="37" t="s">
        <v>1534</v>
      </c>
      <c r="C1831" s="37" t="n">
        <v>202605</v>
      </c>
      <c r="D1831" s="37" t="s">
        <v>66</v>
      </c>
      <c r="E1831" s="37" t="s">
        <v>101</v>
      </c>
      <c r="F1831" s="37" t="s">
        <v>194</v>
      </c>
      <c r="G1831" s="37" t="s">
        <v>354</v>
      </c>
      <c r="H1831" s="37"/>
      <c r="I1831" s="37" t="s">
        <v>355</v>
      </c>
      <c r="J1831" s="37" t="s">
        <v>1535</v>
      </c>
      <c r="K1831" s="45" t="n">
        <v>778.1</v>
      </c>
      <c r="L1831" s="46" t="n">
        <v>57576.17</v>
      </c>
    </row>
    <row r="1832" customFormat="false" ht="15" hidden="false" customHeight="false" outlineLevel="0" collapsed="false">
      <c r="A1832" s="37" t="n">
        <v>502431</v>
      </c>
      <c r="B1832" s="37" t="s">
        <v>1534</v>
      </c>
      <c r="C1832" s="37" t="n">
        <v>202605</v>
      </c>
      <c r="D1832" s="37" t="s">
        <v>67</v>
      </c>
      <c r="E1832" s="37" t="s">
        <v>97</v>
      </c>
      <c r="F1832" s="37" t="s">
        <v>194</v>
      </c>
      <c r="G1832" s="37" t="s">
        <v>354</v>
      </c>
      <c r="H1832" s="37"/>
      <c r="I1832" s="37" t="s">
        <v>355</v>
      </c>
      <c r="J1832" s="37" t="s">
        <v>1535</v>
      </c>
      <c r="K1832" s="45" t="n">
        <v>79.2</v>
      </c>
      <c r="L1832" s="46" t="n">
        <v>7285.88</v>
      </c>
    </row>
    <row r="1833" customFormat="false" ht="15" hidden="false" customHeight="false" outlineLevel="0" collapsed="false">
      <c r="A1833" s="37" t="n">
        <v>502485</v>
      </c>
      <c r="B1833" s="37" t="s">
        <v>1534</v>
      </c>
      <c r="C1833" s="37" t="n">
        <v>202605</v>
      </c>
      <c r="D1833" s="37" t="s">
        <v>67</v>
      </c>
      <c r="E1833" s="37" t="s">
        <v>101</v>
      </c>
      <c r="F1833" s="37" t="s">
        <v>194</v>
      </c>
      <c r="G1833" s="37" t="s">
        <v>354</v>
      </c>
      <c r="H1833" s="37"/>
      <c r="I1833" s="37" t="s">
        <v>355</v>
      </c>
      <c r="J1833" s="37" t="s">
        <v>1535</v>
      </c>
      <c r="K1833" s="45" t="n">
        <v>481.9</v>
      </c>
      <c r="L1833" s="46" t="n">
        <v>35657.79</v>
      </c>
    </row>
    <row r="1834" customFormat="false" ht="15" hidden="false" customHeight="false" outlineLevel="0" collapsed="false">
      <c r="A1834" s="37" t="n">
        <v>502547</v>
      </c>
      <c r="B1834" s="37" t="s">
        <v>1534</v>
      </c>
      <c r="C1834" s="37" t="n">
        <v>202605</v>
      </c>
      <c r="D1834" s="37" t="s">
        <v>68</v>
      </c>
      <c r="E1834" s="37" t="s">
        <v>97</v>
      </c>
      <c r="F1834" s="37" t="s">
        <v>194</v>
      </c>
      <c r="G1834" s="37" t="s">
        <v>354</v>
      </c>
      <c r="H1834" s="37"/>
      <c r="I1834" s="37" t="s">
        <v>355</v>
      </c>
      <c r="J1834" s="37" t="s">
        <v>1535</v>
      </c>
      <c r="K1834" s="45" t="n">
        <v>18.6</v>
      </c>
      <c r="L1834" s="46" t="n">
        <v>1710.02</v>
      </c>
    </row>
    <row r="1835" customFormat="false" ht="15" hidden="false" customHeight="false" outlineLevel="0" collapsed="false">
      <c r="A1835" s="37" t="n">
        <v>500584</v>
      </c>
      <c r="B1835" s="37" t="s">
        <v>1536</v>
      </c>
      <c r="C1835" s="37" t="n">
        <v>202605</v>
      </c>
      <c r="D1835" s="37" t="s">
        <v>59</v>
      </c>
      <c r="E1835" s="37" t="s">
        <v>99</v>
      </c>
      <c r="F1835" s="37" t="s">
        <v>198</v>
      </c>
      <c r="G1835" s="37" t="s">
        <v>375</v>
      </c>
      <c r="H1835" s="37"/>
      <c r="I1835" s="37" t="s">
        <v>376</v>
      </c>
      <c r="J1835" s="37" t="s">
        <v>377</v>
      </c>
      <c r="K1835" s="45" t="n">
        <v>0</v>
      </c>
      <c r="L1835" s="46" t="n">
        <v>33115.07</v>
      </c>
    </row>
    <row r="1836" customFormat="false" ht="15" hidden="false" customHeight="false" outlineLevel="0" collapsed="false">
      <c r="A1836" s="37" t="n">
        <v>500906</v>
      </c>
      <c r="B1836" s="37" t="s">
        <v>1536</v>
      </c>
      <c r="C1836" s="37" t="n">
        <v>202605</v>
      </c>
      <c r="D1836" s="37" t="s">
        <v>60</v>
      </c>
      <c r="E1836" s="37" t="s">
        <v>99</v>
      </c>
      <c r="F1836" s="37" t="s">
        <v>198</v>
      </c>
      <c r="G1836" s="37" t="s">
        <v>375</v>
      </c>
      <c r="H1836" s="37"/>
      <c r="I1836" s="37" t="s">
        <v>376</v>
      </c>
      <c r="J1836" s="37" t="s">
        <v>377</v>
      </c>
      <c r="K1836" s="45" t="n">
        <v>0</v>
      </c>
      <c r="L1836" s="46" t="n">
        <v>31867.66</v>
      </c>
    </row>
    <row r="1837" customFormat="false" ht="15" hidden="false" customHeight="false" outlineLevel="0" collapsed="false">
      <c r="A1837" s="37" t="n">
        <v>501206</v>
      </c>
      <c r="B1837" s="37" t="s">
        <v>1536</v>
      </c>
      <c r="C1837" s="37" t="n">
        <v>202605</v>
      </c>
      <c r="D1837" s="37" t="s">
        <v>61</v>
      </c>
      <c r="E1837" s="37" t="s">
        <v>99</v>
      </c>
      <c r="F1837" s="37" t="s">
        <v>198</v>
      </c>
      <c r="G1837" s="37" t="s">
        <v>375</v>
      </c>
      <c r="H1837" s="37"/>
      <c r="I1837" s="37" t="s">
        <v>376</v>
      </c>
      <c r="J1837" s="37" t="s">
        <v>377</v>
      </c>
      <c r="K1837" s="45" t="n">
        <v>0</v>
      </c>
      <c r="L1837" s="46" t="n">
        <v>18579.24</v>
      </c>
    </row>
    <row r="1838" customFormat="false" ht="15" hidden="false" customHeight="false" outlineLevel="0" collapsed="false">
      <c r="A1838" s="37" t="n">
        <v>501464</v>
      </c>
      <c r="B1838" s="37" t="s">
        <v>1536</v>
      </c>
      <c r="C1838" s="37" t="n">
        <v>202605</v>
      </c>
      <c r="D1838" s="37" t="s">
        <v>62</v>
      </c>
      <c r="E1838" s="37" t="s">
        <v>99</v>
      </c>
      <c r="F1838" s="37" t="s">
        <v>198</v>
      </c>
      <c r="G1838" s="37" t="s">
        <v>375</v>
      </c>
      <c r="H1838" s="37"/>
      <c r="I1838" s="37" t="s">
        <v>376</v>
      </c>
      <c r="J1838" s="37" t="s">
        <v>377</v>
      </c>
      <c r="K1838" s="45" t="n">
        <v>0</v>
      </c>
      <c r="L1838" s="46" t="n">
        <v>50598.7</v>
      </c>
    </row>
    <row r="1839" customFormat="false" ht="15" hidden="false" customHeight="false" outlineLevel="0" collapsed="false">
      <c r="A1839" s="37" t="n">
        <v>501715</v>
      </c>
      <c r="B1839" s="37" t="s">
        <v>1536</v>
      </c>
      <c r="C1839" s="37" t="n">
        <v>202605</v>
      </c>
      <c r="D1839" s="37" t="s">
        <v>63</v>
      </c>
      <c r="E1839" s="37" t="s">
        <v>99</v>
      </c>
      <c r="F1839" s="37" t="s">
        <v>198</v>
      </c>
      <c r="G1839" s="37" t="s">
        <v>375</v>
      </c>
      <c r="H1839" s="37"/>
      <c r="I1839" s="37" t="s">
        <v>376</v>
      </c>
      <c r="J1839" s="37" t="s">
        <v>377</v>
      </c>
      <c r="K1839" s="45" t="n">
        <v>0</v>
      </c>
      <c r="L1839" s="46" t="n">
        <v>26601.64</v>
      </c>
    </row>
    <row r="1840" customFormat="false" ht="15" hidden="false" customHeight="false" outlineLevel="0" collapsed="false">
      <c r="A1840" s="37" t="n">
        <v>501940</v>
      </c>
      <c r="B1840" s="37" t="s">
        <v>1536</v>
      </c>
      <c r="C1840" s="37" t="n">
        <v>202605</v>
      </c>
      <c r="D1840" s="37" t="s">
        <v>64</v>
      </c>
      <c r="E1840" s="37" t="s">
        <v>99</v>
      </c>
      <c r="F1840" s="37" t="s">
        <v>198</v>
      </c>
      <c r="G1840" s="37" t="s">
        <v>375</v>
      </c>
      <c r="H1840" s="37"/>
      <c r="I1840" s="37" t="s">
        <v>376</v>
      </c>
      <c r="J1840" s="37" t="s">
        <v>377</v>
      </c>
      <c r="K1840" s="45" t="n">
        <v>0</v>
      </c>
      <c r="L1840" s="46" t="n">
        <v>41054.72</v>
      </c>
    </row>
    <row r="1841" customFormat="false" ht="15" hidden="false" customHeight="false" outlineLevel="0" collapsed="false">
      <c r="A1841" s="37" t="n">
        <v>502149</v>
      </c>
      <c r="B1841" s="37" t="s">
        <v>1536</v>
      </c>
      <c r="C1841" s="37" t="n">
        <v>202605</v>
      </c>
      <c r="D1841" s="37" t="s">
        <v>65</v>
      </c>
      <c r="E1841" s="37" t="s">
        <v>99</v>
      </c>
      <c r="F1841" s="37" t="s">
        <v>198</v>
      </c>
      <c r="G1841" s="37" t="s">
        <v>375</v>
      </c>
      <c r="H1841" s="37"/>
      <c r="I1841" s="37" t="s">
        <v>376</v>
      </c>
      <c r="J1841" s="37" t="s">
        <v>377</v>
      </c>
      <c r="K1841" s="45" t="n">
        <v>0</v>
      </c>
      <c r="L1841" s="46" t="n">
        <v>83693.71</v>
      </c>
    </row>
    <row r="1842" customFormat="false" ht="15" hidden="false" customHeight="false" outlineLevel="0" collapsed="false">
      <c r="A1842" s="37" t="n">
        <v>502330</v>
      </c>
      <c r="B1842" s="37" t="s">
        <v>1536</v>
      </c>
      <c r="C1842" s="37" t="n">
        <v>202605</v>
      </c>
      <c r="D1842" s="37" t="s">
        <v>66</v>
      </c>
      <c r="E1842" s="37" t="s">
        <v>99</v>
      </c>
      <c r="F1842" s="37" t="s">
        <v>198</v>
      </c>
      <c r="G1842" s="37" t="s">
        <v>375</v>
      </c>
      <c r="H1842" s="37"/>
      <c r="I1842" s="37" t="s">
        <v>376</v>
      </c>
      <c r="J1842" s="37" t="s">
        <v>377</v>
      </c>
      <c r="K1842" s="45" t="n">
        <v>0</v>
      </c>
      <c r="L1842" s="46" t="n">
        <v>28346.57</v>
      </c>
    </row>
    <row r="1843" customFormat="false" ht="15" hidden="false" customHeight="false" outlineLevel="0" collapsed="false">
      <c r="A1843" s="37" t="n">
        <v>502467</v>
      </c>
      <c r="B1843" s="37" t="s">
        <v>1536</v>
      </c>
      <c r="C1843" s="37" t="n">
        <v>202605</v>
      </c>
      <c r="D1843" s="37" t="s">
        <v>67</v>
      </c>
      <c r="E1843" s="37" t="s">
        <v>99</v>
      </c>
      <c r="F1843" s="37" t="s">
        <v>198</v>
      </c>
      <c r="G1843" s="37" t="s">
        <v>375</v>
      </c>
      <c r="H1843" s="37"/>
      <c r="I1843" s="37" t="s">
        <v>376</v>
      </c>
      <c r="J1843" s="37" t="s">
        <v>377</v>
      </c>
      <c r="K1843" s="45" t="n">
        <v>0</v>
      </c>
      <c r="L1843" s="46" t="n">
        <v>29899.87</v>
      </c>
    </row>
    <row r="1844" customFormat="false" ht="15" hidden="false" customHeight="false" outlineLevel="0" collapsed="false">
      <c r="A1844" s="37" t="n">
        <v>502575</v>
      </c>
      <c r="B1844" s="37" t="s">
        <v>1536</v>
      </c>
      <c r="C1844" s="37" t="n">
        <v>202605</v>
      </c>
      <c r="D1844" s="37" t="s">
        <v>68</v>
      </c>
      <c r="E1844" s="37" t="s">
        <v>99</v>
      </c>
      <c r="F1844" s="37" t="s">
        <v>198</v>
      </c>
      <c r="G1844" s="37" t="s">
        <v>375</v>
      </c>
      <c r="H1844" s="37"/>
      <c r="I1844" s="37" t="s">
        <v>376</v>
      </c>
      <c r="J1844" s="37" t="s">
        <v>377</v>
      </c>
      <c r="K1844" s="45" t="n">
        <v>0</v>
      </c>
      <c r="L1844" s="46" t="n">
        <v>4915.3</v>
      </c>
    </row>
    <row r="1845" customFormat="false" ht="15" hidden="false" customHeight="false" outlineLevel="0" collapsed="false">
      <c r="A1845" s="37" t="n">
        <v>501186</v>
      </c>
      <c r="B1845" s="37" t="s">
        <v>1537</v>
      </c>
      <c r="C1845" s="37" t="n">
        <v>202606</v>
      </c>
      <c r="D1845" s="37" t="s">
        <v>61</v>
      </c>
      <c r="E1845" s="37" t="s">
        <v>98</v>
      </c>
      <c r="F1845" s="37" t="s">
        <v>196</v>
      </c>
      <c r="G1845" s="37" t="s">
        <v>358</v>
      </c>
      <c r="H1845" s="37" t="s">
        <v>359</v>
      </c>
      <c r="I1845" s="37" t="s">
        <v>360</v>
      </c>
      <c r="J1845" s="37" t="s">
        <v>1538</v>
      </c>
      <c r="K1845" s="45" t="n">
        <v>0</v>
      </c>
      <c r="L1845" s="46" t="n">
        <v>7172.06</v>
      </c>
    </row>
    <row r="1846" customFormat="false" ht="15" hidden="false" customHeight="false" outlineLevel="0" collapsed="false">
      <c r="A1846" s="37" t="n">
        <v>502214</v>
      </c>
      <c r="B1846" s="37" t="s">
        <v>1537</v>
      </c>
      <c r="C1846" s="37" t="n">
        <v>202606</v>
      </c>
      <c r="D1846" s="37" t="s">
        <v>65</v>
      </c>
      <c r="E1846" s="37" t="s">
        <v>103</v>
      </c>
      <c r="F1846" s="37" t="s">
        <v>205</v>
      </c>
      <c r="G1846" s="37" t="s">
        <v>358</v>
      </c>
      <c r="H1846" s="37" t="s">
        <v>1051</v>
      </c>
      <c r="I1846" s="37" t="s">
        <v>898</v>
      </c>
      <c r="J1846" s="37" t="s">
        <v>1539</v>
      </c>
      <c r="K1846" s="45" t="n">
        <v>0</v>
      </c>
      <c r="L1846" s="46" t="n">
        <v>19375.3</v>
      </c>
    </row>
    <row r="1847" customFormat="false" ht="15" hidden="false" customHeight="false" outlineLevel="0" collapsed="false">
      <c r="A1847" s="37" t="n">
        <v>502379</v>
      </c>
      <c r="B1847" s="37" t="s">
        <v>1537</v>
      </c>
      <c r="C1847" s="37" t="n">
        <v>202606</v>
      </c>
      <c r="D1847" s="37" t="s">
        <v>66</v>
      </c>
      <c r="E1847" s="37" t="s">
        <v>102</v>
      </c>
      <c r="F1847" s="37" t="s">
        <v>205</v>
      </c>
      <c r="G1847" s="37" t="s">
        <v>358</v>
      </c>
      <c r="H1847" s="37" t="s">
        <v>1323</v>
      </c>
      <c r="I1847" s="37" t="s">
        <v>715</v>
      </c>
      <c r="J1847" s="37" t="s">
        <v>1540</v>
      </c>
      <c r="K1847" s="45" t="n">
        <v>0</v>
      </c>
      <c r="L1847" s="46" t="n">
        <v>77535.14</v>
      </c>
    </row>
    <row r="1848" customFormat="false" ht="15" hidden="false" customHeight="false" outlineLevel="0" collapsed="false">
      <c r="A1848" s="37" t="n">
        <v>501824</v>
      </c>
      <c r="B1848" s="37" t="s">
        <v>1541</v>
      </c>
      <c r="C1848" s="37" t="n">
        <v>202606</v>
      </c>
      <c r="D1848" s="37" t="s">
        <v>63</v>
      </c>
      <c r="E1848" s="37" t="s">
        <v>108</v>
      </c>
      <c r="F1848" s="37" t="s">
        <v>205</v>
      </c>
      <c r="G1848" s="37" t="s">
        <v>358</v>
      </c>
      <c r="H1848" s="37" t="s">
        <v>1542</v>
      </c>
      <c r="I1848" s="37" t="s">
        <v>1489</v>
      </c>
      <c r="J1848" s="37" t="s">
        <v>1543</v>
      </c>
      <c r="K1848" s="45" t="n">
        <v>0</v>
      </c>
      <c r="L1848" s="46" t="n">
        <v>13057.1</v>
      </c>
    </row>
    <row r="1849" customFormat="false" ht="15" hidden="false" customHeight="false" outlineLevel="0" collapsed="false">
      <c r="A1849" s="37" t="n">
        <v>502134</v>
      </c>
      <c r="B1849" s="37" t="s">
        <v>1541</v>
      </c>
      <c r="C1849" s="37" t="n">
        <v>202606</v>
      </c>
      <c r="D1849" s="37" t="s">
        <v>65</v>
      </c>
      <c r="E1849" s="37" t="s">
        <v>98</v>
      </c>
      <c r="F1849" s="37" t="s">
        <v>196</v>
      </c>
      <c r="G1849" s="37" t="s">
        <v>358</v>
      </c>
      <c r="H1849" s="37" t="s">
        <v>359</v>
      </c>
      <c r="I1849" s="37" t="s">
        <v>360</v>
      </c>
      <c r="J1849" s="37" t="s">
        <v>1544</v>
      </c>
      <c r="K1849" s="45" t="n">
        <v>0</v>
      </c>
      <c r="L1849" s="46" t="n">
        <v>19019.51</v>
      </c>
    </row>
    <row r="1850" customFormat="false" ht="15" hidden="false" customHeight="false" outlineLevel="0" collapsed="false">
      <c r="A1850" s="37" t="n">
        <v>502569</v>
      </c>
      <c r="B1850" s="37" t="s">
        <v>1541</v>
      </c>
      <c r="C1850" s="37" t="n">
        <v>202606</v>
      </c>
      <c r="D1850" s="37" t="s">
        <v>68</v>
      </c>
      <c r="E1850" s="37" t="s">
        <v>98</v>
      </c>
      <c r="F1850" s="37" t="s">
        <v>196</v>
      </c>
      <c r="G1850" s="37" t="s">
        <v>358</v>
      </c>
      <c r="H1850" s="37" t="s">
        <v>359</v>
      </c>
      <c r="I1850" s="37" t="s">
        <v>360</v>
      </c>
      <c r="J1850" s="37" t="s">
        <v>1545</v>
      </c>
      <c r="K1850" s="45" t="n">
        <v>0</v>
      </c>
      <c r="L1850" s="46" t="n">
        <v>3037.54</v>
      </c>
    </row>
    <row r="1851" customFormat="false" ht="15" hidden="false" customHeight="false" outlineLevel="0" collapsed="false">
      <c r="A1851" s="37" t="n">
        <v>500105</v>
      </c>
      <c r="B1851" s="37" t="s">
        <v>1546</v>
      </c>
      <c r="C1851" s="37" t="n">
        <v>202606</v>
      </c>
      <c r="D1851" s="37" t="s">
        <v>58</v>
      </c>
      <c r="E1851" s="37" t="s">
        <v>97</v>
      </c>
      <c r="F1851" s="37" t="s">
        <v>194</v>
      </c>
      <c r="G1851" s="37" t="s">
        <v>354</v>
      </c>
      <c r="H1851" s="37"/>
      <c r="I1851" s="37" t="s">
        <v>355</v>
      </c>
      <c r="J1851" s="37" t="s">
        <v>1547</v>
      </c>
      <c r="K1851" s="45" t="n">
        <v>48</v>
      </c>
      <c r="L1851" s="46" t="n">
        <v>4417.43</v>
      </c>
    </row>
    <row r="1852" customFormat="false" ht="15" hidden="false" customHeight="false" outlineLevel="0" collapsed="false">
      <c r="A1852" s="37" t="n">
        <v>500513</v>
      </c>
      <c r="B1852" s="37" t="s">
        <v>1546</v>
      </c>
      <c r="C1852" s="37" t="n">
        <v>202606</v>
      </c>
      <c r="D1852" s="37" t="s">
        <v>59</v>
      </c>
      <c r="E1852" s="37" t="s">
        <v>97</v>
      </c>
      <c r="F1852" s="37" t="s">
        <v>194</v>
      </c>
      <c r="G1852" s="37" t="s">
        <v>354</v>
      </c>
      <c r="H1852" s="37"/>
      <c r="I1852" s="37" t="s">
        <v>355</v>
      </c>
      <c r="J1852" s="37" t="s">
        <v>1547</v>
      </c>
      <c r="K1852" s="45" t="n">
        <v>108.8</v>
      </c>
      <c r="L1852" s="46" t="n">
        <v>10005.53</v>
      </c>
    </row>
    <row r="1853" customFormat="false" ht="15" hidden="false" customHeight="false" outlineLevel="0" collapsed="false">
      <c r="A1853" s="37" t="n">
        <v>500715</v>
      </c>
      <c r="B1853" s="37" t="s">
        <v>1546</v>
      </c>
      <c r="C1853" s="37" t="n">
        <v>202606</v>
      </c>
      <c r="D1853" s="37" t="s">
        <v>59</v>
      </c>
      <c r="E1853" s="37" t="s">
        <v>106</v>
      </c>
      <c r="F1853" s="37" t="s">
        <v>194</v>
      </c>
      <c r="G1853" s="37" t="s">
        <v>354</v>
      </c>
      <c r="H1853" s="37"/>
      <c r="I1853" s="37" t="s">
        <v>355</v>
      </c>
      <c r="J1853" s="37" t="s">
        <v>1547</v>
      </c>
      <c r="K1853" s="45" t="n">
        <v>153.2</v>
      </c>
      <c r="L1853" s="46" t="n">
        <v>10880.09</v>
      </c>
    </row>
    <row r="1854" customFormat="false" ht="15" hidden="false" customHeight="false" outlineLevel="0" collapsed="false">
      <c r="A1854" s="37" t="n">
        <v>500742</v>
      </c>
      <c r="B1854" s="37" t="s">
        <v>1546</v>
      </c>
      <c r="C1854" s="37" t="n">
        <v>202606</v>
      </c>
      <c r="D1854" s="37" t="s">
        <v>59</v>
      </c>
      <c r="E1854" s="37" t="s">
        <v>108</v>
      </c>
      <c r="F1854" s="37" t="s">
        <v>205</v>
      </c>
      <c r="G1854" s="37" t="s">
        <v>358</v>
      </c>
      <c r="H1854" s="37" t="s">
        <v>1385</v>
      </c>
      <c r="I1854" s="37" t="s">
        <v>1386</v>
      </c>
      <c r="J1854" s="37" t="s">
        <v>1548</v>
      </c>
      <c r="K1854" s="45" t="n">
        <v>0</v>
      </c>
      <c r="L1854" s="46" t="n">
        <v>34982.47</v>
      </c>
    </row>
    <row r="1855" customFormat="false" ht="15" hidden="false" customHeight="false" outlineLevel="0" collapsed="false">
      <c r="A1855" s="37" t="n">
        <v>500842</v>
      </c>
      <c r="B1855" s="37" t="s">
        <v>1546</v>
      </c>
      <c r="C1855" s="37" t="n">
        <v>202606</v>
      </c>
      <c r="D1855" s="37" t="s">
        <v>60</v>
      </c>
      <c r="E1855" s="37" t="s">
        <v>97</v>
      </c>
      <c r="F1855" s="37" t="s">
        <v>194</v>
      </c>
      <c r="G1855" s="37" t="s">
        <v>354</v>
      </c>
      <c r="H1855" s="37"/>
      <c r="I1855" s="37" t="s">
        <v>355</v>
      </c>
      <c r="J1855" s="37" t="s">
        <v>1547</v>
      </c>
      <c r="K1855" s="45" t="n">
        <v>292</v>
      </c>
      <c r="L1855" s="46" t="n">
        <v>26861.07</v>
      </c>
    </row>
    <row r="1856" customFormat="false" ht="15" hidden="false" customHeight="false" outlineLevel="0" collapsed="false">
      <c r="A1856" s="37" t="n">
        <v>501035</v>
      </c>
      <c r="B1856" s="37" t="s">
        <v>1546</v>
      </c>
      <c r="C1856" s="37" t="n">
        <v>202606</v>
      </c>
      <c r="D1856" s="37" t="s">
        <v>60</v>
      </c>
      <c r="E1856" s="37" t="s">
        <v>106</v>
      </c>
      <c r="F1856" s="37" t="s">
        <v>194</v>
      </c>
      <c r="G1856" s="37" t="s">
        <v>354</v>
      </c>
      <c r="H1856" s="37"/>
      <c r="I1856" s="37" t="s">
        <v>355</v>
      </c>
      <c r="J1856" s="37" t="s">
        <v>1547</v>
      </c>
      <c r="K1856" s="45" t="n">
        <v>302.1</v>
      </c>
      <c r="L1856" s="46" t="n">
        <v>21450.05</v>
      </c>
    </row>
    <row r="1857" customFormat="false" ht="15" hidden="false" customHeight="false" outlineLevel="0" collapsed="false">
      <c r="A1857" s="37" t="n">
        <v>501149</v>
      </c>
      <c r="B1857" s="37" t="s">
        <v>1546</v>
      </c>
      <c r="C1857" s="37" t="n">
        <v>202606</v>
      </c>
      <c r="D1857" s="37" t="s">
        <v>61</v>
      </c>
      <c r="E1857" s="37" t="s">
        <v>97</v>
      </c>
      <c r="F1857" s="37" t="s">
        <v>194</v>
      </c>
      <c r="G1857" s="37" t="s">
        <v>354</v>
      </c>
      <c r="H1857" s="37"/>
      <c r="I1857" s="37" t="s">
        <v>355</v>
      </c>
      <c r="J1857" s="37" t="s">
        <v>1547</v>
      </c>
      <c r="K1857" s="45" t="n">
        <v>212.1</v>
      </c>
      <c r="L1857" s="46" t="n">
        <v>19516.61</v>
      </c>
    </row>
    <row r="1858" customFormat="false" ht="15" hidden="false" customHeight="false" outlineLevel="0" collapsed="false">
      <c r="A1858" s="37" t="n">
        <v>501309</v>
      </c>
      <c r="B1858" s="37" t="s">
        <v>1546</v>
      </c>
      <c r="C1858" s="37" t="n">
        <v>202606</v>
      </c>
      <c r="D1858" s="37" t="s">
        <v>61</v>
      </c>
      <c r="E1858" s="37" t="s">
        <v>106</v>
      </c>
      <c r="F1858" s="37" t="s">
        <v>194</v>
      </c>
      <c r="G1858" s="37" t="s">
        <v>354</v>
      </c>
      <c r="H1858" s="37"/>
      <c r="I1858" s="37" t="s">
        <v>355</v>
      </c>
      <c r="J1858" s="37" t="s">
        <v>1547</v>
      </c>
      <c r="K1858" s="45" t="n">
        <v>34.2</v>
      </c>
      <c r="L1858" s="46" t="n">
        <v>2429.11</v>
      </c>
    </row>
    <row r="1859" customFormat="false" ht="15" hidden="false" customHeight="false" outlineLevel="0" collapsed="false">
      <c r="A1859" s="37" t="n">
        <v>501410</v>
      </c>
      <c r="B1859" s="37" t="s">
        <v>1546</v>
      </c>
      <c r="C1859" s="37" t="n">
        <v>202606</v>
      </c>
      <c r="D1859" s="37" t="s">
        <v>62</v>
      </c>
      <c r="E1859" s="37" t="s">
        <v>97</v>
      </c>
      <c r="F1859" s="37" t="s">
        <v>194</v>
      </c>
      <c r="G1859" s="37" t="s">
        <v>354</v>
      </c>
      <c r="H1859" s="37"/>
      <c r="I1859" s="37" t="s">
        <v>355</v>
      </c>
      <c r="J1859" s="37" t="s">
        <v>1547</v>
      </c>
      <c r="K1859" s="45" t="n">
        <v>344.5</v>
      </c>
      <c r="L1859" s="46" t="n">
        <v>31698.19</v>
      </c>
    </row>
    <row r="1860" customFormat="false" ht="15" hidden="false" customHeight="false" outlineLevel="0" collapsed="false">
      <c r="A1860" s="37" t="n">
        <v>501576</v>
      </c>
      <c r="B1860" s="37" t="s">
        <v>1546</v>
      </c>
      <c r="C1860" s="37" t="n">
        <v>202606</v>
      </c>
      <c r="D1860" s="37" t="s">
        <v>62</v>
      </c>
      <c r="E1860" s="37" t="s">
        <v>106</v>
      </c>
      <c r="F1860" s="37" t="s">
        <v>194</v>
      </c>
      <c r="G1860" s="37" t="s">
        <v>354</v>
      </c>
      <c r="H1860" s="37"/>
      <c r="I1860" s="37" t="s">
        <v>355</v>
      </c>
      <c r="J1860" s="37" t="s">
        <v>1547</v>
      </c>
      <c r="K1860" s="45" t="n">
        <v>218.9</v>
      </c>
      <c r="L1860" s="46" t="n">
        <v>15543.56</v>
      </c>
    </row>
    <row r="1861" customFormat="false" ht="15" hidden="false" customHeight="false" outlineLevel="0" collapsed="false">
      <c r="A1861" s="37" t="n">
        <v>501656</v>
      </c>
      <c r="B1861" s="37" t="s">
        <v>1546</v>
      </c>
      <c r="C1861" s="37" t="n">
        <v>202606</v>
      </c>
      <c r="D1861" s="37" t="s">
        <v>63</v>
      </c>
      <c r="E1861" s="37" t="s">
        <v>97</v>
      </c>
      <c r="F1861" s="37" t="s">
        <v>194</v>
      </c>
      <c r="G1861" s="37" t="s">
        <v>354</v>
      </c>
      <c r="H1861" s="37"/>
      <c r="I1861" s="37" t="s">
        <v>355</v>
      </c>
      <c r="J1861" s="37" t="s">
        <v>1547</v>
      </c>
      <c r="K1861" s="45" t="n">
        <v>167.8</v>
      </c>
      <c r="L1861" s="46" t="n">
        <v>15434.8</v>
      </c>
    </row>
    <row r="1862" customFormat="false" ht="15" hidden="false" customHeight="false" outlineLevel="0" collapsed="false">
      <c r="A1862" s="37" t="n">
        <v>501806</v>
      </c>
      <c r="B1862" s="37" t="s">
        <v>1546</v>
      </c>
      <c r="C1862" s="37" t="n">
        <v>202606</v>
      </c>
      <c r="D1862" s="37" t="s">
        <v>63</v>
      </c>
      <c r="E1862" s="37" t="s">
        <v>106</v>
      </c>
      <c r="F1862" s="37" t="s">
        <v>194</v>
      </c>
      <c r="G1862" s="37" t="s">
        <v>354</v>
      </c>
      <c r="H1862" s="37"/>
      <c r="I1862" s="37" t="s">
        <v>355</v>
      </c>
      <c r="J1862" s="37" t="s">
        <v>1547</v>
      </c>
      <c r="K1862" s="45" t="n">
        <v>487.6</v>
      </c>
      <c r="L1862" s="46" t="n">
        <v>34617.95</v>
      </c>
    </row>
    <row r="1863" customFormat="false" ht="15" hidden="false" customHeight="false" outlineLevel="0" collapsed="false">
      <c r="A1863" s="37" t="n">
        <v>501890</v>
      </c>
      <c r="B1863" s="37" t="s">
        <v>1546</v>
      </c>
      <c r="C1863" s="37" t="n">
        <v>202606</v>
      </c>
      <c r="D1863" s="37" t="s">
        <v>64</v>
      </c>
      <c r="E1863" s="37" t="s">
        <v>97</v>
      </c>
      <c r="F1863" s="37" t="s">
        <v>194</v>
      </c>
      <c r="G1863" s="37" t="s">
        <v>354</v>
      </c>
      <c r="H1863" s="37"/>
      <c r="I1863" s="37" t="s">
        <v>355</v>
      </c>
      <c r="J1863" s="37" t="s">
        <v>1547</v>
      </c>
      <c r="K1863" s="45" t="n">
        <v>425.9</v>
      </c>
      <c r="L1863" s="46" t="n">
        <v>39182.82</v>
      </c>
    </row>
    <row r="1864" customFormat="false" ht="15" hidden="false" customHeight="false" outlineLevel="0" collapsed="false">
      <c r="A1864" s="37" t="n">
        <v>501925</v>
      </c>
      <c r="B1864" s="37" t="s">
        <v>1546</v>
      </c>
      <c r="C1864" s="37" t="n">
        <v>202606</v>
      </c>
      <c r="D1864" s="37" t="s">
        <v>64</v>
      </c>
      <c r="E1864" s="37" t="s">
        <v>98</v>
      </c>
      <c r="F1864" s="37" t="s">
        <v>196</v>
      </c>
      <c r="G1864" s="37" t="s">
        <v>358</v>
      </c>
      <c r="H1864" s="37" t="s">
        <v>359</v>
      </c>
      <c r="I1864" s="37" t="s">
        <v>360</v>
      </c>
      <c r="J1864" s="37" t="s">
        <v>1549</v>
      </c>
      <c r="K1864" s="45" t="n">
        <v>0</v>
      </c>
      <c r="L1864" s="46" t="n">
        <v>13903.53</v>
      </c>
    </row>
    <row r="1865" customFormat="false" ht="15" hidden="false" customHeight="false" outlineLevel="0" collapsed="false">
      <c r="A1865" s="37" t="n">
        <v>501980</v>
      </c>
      <c r="B1865" s="37" t="s">
        <v>1546</v>
      </c>
      <c r="C1865" s="37" t="n">
        <v>202606</v>
      </c>
      <c r="D1865" s="37" t="s">
        <v>64</v>
      </c>
      <c r="E1865" s="37" t="s">
        <v>101</v>
      </c>
      <c r="F1865" s="37" t="s">
        <v>194</v>
      </c>
      <c r="G1865" s="37" t="s">
        <v>354</v>
      </c>
      <c r="H1865" s="37"/>
      <c r="I1865" s="37" t="s">
        <v>355</v>
      </c>
      <c r="J1865" s="37" t="s">
        <v>1547</v>
      </c>
      <c r="K1865" s="45" t="n">
        <v>23.5</v>
      </c>
      <c r="L1865" s="46" t="n">
        <v>1738.32</v>
      </c>
    </row>
    <row r="1866" customFormat="false" ht="15" hidden="false" customHeight="false" outlineLevel="0" collapsed="false">
      <c r="A1866" s="37" t="n">
        <v>502035</v>
      </c>
      <c r="B1866" s="37" t="s">
        <v>1546</v>
      </c>
      <c r="C1866" s="37" t="n">
        <v>202606</v>
      </c>
      <c r="D1866" s="37" t="s">
        <v>64</v>
      </c>
      <c r="E1866" s="37" t="s">
        <v>106</v>
      </c>
      <c r="F1866" s="37" t="s">
        <v>194</v>
      </c>
      <c r="G1866" s="37" t="s">
        <v>354</v>
      </c>
      <c r="H1866" s="37"/>
      <c r="I1866" s="37" t="s">
        <v>355</v>
      </c>
      <c r="J1866" s="37" t="s">
        <v>1547</v>
      </c>
      <c r="K1866" s="45" t="n">
        <v>194.7</v>
      </c>
      <c r="L1866" s="46" t="n">
        <v>13825.75</v>
      </c>
    </row>
    <row r="1867" customFormat="false" ht="15" hidden="false" customHeight="false" outlineLevel="0" collapsed="false">
      <c r="A1867" s="37" t="n">
        <v>502106</v>
      </c>
      <c r="B1867" s="37" t="s">
        <v>1546</v>
      </c>
      <c r="C1867" s="37" t="n">
        <v>202606</v>
      </c>
      <c r="D1867" s="37" t="s">
        <v>65</v>
      </c>
      <c r="E1867" s="37" t="s">
        <v>97</v>
      </c>
      <c r="F1867" s="37" t="s">
        <v>194</v>
      </c>
      <c r="G1867" s="37" t="s">
        <v>354</v>
      </c>
      <c r="H1867" s="37"/>
      <c r="I1867" s="37" t="s">
        <v>355</v>
      </c>
      <c r="J1867" s="37" t="s">
        <v>1547</v>
      </c>
      <c r="K1867" s="45" t="n">
        <v>220.3</v>
      </c>
      <c r="L1867" s="46" t="n">
        <v>20265.18</v>
      </c>
    </row>
    <row r="1868" customFormat="false" ht="15" hidden="false" customHeight="false" outlineLevel="0" collapsed="false">
      <c r="A1868" s="37" t="n">
        <v>502185</v>
      </c>
      <c r="B1868" s="37" t="s">
        <v>1546</v>
      </c>
      <c r="C1868" s="37" t="n">
        <v>202606</v>
      </c>
      <c r="D1868" s="37" t="s">
        <v>65</v>
      </c>
      <c r="E1868" s="37" t="s">
        <v>101</v>
      </c>
      <c r="F1868" s="37" t="s">
        <v>194</v>
      </c>
      <c r="G1868" s="37" t="s">
        <v>354</v>
      </c>
      <c r="H1868" s="37"/>
      <c r="I1868" s="37" t="s">
        <v>355</v>
      </c>
      <c r="J1868" s="37" t="s">
        <v>1547</v>
      </c>
      <c r="K1868" s="45" t="n">
        <v>18.4</v>
      </c>
      <c r="L1868" s="46" t="n">
        <v>1358.51</v>
      </c>
    </row>
    <row r="1869" customFormat="false" ht="15" hidden="false" customHeight="false" outlineLevel="0" collapsed="false">
      <c r="A1869" s="37" t="n">
        <v>502227</v>
      </c>
      <c r="B1869" s="37" t="s">
        <v>1546</v>
      </c>
      <c r="C1869" s="37" t="n">
        <v>202606</v>
      </c>
      <c r="D1869" s="37" t="s">
        <v>65</v>
      </c>
      <c r="E1869" s="37" t="s">
        <v>106</v>
      </c>
      <c r="F1869" s="37" t="s">
        <v>194</v>
      </c>
      <c r="G1869" s="37" t="s">
        <v>354</v>
      </c>
      <c r="H1869" s="37"/>
      <c r="I1869" s="37" t="s">
        <v>355</v>
      </c>
      <c r="J1869" s="37" t="s">
        <v>1547</v>
      </c>
      <c r="K1869" s="45" t="n">
        <v>224.8</v>
      </c>
      <c r="L1869" s="46" t="n">
        <v>15963.17</v>
      </c>
    </row>
    <row r="1870" customFormat="false" ht="15" hidden="false" customHeight="false" outlineLevel="0" collapsed="false">
      <c r="A1870" s="37" t="n">
        <v>502289</v>
      </c>
      <c r="B1870" s="37" t="s">
        <v>1546</v>
      </c>
      <c r="C1870" s="37" t="n">
        <v>202606</v>
      </c>
      <c r="D1870" s="37" t="s">
        <v>66</v>
      </c>
      <c r="E1870" s="37" t="s">
        <v>97</v>
      </c>
      <c r="F1870" s="37" t="s">
        <v>194</v>
      </c>
      <c r="G1870" s="37" t="s">
        <v>354</v>
      </c>
      <c r="H1870" s="37"/>
      <c r="I1870" s="37" t="s">
        <v>355</v>
      </c>
      <c r="J1870" s="37" t="s">
        <v>1547</v>
      </c>
      <c r="K1870" s="45" t="n">
        <v>110.2</v>
      </c>
      <c r="L1870" s="46" t="n">
        <v>10137.83</v>
      </c>
    </row>
    <row r="1871" customFormat="false" ht="15" hidden="false" customHeight="false" outlineLevel="0" collapsed="false">
      <c r="A1871" s="37" t="n">
        <v>502354</v>
      </c>
      <c r="B1871" s="37" t="s">
        <v>1546</v>
      </c>
      <c r="C1871" s="37" t="n">
        <v>202606</v>
      </c>
      <c r="D1871" s="37" t="s">
        <v>66</v>
      </c>
      <c r="E1871" s="37" t="s">
        <v>101</v>
      </c>
      <c r="F1871" s="37" t="s">
        <v>194</v>
      </c>
      <c r="G1871" s="37" t="s">
        <v>354</v>
      </c>
      <c r="H1871" s="37"/>
      <c r="I1871" s="37" t="s">
        <v>355</v>
      </c>
      <c r="J1871" s="37" t="s">
        <v>1547</v>
      </c>
      <c r="K1871" s="45" t="n">
        <v>898.4</v>
      </c>
      <c r="L1871" s="46" t="n">
        <v>66478.19</v>
      </c>
    </row>
    <row r="1872" customFormat="false" ht="15" hidden="false" customHeight="false" outlineLevel="0" collapsed="false">
      <c r="A1872" s="37" t="n">
        <v>502432</v>
      </c>
      <c r="B1872" s="37" t="s">
        <v>1546</v>
      </c>
      <c r="C1872" s="37" t="n">
        <v>202606</v>
      </c>
      <c r="D1872" s="37" t="s">
        <v>67</v>
      </c>
      <c r="E1872" s="37" t="s">
        <v>97</v>
      </c>
      <c r="F1872" s="37" t="s">
        <v>194</v>
      </c>
      <c r="G1872" s="37" t="s">
        <v>354</v>
      </c>
      <c r="H1872" s="37"/>
      <c r="I1872" s="37" t="s">
        <v>355</v>
      </c>
      <c r="J1872" s="37" t="s">
        <v>1547</v>
      </c>
      <c r="K1872" s="45" t="n">
        <v>120.7</v>
      </c>
      <c r="L1872" s="46" t="n">
        <v>11101.02</v>
      </c>
    </row>
    <row r="1873" customFormat="false" ht="15" hidden="false" customHeight="false" outlineLevel="0" collapsed="false">
      <c r="A1873" s="37" t="n">
        <v>502486</v>
      </c>
      <c r="B1873" s="37" t="s">
        <v>1546</v>
      </c>
      <c r="C1873" s="37" t="n">
        <v>202606</v>
      </c>
      <c r="D1873" s="37" t="s">
        <v>67</v>
      </c>
      <c r="E1873" s="37" t="s">
        <v>101</v>
      </c>
      <c r="F1873" s="37" t="s">
        <v>194</v>
      </c>
      <c r="G1873" s="37" t="s">
        <v>354</v>
      </c>
      <c r="H1873" s="37"/>
      <c r="I1873" s="37" t="s">
        <v>355</v>
      </c>
      <c r="J1873" s="37" t="s">
        <v>1547</v>
      </c>
      <c r="K1873" s="45" t="n">
        <v>348.6</v>
      </c>
      <c r="L1873" s="46" t="n">
        <v>25799.65</v>
      </c>
    </row>
    <row r="1874" customFormat="false" ht="15" hidden="false" customHeight="false" outlineLevel="0" collapsed="false">
      <c r="A1874" s="37" t="n">
        <v>502524</v>
      </c>
      <c r="B1874" s="37" t="s">
        <v>1546</v>
      </c>
      <c r="C1874" s="37" t="n">
        <v>202606</v>
      </c>
      <c r="D1874" s="37" t="s">
        <v>67</v>
      </c>
      <c r="E1874" s="37" t="s">
        <v>103</v>
      </c>
      <c r="F1874" s="37" t="s">
        <v>205</v>
      </c>
      <c r="G1874" s="37" t="s">
        <v>358</v>
      </c>
      <c r="H1874" s="37" t="s">
        <v>1368</v>
      </c>
      <c r="I1874" s="37" t="s">
        <v>1369</v>
      </c>
      <c r="J1874" s="37" t="s">
        <v>1550</v>
      </c>
      <c r="K1874" s="45" t="n">
        <v>0</v>
      </c>
      <c r="L1874" s="46" t="n">
        <v>25013.63</v>
      </c>
    </row>
    <row r="1875" customFormat="false" ht="15" hidden="false" customHeight="false" outlineLevel="0" collapsed="false">
      <c r="A1875" s="37" t="n">
        <v>502548</v>
      </c>
      <c r="B1875" s="37" t="s">
        <v>1546</v>
      </c>
      <c r="C1875" s="37" t="n">
        <v>202606</v>
      </c>
      <c r="D1875" s="37" t="s">
        <v>68</v>
      </c>
      <c r="E1875" s="37" t="s">
        <v>97</v>
      </c>
      <c r="F1875" s="37" t="s">
        <v>194</v>
      </c>
      <c r="G1875" s="37" t="s">
        <v>354</v>
      </c>
      <c r="H1875" s="37"/>
      <c r="I1875" s="37" t="s">
        <v>355</v>
      </c>
      <c r="J1875" s="37" t="s">
        <v>1547</v>
      </c>
      <c r="K1875" s="45" t="n">
        <v>58.2</v>
      </c>
      <c r="L1875" s="46" t="n">
        <v>5352.16</v>
      </c>
    </row>
    <row r="1876" customFormat="false" ht="15" hidden="false" customHeight="false" outlineLevel="0" collapsed="false">
      <c r="A1876" s="37" t="n">
        <v>502585</v>
      </c>
      <c r="B1876" s="37" t="s">
        <v>1546</v>
      </c>
      <c r="C1876" s="37" t="n">
        <v>202606</v>
      </c>
      <c r="D1876" s="37" t="s">
        <v>68</v>
      </c>
      <c r="E1876" s="37" t="s">
        <v>101</v>
      </c>
      <c r="F1876" s="37" t="s">
        <v>194</v>
      </c>
      <c r="G1876" s="37" t="s">
        <v>354</v>
      </c>
      <c r="H1876" s="37"/>
      <c r="I1876" s="37" t="s">
        <v>355</v>
      </c>
      <c r="J1876" s="37" t="s">
        <v>1547</v>
      </c>
      <c r="K1876" s="45" t="n">
        <v>75.7</v>
      </c>
      <c r="L1876" s="46" t="n">
        <v>5604.13</v>
      </c>
    </row>
    <row r="1877" customFormat="false" ht="15" hidden="false" customHeight="false" outlineLevel="0" collapsed="false">
      <c r="A1877" s="37" t="n">
        <v>500887</v>
      </c>
      <c r="B1877" s="37" t="s">
        <v>1551</v>
      </c>
      <c r="C1877" s="37" t="n">
        <v>202606</v>
      </c>
      <c r="D1877" s="37" t="s">
        <v>60</v>
      </c>
      <c r="E1877" s="37" t="s">
        <v>98</v>
      </c>
      <c r="F1877" s="37" t="s">
        <v>196</v>
      </c>
      <c r="G1877" s="37" t="s">
        <v>358</v>
      </c>
      <c r="H1877" s="37" t="s">
        <v>359</v>
      </c>
      <c r="I1877" s="37" t="s">
        <v>360</v>
      </c>
      <c r="J1877" s="37" t="s">
        <v>1552</v>
      </c>
      <c r="K1877" s="45" t="n">
        <v>0</v>
      </c>
      <c r="L1877" s="46" t="n">
        <v>10169.54</v>
      </c>
    </row>
    <row r="1878" customFormat="false" ht="15" hidden="false" customHeight="false" outlineLevel="0" collapsed="false">
      <c r="A1878" s="37" t="n">
        <v>500396</v>
      </c>
      <c r="B1878" s="37" t="s">
        <v>1553</v>
      </c>
      <c r="C1878" s="37" t="n">
        <v>202606</v>
      </c>
      <c r="D1878" s="37" t="s">
        <v>58</v>
      </c>
      <c r="E1878" s="37" t="s">
        <v>108</v>
      </c>
      <c r="F1878" s="37" t="s">
        <v>205</v>
      </c>
      <c r="G1878" s="37" t="s">
        <v>358</v>
      </c>
      <c r="H1878" s="37" t="s">
        <v>885</v>
      </c>
      <c r="I1878" s="37" t="s">
        <v>886</v>
      </c>
      <c r="J1878" s="37" t="s">
        <v>1554</v>
      </c>
      <c r="K1878" s="45" t="n">
        <v>0</v>
      </c>
      <c r="L1878" s="46" t="n">
        <v>10561.54</v>
      </c>
    </row>
    <row r="1879" customFormat="false" ht="15" hidden="false" customHeight="false" outlineLevel="0" collapsed="false">
      <c r="A1879" s="37" t="n">
        <v>500397</v>
      </c>
      <c r="B1879" s="37" t="s">
        <v>1553</v>
      </c>
      <c r="C1879" s="37" t="n">
        <v>202606</v>
      </c>
      <c r="D1879" s="37" t="s">
        <v>58</v>
      </c>
      <c r="E1879" s="37" t="s">
        <v>108</v>
      </c>
      <c r="F1879" s="37" t="s">
        <v>205</v>
      </c>
      <c r="G1879" s="37" t="s">
        <v>358</v>
      </c>
      <c r="H1879" s="37" t="s">
        <v>885</v>
      </c>
      <c r="I1879" s="37" t="s">
        <v>886</v>
      </c>
      <c r="J1879" s="37" t="s">
        <v>1555</v>
      </c>
      <c r="K1879" s="45" t="n">
        <v>0</v>
      </c>
      <c r="L1879" s="46" t="n">
        <v>18372.9</v>
      </c>
    </row>
    <row r="1880" customFormat="false" ht="15" hidden="false" customHeight="false" outlineLevel="0" collapsed="false">
      <c r="A1880" s="37" t="n">
        <v>500886</v>
      </c>
      <c r="B1880" s="37" t="s">
        <v>1553</v>
      </c>
      <c r="C1880" s="37" t="n">
        <v>202606</v>
      </c>
      <c r="D1880" s="37" t="s">
        <v>60</v>
      </c>
      <c r="E1880" s="37" t="s">
        <v>98</v>
      </c>
      <c r="F1880" s="37" t="s">
        <v>196</v>
      </c>
      <c r="G1880" s="37" t="s">
        <v>358</v>
      </c>
      <c r="H1880" s="37" t="s">
        <v>359</v>
      </c>
      <c r="I1880" s="37" t="s">
        <v>360</v>
      </c>
      <c r="J1880" s="37" t="s">
        <v>1556</v>
      </c>
      <c r="K1880" s="45" t="n">
        <v>0</v>
      </c>
      <c r="L1880" s="46" t="n">
        <v>21625.42</v>
      </c>
    </row>
    <row r="1881" customFormat="false" ht="15" hidden="false" customHeight="false" outlineLevel="0" collapsed="false">
      <c r="A1881" s="37" t="n">
        <v>502215</v>
      </c>
      <c r="B1881" s="37" t="s">
        <v>1557</v>
      </c>
      <c r="C1881" s="37" t="n">
        <v>202606</v>
      </c>
      <c r="D1881" s="37" t="s">
        <v>65</v>
      </c>
      <c r="E1881" s="37" t="s">
        <v>103</v>
      </c>
      <c r="F1881" s="37" t="s">
        <v>205</v>
      </c>
      <c r="G1881" s="37" t="s">
        <v>358</v>
      </c>
      <c r="H1881" s="37" t="s">
        <v>1051</v>
      </c>
      <c r="I1881" s="37" t="s">
        <v>898</v>
      </c>
      <c r="J1881" s="37" t="s">
        <v>1558</v>
      </c>
      <c r="K1881" s="45" t="n">
        <v>0</v>
      </c>
      <c r="L1881" s="46" t="n">
        <v>18492.17</v>
      </c>
    </row>
    <row r="1882" customFormat="false" ht="15" hidden="false" customHeight="false" outlineLevel="0" collapsed="false">
      <c r="A1882" s="37" t="n">
        <v>500167</v>
      </c>
      <c r="B1882" s="37" t="s">
        <v>1559</v>
      </c>
      <c r="C1882" s="37" t="n">
        <v>202606</v>
      </c>
      <c r="D1882" s="37" t="s">
        <v>58</v>
      </c>
      <c r="E1882" s="37" t="s">
        <v>98</v>
      </c>
      <c r="F1882" s="37" t="s">
        <v>196</v>
      </c>
      <c r="G1882" s="37" t="s">
        <v>358</v>
      </c>
      <c r="H1882" s="37" t="s">
        <v>359</v>
      </c>
      <c r="I1882" s="37" t="s">
        <v>360</v>
      </c>
      <c r="J1882" s="37" t="s">
        <v>1560</v>
      </c>
      <c r="K1882" s="45" t="n">
        <v>0</v>
      </c>
      <c r="L1882" s="46" t="n">
        <v>4050.2</v>
      </c>
    </row>
    <row r="1883" customFormat="false" ht="15" hidden="false" customHeight="false" outlineLevel="0" collapsed="false">
      <c r="A1883" s="37" t="n">
        <v>501699</v>
      </c>
      <c r="B1883" s="37" t="s">
        <v>1559</v>
      </c>
      <c r="C1883" s="37" t="n">
        <v>202606</v>
      </c>
      <c r="D1883" s="37" t="s">
        <v>63</v>
      </c>
      <c r="E1883" s="37" t="s">
        <v>98</v>
      </c>
      <c r="F1883" s="37" t="s">
        <v>196</v>
      </c>
      <c r="G1883" s="37" t="s">
        <v>358</v>
      </c>
      <c r="H1883" s="37" t="s">
        <v>359</v>
      </c>
      <c r="I1883" s="37" t="s">
        <v>360</v>
      </c>
      <c r="J1883" s="37" t="s">
        <v>568</v>
      </c>
      <c r="K1883" s="45" t="n">
        <v>0</v>
      </c>
      <c r="L1883" s="46" t="n">
        <v>9526.31</v>
      </c>
    </row>
    <row r="1884" customFormat="false" ht="15" hidden="false" customHeight="false" outlineLevel="0" collapsed="false">
      <c r="A1884" s="37" t="n">
        <v>501700</v>
      </c>
      <c r="B1884" s="37" t="s">
        <v>1561</v>
      </c>
      <c r="C1884" s="37" t="n">
        <v>202606</v>
      </c>
      <c r="D1884" s="37" t="s">
        <v>63</v>
      </c>
      <c r="E1884" s="37" t="s">
        <v>98</v>
      </c>
      <c r="F1884" s="37" t="s">
        <v>196</v>
      </c>
      <c r="G1884" s="37" t="s">
        <v>358</v>
      </c>
      <c r="H1884" s="37" t="s">
        <v>359</v>
      </c>
      <c r="I1884" s="37" t="s">
        <v>360</v>
      </c>
      <c r="J1884" s="37" t="s">
        <v>1562</v>
      </c>
      <c r="K1884" s="45" t="n">
        <v>0</v>
      </c>
      <c r="L1884" s="46" t="n">
        <v>6787.12</v>
      </c>
    </row>
    <row r="1885" customFormat="false" ht="15" hidden="false" customHeight="false" outlineLevel="0" collapsed="false">
      <c r="A1885" s="37" t="n">
        <v>500743</v>
      </c>
      <c r="B1885" s="37" t="s">
        <v>1563</v>
      </c>
      <c r="C1885" s="37" t="n">
        <v>202606</v>
      </c>
      <c r="D1885" s="37" t="s">
        <v>59</v>
      </c>
      <c r="E1885" s="37" t="s">
        <v>108</v>
      </c>
      <c r="F1885" s="37" t="s">
        <v>205</v>
      </c>
      <c r="G1885" s="37" t="s">
        <v>358</v>
      </c>
      <c r="H1885" s="37" t="s">
        <v>1385</v>
      </c>
      <c r="I1885" s="37" t="s">
        <v>1386</v>
      </c>
      <c r="J1885" s="37" t="s">
        <v>1564</v>
      </c>
      <c r="K1885" s="45" t="n">
        <v>0</v>
      </c>
      <c r="L1885" s="46" t="n">
        <v>15581.55</v>
      </c>
    </row>
    <row r="1886" customFormat="false" ht="15" hidden="false" customHeight="false" outlineLevel="0" collapsed="false">
      <c r="A1886" s="37" t="n">
        <v>502568</v>
      </c>
      <c r="B1886" s="37" t="s">
        <v>1563</v>
      </c>
      <c r="C1886" s="37" t="n">
        <v>202606</v>
      </c>
      <c r="D1886" s="37" t="s">
        <v>68</v>
      </c>
      <c r="E1886" s="37" t="s">
        <v>98</v>
      </c>
      <c r="F1886" s="37" t="s">
        <v>196</v>
      </c>
      <c r="G1886" s="37" t="s">
        <v>358</v>
      </c>
      <c r="H1886" s="37" t="s">
        <v>359</v>
      </c>
      <c r="I1886" s="37" t="s">
        <v>360</v>
      </c>
      <c r="J1886" s="37" t="s">
        <v>1565</v>
      </c>
      <c r="K1886" s="45" t="n">
        <v>0</v>
      </c>
      <c r="L1886" s="46" t="n">
        <v>5788.71</v>
      </c>
    </row>
    <row r="1887" customFormat="false" ht="15" hidden="false" customHeight="false" outlineLevel="0" collapsed="false">
      <c r="A1887" s="37" t="n">
        <v>502604</v>
      </c>
      <c r="B1887" s="37" t="s">
        <v>1563</v>
      </c>
      <c r="C1887" s="37" t="n">
        <v>202606</v>
      </c>
      <c r="D1887" s="37" t="s">
        <v>68</v>
      </c>
      <c r="E1887" s="37" t="s">
        <v>102</v>
      </c>
      <c r="F1887" s="37" t="s">
        <v>205</v>
      </c>
      <c r="G1887" s="37" t="s">
        <v>358</v>
      </c>
      <c r="H1887" s="37" t="s">
        <v>1566</v>
      </c>
      <c r="I1887" s="37" t="s">
        <v>715</v>
      </c>
      <c r="J1887" s="37" t="s">
        <v>1567</v>
      </c>
      <c r="K1887" s="45" t="n">
        <v>0</v>
      </c>
      <c r="L1887" s="46" t="n">
        <v>4613.59</v>
      </c>
    </row>
    <row r="1888" customFormat="false" ht="15" hidden="false" customHeight="false" outlineLevel="0" collapsed="false">
      <c r="A1888" s="37" t="n">
        <v>500106</v>
      </c>
      <c r="B1888" s="37" t="s">
        <v>1568</v>
      </c>
      <c r="C1888" s="37" t="n">
        <v>202606</v>
      </c>
      <c r="D1888" s="37" t="s">
        <v>58</v>
      </c>
      <c r="E1888" s="37" t="s">
        <v>97</v>
      </c>
      <c r="F1888" s="37" t="s">
        <v>194</v>
      </c>
      <c r="G1888" s="37" t="s">
        <v>354</v>
      </c>
      <c r="H1888" s="37"/>
      <c r="I1888" s="37" t="s">
        <v>355</v>
      </c>
      <c r="J1888" s="37" t="s">
        <v>1569</v>
      </c>
      <c r="K1888" s="45" t="n">
        <v>82.1</v>
      </c>
      <c r="L1888" s="46" t="n">
        <v>7551.23</v>
      </c>
    </row>
    <row r="1889" customFormat="false" ht="15" hidden="false" customHeight="false" outlineLevel="0" collapsed="false">
      <c r="A1889" s="37" t="n">
        <v>500514</v>
      </c>
      <c r="B1889" s="37" t="s">
        <v>1568</v>
      </c>
      <c r="C1889" s="37" t="n">
        <v>202606</v>
      </c>
      <c r="D1889" s="37" t="s">
        <v>59</v>
      </c>
      <c r="E1889" s="37" t="s">
        <v>97</v>
      </c>
      <c r="F1889" s="37" t="s">
        <v>194</v>
      </c>
      <c r="G1889" s="37" t="s">
        <v>354</v>
      </c>
      <c r="H1889" s="37"/>
      <c r="I1889" s="37" t="s">
        <v>355</v>
      </c>
      <c r="J1889" s="37" t="s">
        <v>1569</v>
      </c>
      <c r="K1889" s="45" t="n">
        <v>99.1</v>
      </c>
      <c r="L1889" s="46" t="n">
        <v>9120.57</v>
      </c>
    </row>
    <row r="1890" customFormat="false" ht="15" hidden="false" customHeight="false" outlineLevel="0" collapsed="false">
      <c r="A1890" s="37" t="n">
        <v>500563</v>
      </c>
      <c r="B1890" s="37" t="s">
        <v>1568</v>
      </c>
      <c r="C1890" s="37" t="n">
        <v>202606</v>
      </c>
      <c r="D1890" s="37" t="s">
        <v>59</v>
      </c>
      <c r="E1890" s="37" t="s">
        <v>98</v>
      </c>
      <c r="F1890" s="37" t="s">
        <v>196</v>
      </c>
      <c r="G1890" s="37" t="s">
        <v>358</v>
      </c>
      <c r="H1890" s="37" t="s">
        <v>359</v>
      </c>
      <c r="I1890" s="37" t="s">
        <v>360</v>
      </c>
      <c r="J1890" s="37" t="s">
        <v>1570</v>
      </c>
      <c r="K1890" s="45" t="n">
        <v>0</v>
      </c>
      <c r="L1890" s="46" t="n">
        <v>22979.87</v>
      </c>
    </row>
    <row r="1891" customFormat="false" ht="15" hidden="false" customHeight="false" outlineLevel="0" collapsed="false">
      <c r="A1891" s="37" t="n">
        <v>500716</v>
      </c>
      <c r="B1891" s="37" t="s">
        <v>1568</v>
      </c>
      <c r="C1891" s="37" t="n">
        <v>202606</v>
      </c>
      <c r="D1891" s="37" t="s">
        <v>59</v>
      </c>
      <c r="E1891" s="37" t="s">
        <v>106</v>
      </c>
      <c r="F1891" s="37" t="s">
        <v>194</v>
      </c>
      <c r="G1891" s="37" t="s">
        <v>354</v>
      </c>
      <c r="H1891" s="37"/>
      <c r="I1891" s="37" t="s">
        <v>355</v>
      </c>
      <c r="J1891" s="37" t="s">
        <v>1569</v>
      </c>
      <c r="K1891" s="45" t="n">
        <v>181.7</v>
      </c>
      <c r="L1891" s="46" t="n">
        <v>12900.21</v>
      </c>
    </row>
    <row r="1892" customFormat="false" ht="15" hidden="false" customHeight="false" outlineLevel="0" collapsed="false">
      <c r="A1892" s="37" t="n">
        <v>500843</v>
      </c>
      <c r="B1892" s="37" t="s">
        <v>1568</v>
      </c>
      <c r="C1892" s="37" t="n">
        <v>202606</v>
      </c>
      <c r="D1892" s="37" t="s">
        <v>60</v>
      </c>
      <c r="E1892" s="37" t="s">
        <v>97</v>
      </c>
      <c r="F1892" s="37" t="s">
        <v>194</v>
      </c>
      <c r="G1892" s="37" t="s">
        <v>354</v>
      </c>
      <c r="H1892" s="37"/>
      <c r="I1892" s="37" t="s">
        <v>355</v>
      </c>
      <c r="J1892" s="37" t="s">
        <v>1569</v>
      </c>
      <c r="K1892" s="45" t="n">
        <v>364.5</v>
      </c>
      <c r="L1892" s="46" t="n">
        <v>33531.16</v>
      </c>
    </row>
    <row r="1893" customFormat="false" ht="15" hidden="false" customHeight="false" outlineLevel="0" collapsed="false">
      <c r="A1893" s="37" t="n">
        <v>501036</v>
      </c>
      <c r="B1893" s="37" t="s">
        <v>1568</v>
      </c>
      <c r="C1893" s="37" t="n">
        <v>202606</v>
      </c>
      <c r="D1893" s="37" t="s">
        <v>60</v>
      </c>
      <c r="E1893" s="37" t="s">
        <v>106</v>
      </c>
      <c r="F1893" s="37" t="s">
        <v>194</v>
      </c>
      <c r="G1893" s="37" t="s">
        <v>354</v>
      </c>
      <c r="H1893" s="37"/>
      <c r="I1893" s="37" t="s">
        <v>355</v>
      </c>
      <c r="J1893" s="37" t="s">
        <v>1569</v>
      </c>
      <c r="K1893" s="45" t="n">
        <v>367.6</v>
      </c>
      <c r="L1893" s="46" t="n">
        <v>26096.11</v>
      </c>
    </row>
    <row r="1894" customFormat="false" ht="15" hidden="false" customHeight="false" outlineLevel="0" collapsed="false">
      <c r="A1894" s="37" t="n">
        <v>501150</v>
      </c>
      <c r="B1894" s="37" t="s">
        <v>1568</v>
      </c>
      <c r="C1894" s="37" t="n">
        <v>202606</v>
      </c>
      <c r="D1894" s="37" t="s">
        <v>61</v>
      </c>
      <c r="E1894" s="37" t="s">
        <v>97</v>
      </c>
      <c r="F1894" s="37" t="s">
        <v>194</v>
      </c>
      <c r="G1894" s="37" t="s">
        <v>354</v>
      </c>
      <c r="H1894" s="37"/>
      <c r="I1894" s="37" t="s">
        <v>355</v>
      </c>
      <c r="J1894" s="37" t="s">
        <v>1569</v>
      </c>
      <c r="K1894" s="45" t="n">
        <v>121.8</v>
      </c>
      <c r="L1894" s="46" t="n">
        <v>11203.36</v>
      </c>
    </row>
    <row r="1895" customFormat="false" ht="15" hidden="false" customHeight="false" outlineLevel="0" collapsed="false">
      <c r="A1895" s="37" t="n">
        <v>501185</v>
      </c>
      <c r="B1895" s="37" t="s">
        <v>1568</v>
      </c>
      <c r="C1895" s="37" t="n">
        <v>202606</v>
      </c>
      <c r="D1895" s="37" t="s">
        <v>61</v>
      </c>
      <c r="E1895" s="37" t="s">
        <v>98</v>
      </c>
      <c r="F1895" s="37" t="s">
        <v>196</v>
      </c>
      <c r="G1895" s="37" t="s">
        <v>358</v>
      </c>
      <c r="H1895" s="37" t="s">
        <v>359</v>
      </c>
      <c r="I1895" s="37" t="s">
        <v>360</v>
      </c>
      <c r="J1895" s="37" t="s">
        <v>1571</v>
      </c>
      <c r="K1895" s="45" t="n">
        <v>0</v>
      </c>
      <c r="L1895" s="46" t="n">
        <v>5663.78</v>
      </c>
    </row>
    <row r="1896" customFormat="false" ht="15" hidden="false" customHeight="false" outlineLevel="0" collapsed="false">
      <c r="A1896" s="37" t="n">
        <v>501310</v>
      </c>
      <c r="B1896" s="37" t="s">
        <v>1568</v>
      </c>
      <c r="C1896" s="37" t="n">
        <v>202606</v>
      </c>
      <c r="D1896" s="37" t="s">
        <v>61</v>
      </c>
      <c r="E1896" s="37" t="s">
        <v>106</v>
      </c>
      <c r="F1896" s="37" t="s">
        <v>194</v>
      </c>
      <c r="G1896" s="37" t="s">
        <v>354</v>
      </c>
      <c r="H1896" s="37"/>
      <c r="I1896" s="37" t="s">
        <v>355</v>
      </c>
      <c r="J1896" s="37" t="s">
        <v>1569</v>
      </c>
      <c r="K1896" s="45" t="n">
        <v>31.2</v>
      </c>
      <c r="L1896" s="46" t="n">
        <v>2217.47</v>
      </c>
    </row>
    <row r="1897" customFormat="false" ht="15" hidden="false" customHeight="false" outlineLevel="0" collapsed="false">
      <c r="A1897" s="37" t="n">
        <v>501411</v>
      </c>
      <c r="B1897" s="37" t="s">
        <v>1568</v>
      </c>
      <c r="C1897" s="37" t="n">
        <v>202606</v>
      </c>
      <c r="D1897" s="37" t="s">
        <v>62</v>
      </c>
      <c r="E1897" s="37" t="s">
        <v>97</v>
      </c>
      <c r="F1897" s="37" t="s">
        <v>194</v>
      </c>
      <c r="G1897" s="37" t="s">
        <v>354</v>
      </c>
      <c r="H1897" s="37"/>
      <c r="I1897" s="37" t="s">
        <v>355</v>
      </c>
      <c r="J1897" s="37" t="s">
        <v>1569</v>
      </c>
      <c r="K1897" s="45" t="n">
        <v>570.8</v>
      </c>
      <c r="L1897" s="46" t="n">
        <v>52516.77</v>
      </c>
    </row>
    <row r="1898" customFormat="false" ht="15" hidden="false" customHeight="false" outlineLevel="0" collapsed="false">
      <c r="A1898" s="37" t="n">
        <v>501577</v>
      </c>
      <c r="B1898" s="37" t="s">
        <v>1568</v>
      </c>
      <c r="C1898" s="37" t="n">
        <v>202606</v>
      </c>
      <c r="D1898" s="37" t="s">
        <v>62</v>
      </c>
      <c r="E1898" s="37" t="s">
        <v>106</v>
      </c>
      <c r="F1898" s="37" t="s">
        <v>194</v>
      </c>
      <c r="G1898" s="37" t="s">
        <v>354</v>
      </c>
      <c r="H1898" s="37"/>
      <c r="I1898" s="37" t="s">
        <v>355</v>
      </c>
      <c r="J1898" s="37" t="s">
        <v>1569</v>
      </c>
      <c r="K1898" s="45" t="n">
        <v>184.6</v>
      </c>
      <c r="L1898" s="46" t="n">
        <v>13103.06</v>
      </c>
    </row>
    <row r="1899" customFormat="false" ht="15" hidden="false" customHeight="false" outlineLevel="0" collapsed="false">
      <c r="A1899" s="37" t="n">
        <v>501657</v>
      </c>
      <c r="B1899" s="37" t="s">
        <v>1568</v>
      </c>
      <c r="C1899" s="37" t="n">
        <v>202606</v>
      </c>
      <c r="D1899" s="37" t="s">
        <v>63</v>
      </c>
      <c r="E1899" s="37" t="s">
        <v>97</v>
      </c>
      <c r="F1899" s="37" t="s">
        <v>194</v>
      </c>
      <c r="G1899" s="37" t="s">
        <v>354</v>
      </c>
      <c r="H1899" s="37"/>
      <c r="I1899" s="37" t="s">
        <v>355</v>
      </c>
      <c r="J1899" s="37" t="s">
        <v>1569</v>
      </c>
      <c r="K1899" s="45" t="n">
        <v>287.1</v>
      </c>
      <c r="L1899" s="46" t="n">
        <v>26410.95</v>
      </c>
    </row>
    <row r="1900" customFormat="false" ht="15" hidden="false" customHeight="false" outlineLevel="0" collapsed="false">
      <c r="A1900" s="37" t="n">
        <v>501807</v>
      </c>
      <c r="B1900" s="37" t="s">
        <v>1568</v>
      </c>
      <c r="C1900" s="37" t="n">
        <v>202606</v>
      </c>
      <c r="D1900" s="37" t="s">
        <v>63</v>
      </c>
      <c r="E1900" s="37" t="s">
        <v>106</v>
      </c>
      <c r="F1900" s="37" t="s">
        <v>194</v>
      </c>
      <c r="G1900" s="37" t="s">
        <v>354</v>
      </c>
      <c r="H1900" s="37"/>
      <c r="I1900" s="37" t="s">
        <v>355</v>
      </c>
      <c r="J1900" s="37" t="s">
        <v>1569</v>
      </c>
      <c r="K1900" s="45" t="n">
        <v>159</v>
      </c>
      <c r="L1900" s="46" t="n">
        <v>11286.08</v>
      </c>
    </row>
    <row r="1901" customFormat="false" ht="15" hidden="false" customHeight="false" outlineLevel="0" collapsed="false">
      <c r="A1901" s="37" t="n">
        <v>501891</v>
      </c>
      <c r="B1901" s="37" t="s">
        <v>1568</v>
      </c>
      <c r="C1901" s="37" t="n">
        <v>202606</v>
      </c>
      <c r="D1901" s="37" t="s">
        <v>64</v>
      </c>
      <c r="E1901" s="37" t="s">
        <v>97</v>
      </c>
      <c r="F1901" s="37" t="s">
        <v>194</v>
      </c>
      <c r="G1901" s="37" t="s">
        <v>354</v>
      </c>
      <c r="H1901" s="37"/>
      <c r="I1901" s="37" t="s">
        <v>355</v>
      </c>
      <c r="J1901" s="37" t="s">
        <v>1569</v>
      </c>
      <c r="K1901" s="45" t="n">
        <v>289.2</v>
      </c>
      <c r="L1901" s="46" t="n">
        <v>26609.27</v>
      </c>
    </row>
    <row r="1902" customFormat="false" ht="15" hidden="false" customHeight="false" outlineLevel="0" collapsed="false">
      <c r="A1902" s="37" t="n">
        <v>501981</v>
      </c>
      <c r="B1902" s="37" t="s">
        <v>1568</v>
      </c>
      <c r="C1902" s="37" t="n">
        <v>202606</v>
      </c>
      <c r="D1902" s="37" t="s">
        <v>64</v>
      </c>
      <c r="E1902" s="37" t="s">
        <v>101</v>
      </c>
      <c r="F1902" s="37" t="s">
        <v>194</v>
      </c>
      <c r="G1902" s="37" t="s">
        <v>354</v>
      </c>
      <c r="H1902" s="37"/>
      <c r="I1902" s="37" t="s">
        <v>355</v>
      </c>
      <c r="J1902" s="37" t="s">
        <v>1569</v>
      </c>
      <c r="K1902" s="45" t="n">
        <v>8.4</v>
      </c>
      <c r="L1902" s="46" t="n">
        <v>620.42</v>
      </c>
    </row>
    <row r="1903" customFormat="false" ht="15" hidden="false" customHeight="false" outlineLevel="0" collapsed="false">
      <c r="A1903" s="37" t="n">
        <v>502036</v>
      </c>
      <c r="B1903" s="37" t="s">
        <v>1568</v>
      </c>
      <c r="C1903" s="37" t="n">
        <v>202606</v>
      </c>
      <c r="D1903" s="37" t="s">
        <v>64</v>
      </c>
      <c r="E1903" s="37" t="s">
        <v>106</v>
      </c>
      <c r="F1903" s="37" t="s">
        <v>194</v>
      </c>
      <c r="G1903" s="37" t="s">
        <v>354</v>
      </c>
      <c r="H1903" s="37"/>
      <c r="I1903" s="37" t="s">
        <v>355</v>
      </c>
      <c r="J1903" s="37" t="s">
        <v>1569</v>
      </c>
      <c r="K1903" s="45" t="n">
        <v>78.2</v>
      </c>
      <c r="L1903" s="46" t="n">
        <v>5551.09</v>
      </c>
    </row>
    <row r="1904" customFormat="false" ht="15" hidden="false" customHeight="false" outlineLevel="0" collapsed="false">
      <c r="A1904" s="37" t="n">
        <v>502107</v>
      </c>
      <c r="B1904" s="37" t="s">
        <v>1568</v>
      </c>
      <c r="C1904" s="37" t="n">
        <v>202606</v>
      </c>
      <c r="D1904" s="37" t="s">
        <v>65</v>
      </c>
      <c r="E1904" s="37" t="s">
        <v>97</v>
      </c>
      <c r="F1904" s="37" t="s">
        <v>194</v>
      </c>
      <c r="G1904" s="37" t="s">
        <v>354</v>
      </c>
      <c r="H1904" s="37"/>
      <c r="I1904" s="37" t="s">
        <v>355</v>
      </c>
      <c r="J1904" s="37" t="s">
        <v>1569</v>
      </c>
      <c r="K1904" s="45" t="n">
        <v>357.8</v>
      </c>
      <c r="L1904" s="46" t="n">
        <v>32914.53</v>
      </c>
    </row>
    <row r="1905" customFormat="false" ht="15" hidden="false" customHeight="false" outlineLevel="0" collapsed="false">
      <c r="A1905" s="37" t="n">
        <v>502186</v>
      </c>
      <c r="B1905" s="37" t="s">
        <v>1568</v>
      </c>
      <c r="C1905" s="37" t="n">
        <v>202606</v>
      </c>
      <c r="D1905" s="37" t="s">
        <v>65</v>
      </c>
      <c r="E1905" s="37" t="s">
        <v>101</v>
      </c>
      <c r="F1905" s="37" t="s">
        <v>194</v>
      </c>
      <c r="G1905" s="37" t="s">
        <v>354</v>
      </c>
      <c r="H1905" s="37"/>
      <c r="I1905" s="37" t="s">
        <v>355</v>
      </c>
      <c r="J1905" s="37" t="s">
        <v>1569</v>
      </c>
      <c r="K1905" s="45" t="n">
        <v>47.3</v>
      </c>
      <c r="L1905" s="46" t="n">
        <v>3500.77</v>
      </c>
    </row>
    <row r="1906" customFormat="false" ht="15" hidden="false" customHeight="false" outlineLevel="0" collapsed="false">
      <c r="A1906" s="37" t="n">
        <v>502228</v>
      </c>
      <c r="B1906" s="37" t="s">
        <v>1568</v>
      </c>
      <c r="C1906" s="37" t="n">
        <v>202606</v>
      </c>
      <c r="D1906" s="37" t="s">
        <v>65</v>
      </c>
      <c r="E1906" s="37" t="s">
        <v>106</v>
      </c>
      <c r="F1906" s="37" t="s">
        <v>194</v>
      </c>
      <c r="G1906" s="37" t="s">
        <v>354</v>
      </c>
      <c r="H1906" s="37"/>
      <c r="I1906" s="37" t="s">
        <v>355</v>
      </c>
      <c r="J1906" s="37" t="s">
        <v>1569</v>
      </c>
      <c r="K1906" s="45" t="n">
        <v>94.5</v>
      </c>
      <c r="L1906" s="46" t="n">
        <v>6711.6</v>
      </c>
    </row>
    <row r="1907" customFormat="false" ht="15" hidden="false" customHeight="false" outlineLevel="0" collapsed="false">
      <c r="A1907" s="37" t="n">
        <v>502290</v>
      </c>
      <c r="B1907" s="37" t="s">
        <v>1568</v>
      </c>
      <c r="C1907" s="37" t="n">
        <v>202606</v>
      </c>
      <c r="D1907" s="37" t="s">
        <v>66</v>
      </c>
      <c r="E1907" s="37" t="s">
        <v>97</v>
      </c>
      <c r="F1907" s="37" t="s">
        <v>194</v>
      </c>
      <c r="G1907" s="37" t="s">
        <v>354</v>
      </c>
      <c r="H1907" s="37"/>
      <c r="I1907" s="37" t="s">
        <v>355</v>
      </c>
      <c r="J1907" s="37" t="s">
        <v>1569</v>
      </c>
      <c r="K1907" s="45" t="n">
        <v>404.4</v>
      </c>
      <c r="L1907" s="46" t="n">
        <v>37202.85</v>
      </c>
    </row>
    <row r="1908" customFormat="false" ht="15" hidden="false" customHeight="false" outlineLevel="0" collapsed="false">
      <c r="A1908" s="37" t="n">
        <v>502316</v>
      </c>
      <c r="B1908" s="37" t="s">
        <v>1568</v>
      </c>
      <c r="C1908" s="37" t="n">
        <v>202606</v>
      </c>
      <c r="D1908" s="37" t="s">
        <v>66</v>
      </c>
      <c r="E1908" s="37" t="s">
        <v>98</v>
      </c>
      <c r="F1908" s="37" t="s">
        <v>196</v>
      </c>
      <c r="G1908" s="37" t="s">
        <v>358</v>
      </c>
      <c r="H1908" s="37" t="s">
        <v>359</v>
      </c>
      <c r="I1908" s="37" t="s">
        <v>360</v>
      </c>
      <c r="J1908" s="37" t="s">
        <v>1572</v>
      </c>
      <c r="K1908" s="45" t="n">
        <v>0</v>
      </c>
      <c r="L1908" s="46" t="n">
        <v>16824.08</v>
      </c>
    </row>
    <row r="1909" customFormat="false" ht="15" hidden="false" customHeight="false" outlineLevel="0" collapsed="false">
      <c r="A1909" s="37" t="n">
        <v>502355</v>
      </c>
      <c r="B1909" s="37" t="s">
        <v>1568</v>
      </c>
      <c r="C1909" s="37" t="n">
        <v>202606</v>
      </c>
      <c r="D1909" s="37" t="s">
        <v>66</v>
      </c>
      <c r="E1909" s="37" t="s">
        <v>101</v>
      </c>
      <c r="F1909" s="37" t="s">
        <v>194</v>
      </c>
      <c r="G1909" s="37" t="s">
        <v>354</v>
      </c>
      <c r="H1909" s="37"/>
      <c r="I1909" s="37" t="s">
        <v>355</v>
      </c>
      <c r="J1909" s="37" t="s">
        <v>1569</v>
      </c>
      <c r="K1909" s="45" t="n">
        <v>698.9</v>
      </c>
      <c r="L1909" s="46" t="n">
        <v>51721.82</v>
      </c>
    </row>
    <row r="1910" customFormat="false" ht="15" hidden="false" customHeight="false" outlineLevel="0" collapsed="false">
      <c r="A1910" s="37" t="n">
        <v>502433</v>
      </c>
      <c r="B1910" s="37" t="s">
        <v>1568</v>
      </c>
      <c r="C1910" s="37" t="n">
        <v>202606</v>
      </c>
      <c r="D1910" s="37" t="s">
        <v>67</v>
      </c>
      <c r="E1910" s="37" t="s">
        <v>97</v>
      </c>
      <c r="F1910" s="37" t="s">
        <v>194</v>
      </c>
      <c r="G1910" s="37" t="s">
        <v>354</v>
      </c>
      <c r="H1910" s="37"/>
      <c r="I1910" s="37" t="s">
        <v>355</v>
      </c>
      <c r="J1910" s="37" t="s">
        <v>1569</v>
      </c>
      <c r="K1910" s="45" t="n">
        <v>285.4</v>
      </c>
      <c r="L1910" s="46" t="n">
        <v>26257.04</v>
      </c>
    </row>
    <row r="1911" customFormat="false" ht="15" hidden="false" customHeight="false" outlineLevel="0" collapsed="false">
      <c r="A1911" s="37" t="n">
        <v>502487</v>
      </c>
      <c r="B1911" s="37" t="s">
        <v>1568</v>
      </c>
      <c r="C1911" s="37" t="n">
        <v>202606</v>
      </c>
      <c r="D1911" s="37" t="s">
        <v>67</v>
      </c>
      <c r="E1911" s="37" t="s">
        <v>101</v>
      </c>
      <c r="F1911" s="37" t="s">
        <v>194</v>
      </c>
      <c r="G1911" s="37" t="s">
        <v>354</v>
      </c>
      <c r="H1911" s="37"/>
      <c r="I1911" s="37" t="s">
        <v>355</v>
      </c>
      <c r="J1911" s="37" t="s">
        <v>1569</v>
      </c>
      <c r="K1911" s="45" t="n">
        <v>311.6</v>
      </c>
      <c r="L1911" s="46" t="n">
        <v>23055.12</v>
      </c>
    </row>
    <row r="1912" customFormat="false" ht="15" hidden="false" customHeight="false" outlineLevel="0" collapsed="false">
      <c r="A1912" s="37" t="n">
        <v>502549</v>
      </c>
      <c r="B1912" s="37" t="s">
        <v>1568</v>
      </c>
      <c r="C1912" s="37" t="n">
        <v>202606</v>
      </c>
      <c r="D1912" s="37" t="s">
        <v>68</v>
      </c>
      <c r="E1912" s="37" t="s">
        <v>97</v>
      </c>
      <c r="F1912" s="37" t="s">
        <v>194</v>
      </c>
      <c r="G1912" s="37" t="s">
        <v>354</v>
      </c>
      <c r="H1912" s="37"/>
      <c r="I1912" s="37" t="s">
        <v>355</v>
      </c>
      <c r="J1912" s="37" t="s">
        <v>1569</v>
      </c>
      <c r="K1912" s="45" t="n">
        <v>43.4</v>
      </c>
      <c r="L1912" s="46" t="n">
        <v>3992.93</v>
      </c>
    </row>
    <row r="1913" customFormat="false" ht="15" hidden="false" customHeight="false" outlineLevel="0" collapsed="false">
      <c r="A1913" s="37" t="n">
        <v>502586</v>
      </c>
      <c r="B1913" s="37" t="s">
        <v>1568</v>
      </c>
      <c r="C1913" s="37" t="n">
        <v>202606</v>
      </c>
      <c r="D1913" s="37" t="s">
        <v>68</v>
      </c>
      <c r="E1913" s="37" t="s">
        <v>101</v>
      </c>
      <c r="F1913" s="37" t="s">
        <v>194</v>
      </c>
      <c r="G1913" s="37" t="s">
        <v>354</v>
      </c>
      <c r="H1913" s="37"/>
      <c r="I1913" s="37" t="s">
        <v>355</v>
      </c>
      <c r="J1913" s="37" t="s">
        <v>1569</v>
      </c>
      <c r="K1913" s="45" t="n">
        <v>220.1</v>
      </c>
      <c r="L1913" s="46" t="n">
        <v>16286.01</v>
      </c>
    </row>
    <row r="1914" customFormat="false" ht="15" hidden="false" customHeight="false" outlineLevel="0" collapsed="false">
      <c r="A1914" s="37" t="n">
        <v>501062</v>
      </c>
      <c r="B1914" s="37" t="s">
        <v>1573</v>
      </c>
      <c r="C1914" s="37" t="n">
        <v>202606</v>
      </c>
      <c r="D1914" s="37" t="s">
        <v>60</v>
      </c>
      <c r="E1914" s="37" t="s">
        <v>108</v>
      </c>
      <c r="F1914" s="37" t="s">
        <v>205</v>
      </c>
      <c r="G1914" s="37" t="s">
        <v>358</v>
      </c>
      <c r="H1914" s="37" t="s">
        <v>1488</v>
      </c>
      <c r="I1914" s="37" t="s">
        <v>1489</v>
      </c>
      <c r="J1914" s="37" t="s">
        <v>1574</v>
      </c>
      <c r="K1914" s="45" t="n">
        <v>0</v>
      </c>
      <c r="L1914" s="46" t="n">
        <v>35838.48</v>
      </c>
    </row>
    <row r="1915" customFormat="false" ht="15" hidden="false" customHeight="false" outlineLevel="0" collapsed="false">
      <c r="A1915" s="37" t="n">
        <v>502457</v>
      </c>
      <c r="B1915" s="37" t="s">
        <v>1573</v>
      </c>
      <c r="C1915" s="37" t="n">
        <v>202606</v>
      </c>
      <c r="D1915" s="37" t="s">
        <v>67</v>
      </c>
      <c r="E1915" s="37" t="s">
        <v>98</v>
      </c>
      <c r="F1915" s="37" t="s">
        <v>196</v>
      </c>
      <c r="G1915" s="37" t="s">
        <v>358</v>
      </c>
      <c r="H1915" s="37" t="s">
        <v>359</v>
      </c>
      <c r="I1915" s="37" t="s">
        <v>360</v>
      </c>
      <c r="J1915" s="37" t="s">
        <v>1575</v>
      </c>
      <c r="K1915" s="45" t="n">
        <v>0</v>
      </c>
      <c r="L1915" s="46" t="n">
        <v>8342.18</v>
      </c>
    </row>
    <row r="1916" customFormat="false" ht="15" hidden="false" customHeight="false" outlineLevel="0" collapsed="false">
      <c r="A1916" s="37" t="n">
        <v>502508</v>
      </c>
      <c r="B1916" s="37" t="s">
        <v>1573</v>
      </c>
      <c r="C1916" s="37" t="n">
        <v>202606</v>
      </c>
      <c r="D1916" s="37" t="s">
        <v>67</v>
      </c>
      <c r="E1916" s="37" t="s">
        <v>102</v>
      </c>
      <c r="F1916" s="37" t="s">
        <v>205</v>
      </c>
      <c r="G1916" s="37" t="s">
        <v>358</v>
      </c>
      <c r="H1916" s="37" t="s">
        <v>1375</v>
      </c>
      <c r="I1916" s="37" t="s">
        <v>892</v>
      </c>
      <c r="J1916" s="37" t="s">
        <v>1576</v>
      </c>
      <c r="K1916" s="45" t="n">
        <v>0</v>
      </c>
      <c r="L1916" s="46" t="n">
        <v>55973.56</v>
      </c>
    </row>
    <row r="1917" customFormat="false" ht="15" hidden="false" customHeight="false" outlineLevel="0" collapsed="false">
      <c r="A1917" s="37" t="n">
        <v>502458</v>
      </c>
      <c r="B1917" s="37" t="s">
        <v>1577</v>
      </c>
      <c r="C1917" s="37" t="n">
        <v>202606</v>
      </c>
      <c r="D1917" s="37" t="s">
        <v>67</v>
      </c>
      <c r="E1917" s="37" t="s">
        <v>98</v>
      </c>
      <c r="F1917" s="37" t="s">
        <v>196</v>
      </c>
      <c r="G1917" s="37" t="s">
        <v>358</v>
      </c>
      <c r="H1917" s="37" t="s">
        <v>359</v>
      </c>
      <c r="I1917" s="37" t="s">
        <v>360</v>
      </c>
      <c r="J1917" s="37" t="s">
        <v>1578</v>
      </c>
      <c r="K1917" s="45" t="n">
        <v>0</v>
      </c>
      <c r="L1917" s="46" t="n">
        <v>8616.6</v>
      </c>
    </row>
    <row r="1918" customFormat="false" ht="15" hidden="false" customHeight="false" outlineLevel="0" collapsed="false">
      <c r="A1918" s="37" t="n">
        <v>502603</v>
      </c>
      <c r="B1918" s="37" t="s">
        <v>1577</v>
      </c>
      <c r="C1918" s="37" t="n">
        <v>202606</v>
      </c>
      <c r="D1918" s="37" t="s">
        <v>68</v>
      </c>
      <c r="E1918" s="37" t="s">
        <v>102</v>
      </c>
      <c r="F1918" s="37" t="s">
        <v>205</v>
      </c>
      <c r="G1918" s="37" t="s">
        <v>358</v>
      </c>
      <c r="H1918" s="37" t="s">
        <v>1566</v>
      </c>
      <c r="I1918" s="37" t="s">
        <v>715</v>
      </c>
      <c r="J1918" s="37" t="s">
        <v>1579</v>
      </c>
      <c r="K1918" s="45" t="n">
        <v>0</v>
      </c>
      <c r="L1918" s="46" t="n">
        <v>18210.81</v>
      </c>
    </row>
    <row r="1919" customFormat="false" ht="15" hidden="false" customHeight="false" outlineLevel="0" collapsed="false">
      <c r="A1919" s="37" t="n">
        <v>502135</v>
      </c>
      <c r="B1919" s="37" t="s">
        <v>1580</v>
      </c>
      <c r="C1919" s="37" t="n">
        <v>202606</v>
      </c>
      <c r="D1919" s="37" t="s">
        <v>65</v>
      </c>
      <c r="E1919" s="37" t="s">
        <v>98</v>
      </c>
      <c r="F1919" s="37" t="s">
        <v>196</v>
      </c>
      <c r="G1919" s="37" t="s">
        <v>358</v>
      </c>
      <c r="H1919" s="37" t="s">
        <v>359</v>
      </c>
      <c r="I1919" s="37" t="s">
        <v>360</v>
      </c>
      <c r="J1919" s="37" t="s">
        <v>1581</v>
      </c>
      <c r="K1919" s="45" t="n">
        <v>0</v>
      </c>
      <c r="L1919" s="46" t="n">
        <v>33567.26</v>
      </c>
    </row>
    <row r="1920" customFormat="false" ht="15" hidden="false" customHeight="false" outlineLevel="0" collapsed="false">
      <c r="A1920" s="37" t="n">
        <v>502213</v>
      </c>
      <c r="B1920" s="37" t="s">
        <v>1580</v>
      </c>
      <c r="C1920" s="37" t="n">
        <v>202606</v>
      </c>
      <c r="D1920" s="37" t="s">
        <v>65</v>
      </c>
      <c r="E1920" s="37" t="s">
        <v>103</v>
      </c>
      <c r="F1920" s="37" t="s">
        <v>205</v>
      </c>
      <c r="G1920" s="37" t="s">
        <v>358</v>
      </c>
      <c r="H1920" s="37" t="s">
        <v>1051</v>
      </c>
      <c r="I1920" s="37" t="s">
        <v>898</v>
      </c>
      <c r="J1920" s="37" t="s">
        <v>1582</v>
      </c>
      <c r="K1920" s="45" t="n">
        <v>0</v>
      </c>
      <c r="L1920" s="46" t="n">
        <v>9863.55</v>
      </c>
    </row>
    <row r="1921" customFormat="false" ht="15" hidden="false" customHeight="false" outlineLevel="0" collapsed="false">
      <c r="A1921" s="37" t="n">
        <v>500744</v>
      </c>
      <c r="B1921" s="37" t="s">
        <v>1583</v>
      </c>
      <c r="C1921" s="37" t="n">
        <v>202606</v>
      </c>
      <c r="D1921" s="37" t="s">
        <v>59</v>
      </c>
      <c r="E1921" s="37" t="s">
        <v>108</v>
      </c>
      <c r="F1921" s="37" t="s">
        <v>205</v>
      </c>
      <c r="G1921" s="37" t="s">
        <v>358</v>
      </c>
      <c r="H1921" s="37" t="s">
        <v>1385</v>
      </c>
      <c r="I1921" s="37" t="s">
        <v>1386</v>
      </c>
      <c r="J1921" s="37" t="s">
        <v>1584</v>
      </c>
      <c r="K1921" s="45" t="n">
        <v>0</v>
      </c>
      <c r="L1921" s="46" t="n">
        <v>14838.61</v>
      </c>
    </row>
    <row r="1922" customFormat="false" ht="15" hidden="false" customHeight="false" outlineLevel="0" collapsed="false">
      <c r="A1922" s="37" t="n">
        <v>501063</v>
      </c>
      <c r="B1922" s="37" t="s">
        <v>1583</v>
      </c>
      <c r="C1922" s="37" t="n">
        <v>202606</v>
      </c>
      <c r="D1922" s="37" t="s">
        <v>60</v>
      </c>
      <c r="E1922" s="37" t="s">
        <v>108</v>
      </c>
      <c r="F1922" s="37" t="s">
        <v>205</v>
      </c>
      <c r="G1922" s="37" t="s">
        <v>358</v>
      </c>
      <c r="H1922" s="37" t="s">
        <v>1488</v>
      </c>
      <c r="I1922" s="37" t="s">
        <v>1489</v>
      </c>
      <c r="J1922" s="37" t="s">
        <v>1585</v>
      </c>
      <c r="K1922" s="45" t="n">
        <v>0</v>
      </c>
      <c r="L1922" s="46" t="n">
        <v>22154.22</v>
      </c>
    </row>
    <row r="1923" customFormat="false" ht="15" hidden="false" customHeight="false" outlineLevel="0" collapsed="false">
      <c r="A1923" s="37" t="n">
        <v>501448</v>
      </c>
      <c r="B1923" s="37" t="s">
        <v>1583</v>
      </c>
      <c r="C1923" s="37" t="n">
        <v>202606</v>
      </c>
      <c r="D1923" s="37" t="s">
        <v>62</v>
      </c>
      <c r="E1923" s="37" t="s">
        <v>98</v>
      </c>
      <c r="F1923" s="37" t="s">
        <v>196</v>
      </c>
      <c r="G1923" s="37" t="s">
        <v>358</v>
      </c>
      <c r="H1923" s="37" t="s">
        <v>359</v>
      </c>
      <c r="I1923" s="37" t="s">
        <v>360</v>
      </c>
      <c r="J1923" s="37" t="s">
        <v>1586</v>
      </c>
      <c r="K1923" s="45" t="n">
        <v>0</v>
      </c>
      <c r="L1923" s="46" t="n">
        <v>67696.42</v>
      </c>
    </row>
    <row r="1924" customFormat="false" ht="15" hidden="false" customHeight="false" outlineLevel="0" collapsed="false">
      <c r="A1924" s="37" t="n">
        <v>501550</v>
      </c>
      <c r="B1924" s="37" t="s">
        <v>1583</v>
      </c>
      <c r="C1924" s="37" t="n">
        <v>202606</v>
      </c>
      <c r="D1924" s="37" t="s">
        <v>62</v>
      </c>
      <c r="E1924" s="37" t="s">
        <v>103</v>
      </c>
      <c r="F1924" s="37" t="s">
        <v>205</v>
      </c>
      <c r="G1924" s="37" t="s">
        <v>358</v>
      </c>
      <c r="H1924" s="37" t="s">
        <v>897</v>
      </c>
      <c r="I1924" s="37" t="s">
        <v>898</v>
      </c>
      <c r="J1924" s="37" t="s">
        <v>1587</v>
      </c>
      <c r="K1924" s="45" t="n">
        <v>0</v>
      </c>
      <c r="L1924" s="46" t="n">
        <v>32458.59</v>
      </c>
    </row>
    <row r="1925" customFormat="false" ht="15" hidden="false" customHeight="false" outlineLevel="0" collapsed="false">
      <c r="A1925" s="37" t="n">
        <v>502509</v>
      </c>
      <c r="B1925" s="37" t="s">
        <v>1583</v>
      </c>
      <c r="C1925" s="37" t="n">
        <v>202606</v>
      </c>
      <c r="D1925" s="37" t="s">
        <v>67</v>
      </c>
      <c r="E1925" s="37" t="s">
        <v>102</v>
      </c>
      <c r="F1925" s="37" t="s">
        <v>205</v>
      </c>
      <c r="G1925" s="37" t="s">
        <v>358</v>
      </c>
      <c r="H1925" s="37" t="s">
        <v>1375</v>
      </c>
      <c r="I1925" s="37" t="s">
        <v>892</v>
      </c>
      <c r="J1925" s="37" t="s">
        <v>1588</v>
      </c>
      <c r="K1925" s="45" t="n">
        <v>0</v>
      </c>
      <c r="L1925" s="46" t="n">
        <v>85240.89</v>
      </c>
    </row>
    <row r="1926" customFormat="false" ht="15" hidden="false" customHeight="false" outlineLevel="0" collapsed="false">
      <c r="A1926" s="37" t="n">
        <v>500107</v>
      </c>
      <c r="B1926" s="37" t="s">
        <v>1589</v>
      </c>
      <c r="C1926" s="37" t="n">
        <v>202606</v>
      </c>
      <c r="D1926" s="37" t="s">
        <v>58</v>
      </c>
      <c r="E1926" s="37" t="s">
        <v>97</v>
      </c>
      <c r="F1926" s="37" t="s">
        <v>194</v>
      </c>
      <c r="G1926" s="37" t="s">
        <v>354</v>
      </c>
      <c r="H1926" s="37"/>
      <c r="I1926" s="37" t="s">
        <v>355</v>
      </c>
      <c r="J1926" s="37" t="s">
        <v>1590</v>
      </c>
      <c r="K1926" s="45" t="n">
        <v>18.4</v>
      </c>
      <c r="L1926" s="46" t="n">
        <v>1690.63</v>
      </c>
    </row>
    <row r="1927" customFormat="false" ht="15" hidden="false" customHeight="false" outlineLevel="0" collapsed="false">
      <c r="A1927" s="37" t="n">
        <v>500515</v>
      </c>
      <c r="B1927" s="37" t="s">
        <v>1589</v>
      </c>
      <c r="C1927" s="37" t="n">
        <v>202606</v>
      </c>
      <c r="D1927" s="37" t="s">
        <v>59</v>
      </c>
      <c r="E1927" s="37" t="s">
        <v>97</v>
      </c>
      <c r="F1927" s="37" t="s">
        <v>194</v>
      </c>
      <c r="G1927" s="37" t="s">
        <v>354</v>
      </c>
      <c r="H1927" s="37"/>
      <c r="I1927" s="37" t="s">
        <v>355</v>
      </c>
      <c r="J1927" s="37" t="s">
        <v>1590</v>
      </c>
      <c r="K1927" s="45" t="n">
        <v>257.7</v>
      </c>
      <c r="L1927" s="46" t="n">
        <v>23709.29</v>
      </c>
    </row>
    <row r="1928" customFormat="false" ht="15" hidden="false" customHeight="false" outlineLevel="0" collapsed="false">
      <c r="A1928" s="37" t="n">
        <v>500717</v>
      </c>
      <c r="B1928" s="37" t="s">
        <v>1589</v>
      </c>
      <c r="C1928" s="37" t="n">
        <v>202606</v>
      </c>
      <c r="D1928" s="37" t="s">
        <v>59</v>
      </c>
      <c r="E1928" s="37" t="s">
        <v>106</v>
      </c>
      <c r="F1928" s="37" t="s">
        <v>194</v>
      </c>
      <c r="G1928" s="37" t="s">
        <v>354</v>
      </c>
      <c r="H1928" s="37"/>
      <c r="I1928" s="37" t="s">
        <v>355</v>
      </c>
      <c r="J1928" s="37" t="s">
        <v>1590</v>
      </c>
      <c r="K1928" s="45" t="n">
        <v>39.8</v>
      </c>
      <c r="L1928" s="46" t="n">
        <v>2824.96</v>
      </c>
    </row>
    <row r="1929" customFormat="false" ht="15" hidden="false" customHeight="false" outlineLevel="0" collapsed="false">
      <c r="A1929" s="37" t="n">
        <v>500844</v>
      </c>
      <c r="B1929" s="37" t="s">
        <v>1589</v>
      </c>
      <c r="C1929" s="37" t="n">
        <v>202606</v>
      </c>
      <c r="D1929" s="37" t="s">
        <v>60</v>
      </c>
      <c r="E1929" s="37" t="s">
        <v>97</v>
      </c>
      <c r="F1929" s="37" t="s">
        <v>194</v>
      </c>
      <c r="G1929" s="37" t="s">
        <v>354</v>
      </c>
      <c r="H1929" s="37"/>
      <c r="I1929" s="37" t="s">
        <v>355</v>
      </c>
      <c r="J1929" s="37" t="s">
        <v>1590</v>
      </c>
      <c r="K1929" s="45" t="n">
        <v>155.8</v>
      </c>
      <c r="L1929" s="46" t="n">
        <v>14334.83</v>
      </c>
    </row>
    <row r="1930" customFormat="false" ht="15" hidden="false" customHeight="false" outlineLevel="0" collapsed="false">
      <c r="A1930" s="37" t="n">
        <v>501037</v>
      </c>
      <c r="B1930" s="37" t="s">
        <v>1589</v>
      </c>
      <c r="C1930" s="37" t="n">
        <v>202606</v>
      </c>
      <c r="D1930" s="37" t="s">
        <v>60</v>
      </c>
      <c r="E1930" s="37" t="s">
        <v>106</v>
      </c>
      <c r="F1930" s="37" t="s">
        <v>194</v>
      </c>
      <c r="G1930" s="37" t="s">
        <v>354</v>
      </c>
      <c r="H1930" s="37"/>
      <c r="I1930" s="37" t="s">
        <v>355</v>
      </c>
      <c r="J1930" s="37" t="s">
        <v>1590</v>
      </c>
      <c r="K1930" s="45" t="n">
        <v>524.6</v>
      </c>
      <c r="L1930" s="46" t="n">
        <v>37244.99</v>
      </c>
    </row>
    <row r="1931" customFormat="false" ht="15" hidden="false" customHeight="false" outlineLevel="0" collapsed="false">
      <c r="A1931" s="37" t="n">
        <v>501151</v>
      </c>
      <c r="B1931" s="37" t="s">
        <v>1589</v>
      </c>
      <c r="C1931" s="37" t="n">
        <v>202606</v>
      </c>
      <c r="D1931" s="37" t="s">
        <v>61</v>
      </c>
      <c r="E1931" s="37" t="s">
        <v>97</v>
      </c>
      <c r="F1931" s="37" t="s">
        <v>194</v>
      </c>
      <c r="G1931" s="37" t="s">
        <v>354</v>
      </c>
      <c r="H1931" s="37"/>
      <c r="I1931" s="37" t="s">
        <v>355</v>
      </c>
      <c r="J1931" s="37" t="s">
        <v>1590</v>
      </c>
      <c r="K1931" s="45" t="n">
        <v>204.5</v>
      </c>
      <c r="L1931" s="46" t="n">
        <v>18811.83</v>
      </c>
    </row>
    <row r="1932" customFormat="false" ht="15" hidden="false" customHeight="false" outlineLevel="0" collapsed="false">
      <c r="A1932" s="37" t="n">
        <v>501311</v>
      </c>
      <c r="B1932" s="37" t="s">
        <v>1589</v>
      </c>
      <c r="C1932" s="37" t="n">
        <v>202606</v>
      </c>
      <c r="D1932" s="37" t="s">
        <v>61</v>
      </c>
      <c r="E1932" s="37" t="s">
        <v>106</v>
      </c>
      <c r="F1932" s="37" t="s">
        <v>194</v>
      </c>
      <c r="G1932" s="37" t="s">
        <v>354</v>
      </c>
      <c r="H1932" s="37"/>
      <c r="I1932" s="37" t="s">
        <v>355</v>
      </c>
      <c r="J1932" s="37" t="s">
        <v>1590</v>
      </c>
      <c r="K1932" s="45" t="n">
        <v>98.9</v>
      </c>
      <c r="L1932" s="46" t="n">
        <v>7018.49</v>
      </c>
    </row>
    <row r="1933" customFormat="false" ht="15" hidden="false" customHeight="false" outlineLevel="0" collapsed="false">
      <c r="A1933" s="37" t="n">
        <v>501412</v>
      </c>
      <c r="B1933" s="37" t="s">
        <v>1589</v>
      </c>
      <c r="C1933" s="37" t="n">
        <v>202606</v>
      </c>
      <c r="D1933" s="37" t="s">
        <v>62</v>
      </c>
      <c r="E1933" s="37" t="s">
        <v>97</v>
      </c>
      <c r="F1933" s="37" t="s">
        <v>194</v>
      </c>
      <c r="G1933" s="37" t="s">
        <v>354</v>
      </c>
      <c r="H1933" s="37"/>
      <c r="I1933" s="37" t="s">
        <v>355</v>
      </c>
      <c r="J1933" s="37" t="s">
        <v>1590</v>
      </c>
      <c r="K1933" s="45" t="n">
        <v>400.6</v>
      </c>
      <c r="L1933" s="46" t="n">
        <v>36855.9</v>
      </c>
    </row>
    <row r="1934" customFormat="false" ht="15" hidden="false" customHeight="false" outlineLevel="0" collapsed="false">
      <c r="A1934" s="37" t="n">
        <v>501578</v>
      </c>
      <c r="B1934" s="37" t="s">
        <v>1589</v>
      </c>
      <c r="C1934" s="37" t="n">
        <v>202606</v>
      </c>
      <c r="D1934" s="37" t="s">
        <v>62</v>
      </c>
      <c r="E1934" s="37" t="s">
        <v>106</v>
      </c>
      <c r="F1934" s="37" t="s">
        <v>194</v>
      </c>
      <c r="G1934" s="37" t="s">
        <v>354</v>
      </c>
      <c r="H1934" s="37"/>
      <c r="I1934" s="37" t="s">
        <v>355</v>
      </c>
      <c r="J1934" s="37" t="s">
        <v>1590</v>
      </c>
      <c r="K1934" s="45" t="n">
        <v>414.7</v>
      </c>
      <c r="L1934" s="46" t="n">
        <v>29442.86</v>
      </c>
    </row>
    <row r="1935" customFormat="false" ht="15" hidden="false" customHeight="false" outlineLevel="0" collapsed="false">
      <c r="A1935" s="37" t="n">
        <v>501658</v>
      </c>
      <c r="B1935" s="37" t="s">
        <v>1589</v>
      </c>
      <c r="C1935" s="37" t="n">
        <v>202606</v>
      </c>
      <c r="D1935" s="37" t="s">
        <v>63</v>
      </c>
      <c r="E1935" s="37" t="s">
        <v>97</v>
      </c>
      <c r="F1935" s="37" t="s">
        <v>194</v>
      </c>
      <c r="G1935" s="37" t="s">
        <v>354</v>
      </c>
      <c r="H1935" s="37"/>
      <c r="I1935" s="37" t="s">
        <v>355</v>
      </c>
      <c r="J1935" s="37" t="s">
        <v>1590</v>
      </c>
      <c r="K1935" s="45" t="n">
        <v>89.3</v>
      </c>
      <c r="L1935" s="46" t="n">
        <v>8219.24</v>
      </c>
    </row>
    <row r="1936" customFormat="false" ht="15" hidden="false" customHeight="false" outlineLevel="0" collapsed="false">
      <c r="A1936" s="37" t="n">
        <v>501808</v>
      </c>
      <c r="B1936" s="37" t="s">
        <v>1589</v>
      </c>
      <c r="C1936" s="37" t="n">
        <v>202606</v>
      </c>
      <c r="D1936" s="37" t="s">
        <v>63</v>
      </c>
      <c r="E1936" s="37" t="s">
        <v>106</v>
      </c>
      <c r="F1936" s="37" t="s">
        <v>194</v>
      </c>
      <c r="G1936" s="37" t="s">
        <v>354</v>
      </c>
      <c r="H1936" s="37"/>
      <c r="I1936" s="37" t="s">
        <v>355</v>
      </c>
      <c r="J1936" s="37" t="s">
        <v>1590</v>
      </c>
      <c r="K1936" s="45" t="n">
        <v>164.9</v>
      </c>
      <c r="L1936" s="46" t="n">
        <v>11709.92</v>
      </c>
    </row>
    <row r="1937" customFormat="false" ht="15" hidden="false" customHeight="false" outlineLevel="0" collapsed="false">
      <c r="A1937" s="37" t="n">
        <v>501892</v>
      </c>
      <c r="B1937" s="37" t="s">
        <v>1589</v>
      </c>
      <c r="C1937" s="37" t="n">
        <v>202606</v>
      </c>
      <c r="D1937" s="37" t="s">
        <v>64</v>
      </c>
      <c r="E1937" s="37" t="s">
        <v>97</v>
      </c>
      <c r="F1937" s="37" t="s">
        <v>194</v>
      </c>
      <c r="G1937" s="37" t="s">
        <v>354</v>
      </c>
      <c r="H1937" s="37"/>
      <c r="I1937" s="37" t="s">
        <v>355</v>
      </c>
      <c r="J1937" s="37" t="s">
        <v>1590</v>
      </c>
      <c r="K1937" s="45" t="n">
        <v>368.3</v>
      </c>
      <c r="L1937" s="46" t="n">
        <v>33879.69</v>
      </c>
    </row>
    <row r="1938" customFormat="false" ht="15" hidden="false" customHeight="false" outlineLevel="0" collapsed="false">
      <c r="A1938" s="37" t="n">
        <v>501982</v>
      </c>
      <c r="B1938" s="37" t="s">
        <v>1589</v>
      </c>
      <c r="C1938" s="37" t="n">
        <v>202606</v>
      </c>
      <c r="D1938" s="37" t="s">
        <v>64</v>
      </c>
      <c r="E1938" s="37" t="s">
        <v>101</v>
      </c>
      <c r="F1938" s="37" t="s">
        <v>194</v>
      </c>
      <c r="G1938" s="37" t="s">
        <v>354</v>
      </c>
      <c r="H1938" s="37"/>
      <c r="I1938" s="37" t="s">
        <v>355</v>
      </c>
      <c r="J1938" s="37" t="s">
        <v>1590</v>
      </c>
      <c r="K1938" s="45" t="n">
        <v>31.7</v>
      </c>
      <c r="L1938" s="46" t="n">
        <v>2346.37</v>
      </c>
    </row>
    <row r="1939" customFormat="false" ht="15" hidden="false" customHeight="false" outlineLevel="0" collapsed="false">
      <c r="A1939" s="37" t="n">
        <v>502037</v>
      </c>
      <c r="B1939" s="37" t="s">
        <v>1589</v>
      </c>
      <c r="C1939" s="37" t="n">
        <v>202606</v>
      </c>
      <c r="D1939" s="37" t="s">
        <v>64</v>
      </c>
      <c r="E1939" s="37" t="s">
        <v>106</v>
      </c>
      <c r="F1939" s="37" t="s">
        <v>194</v>
      </c>
      <c r="G1939" s="37" t="s">
        <v>354</v>
      </c>
      <c r="H1939" s="37"/>
      <c r="I1939" s="37" t="s">
        <v>355</v>
      </c>
      <c r="J1939" s="37" t="s">
        <v>1590</v>
      </c>
      <c r="K1939" s="45" t="n">
        <v>179.6</v>
      </c>
      <c r="L1939" s="46" t="n">
        <v>12752.22</v>
      </c>
    </row>
    <row r="1940" customFormat="false" ht="15" hidden="false" customHeight="false" outlineLevel="0" collapsed="false">
      <c r="A1940" s="37" t="n">
        <v>502108</v>
      </c>
      <c r="B1940" s="37" t="s">
        <v>1589</v>
      </c>
      <c r="C1940" s="37" t="n">
        <v>202606</v>
      </c>
      <c r="D1940" s="37" t="s">
        <v>65</v>
      </c>
      <c r="E1940" s="37" t="s">
        <v>97</v>
      </c>
      <c r="F1940" s="37" t="s">
        <v>194</v>
      </c>
      <c r="G1940" s="37" t="s">
        <v>354</v>
      </c>
      <c r="H1940" s="37"/>
      <c r="I1940" s="37" t="s">
        <v>355</v>
      </c>
      <c r="J1940" s="37" t="s">
        <v>1590</v>
      </c>
      <c r="K1940" s="45" t="n">
        <v>215.7</v>
      </c>
      <c r="L1940" s="46" t="n">
        <v>19844</v>
      </c>
    </row>
    <row r="1941" customFormat="false" ht="15" hidden="false" customHeight="false" outlineLevel="0" collapsed="false">
      <c r="A1941" s="37" t="n">
        <v>502187</v>
      </c>
      <c r="B1941" s="37" t="s">
        <v>1589</v>
      </c>
      <c r="C1941" s="37" t="n">
        <v>202606</v>
      </c>
      <c r="D1941" s="37" t="s">
        <v>65</v>
      </c>
      <c r="E1941" s="37" t="s">
        <v>101</v>
      </c>
      <c r="F1941" s="37" t="s">
        <v>194</v>
      </c>
      <c r="G1941" s="37" t="s">
        <v>354</v>
      </c>
      <c r="H1941" s="37"/>
      <c r="I1941" s="37" t="s">
        <v>355</v>
      </c>
      <c r="J1941" s="37" t="s">
        <v>1590</v>
      </c>
      <c r="K1941" s="45" t="n">
        <v>10.6</v>
      </c>
      <c r="L1941" s="46" t="n">
        <v>781.97</v>
      </c>
    </row>
    <row r="1942" customFormat="false" ht="15" hidden="false" customHeight="false" outlineLevel="0" collapsed="false">
      <c r="A1942" s="37" t="n">
        <v>502229</v>
      </c>
      <c r="B1942" s="37" t="s">
        <v>1589</v>
      </c>
      <c r="C1942" s="37" t="n">
        <v>202606</v>
      </c>
      <c r="D1942" s="37" t="s">
        <v>65</v>
      </c>
      <c r="E1942" s="37" t="s">
        <v>106</v>
      </c>
      <c r="F1942" s="37" t="s">
        <v>194</v>
      </c>
      <c r="G1942" s="37" t="s">
        <v>354</v>
      </c>
      <c r="H1942" s="37"/>
      <c r="I1942" s="37" t="s">
        <v>355</v>
      </c>
      <c r="J1942" s="37" t="s">
        <v>1590</v>
      </c>
      <c r="K1942" s="45" t="n">
        <v>21.1</v>
      </c>
      <c r="L1942" s="46" t="n">
        <v>1500.37</v>
      </c>
    </row>
    <row r="1943" customFormat="false" ht="15" hidden="false" customHeight="false" outlineLevel="0" collapsed="false">
      <c r="A1943" s="37" t="n">
        <v>502291</v>
      </c>
      <c r="B1943" s="37" t="s">
        <v>1589</v>
      </c>
      <c r="C1943" s="37" t="n">
        <v>202606</v>
      </c>
      <c r="D1943" s="37" t="s">
        <v>66</v>
      </c>
      <c r="E1943" s="37" t="s">
        <v>97</v>
      </c>
      <c r="F1943" s="37" t="s">
        <v>194</v>
      </c>
      <c r="G1943" s="37" t="s">
        <v>354</v>
      </c>
      <c r="H1943" s="37"/>
      <c r="I1943" s="37" t="s">
        <v>355</v>
      </c>
      <c r="J1943" s="37" t="s">
        <v>1590</v>
      </c>
      <c r="K1943" s="45" t="n">
        <v>147.4</v>
      </c>
      <c r="L1943" s="46" t="n">
        <v>13557.2</v>
      </c>
    </row>
    <row r="1944" customFormat="false" ht="15" hidden="false" customHeight="false" outlineLevel="0" collapsed="false">
      <c r="A1944" s="37" t="n">
        <v>502356</v>
      </c>
      <c r="B1944" s="37" t="s">
        <v>1589</v>
      </c>
      <c r="C1944" s="37" t="n">
        <v>202606</v>
      </c>
      <c r="D1944" s="37" t="s">
        <v>66</v>
      </c>
      <c r="E1944" s="37" t="s">
        <v>101</v>
      </c>
      <c r="F1944" s="37" t="s">
        <v>194</v>
      </c>
      <c r="G1944" s="37" t="s">
        <v>354</v>
      </c>
      <c r="H1944" s="37"/>
      <c r="I1944" s="37" t="s">
        <v>355</v>
      </c>
      <c r="J1944" s="37" t="s">
        <v>1590</v>
      </c>
      <c r="K1944" s="45" t="n">
        <v>176.4</v>
      </c>
      <c r="L1944" s="46" t="n">
        <v>13052.78</v>
      </c>
    </row>
    <row r="1945" customFormat="false" ht="15" hidden="false" customHeight="false" outlineLevel="0" collapsed="false">
      <c r="A1945" s="37" t="n">
        <v>502380</v>
      </c>
      <c r="B1945" s="37" t="s">
        <v>1589</v>
      </c>
      <c r="C1945" s="37" t="n">
        <v>202606</v>
      </c>
      <c r="D1945" s="37" t="s">
        <v>66</v>
      </c>
      <c r="E1945" s="37" t="s">
        <v>102</v>
      </c>
      <c r="F1945" s="37" t="s">
        <v>205</v>
      </c>
      <c r="G1945" s="37" t="s">
        <v>358</v>
      </c>
      <c r="H1945" s="37" t="s">
        <v>1323</v>
      </c>
      <c r="I1945" s="37" t="s">
        <v>715</v>
      </c>
      <c r="J1945" s="37" t="s">
        <v>1591</v>
      </c>
      <c r="K1945" s="45" t="n">
        <v>0</v>
      </c>
      <c r="L1945" s="46" t="n">
        <v>66065.6</v>
      </c>
    </row>
    <row r="1946" customFormat="false" ht="15" hidden="false" customHeight="false" outlineLevel="0" collapsed="false">
      <c r="A1946" s="37" t="n">
        <v>502434</v>
      </c>
      <c r="B1946" s="37" t="s">
        <v>1589</v>
      </c>
      <c r="C1946" s="37" t="n">
        <v>202606</v>
      </c>
      <c r="D1946" s="37" t="s">
        <v>67</v>
      </c>
      <c r="E1946" s="37" t="s">
        <v>97</v>
      </c>
      <c r="F1946" s="37" t="s">
        <v>194</v>
      </c>
      <c r="G1946" s="37" t="s">
        <v>354</v>
      </c>
      <c r="H1946" s="37"/>
      <c r="I1946" s="37" t="s">
        <v>355</v>
      </c>
      <c r="J1946" s="37" t="s">
        <v>1590</v>
      </c>
      <c r="K1946" s="45" t="n">
        <v>118.2</v>
      </c>
      <c r="L1946" s="46" t="n">
        <v>10876.62</v>
      </c>
    </row>
    <row r="1947" customFormat="false" ht="15" hidden="false" customHeight="false" outlineLevel="0" collapsed="false">
      <c r="A1947" s="37" t="n">
        <v>502488</v>
      </c>
      <c r="B1947" s="37" t="s">
        <v>1589</v>
      </c>
      <c r="C1947" s="37" t="n">
        <v>202606</v>
      </c>
      <c r="D1947" s="37" t="s">
        <v>67</v>
      </c>
      <c r="E1947" s="37" t="s">
        <v>101</v>
      </c>
      <c r="F1947" s="37" t="s">
        <v>194</v>
      </c>
      <c r="G1947" s="37" t="s">
        <v>354</v>
      </c>
      <c r="H1947" s="37"/>
      <c r="I1947" s="37" t="s">
        <v>355</v>
      </c>
      <c r="J1947" s="37" t="s">
        <v>1590</v>
      </c>
      <c r="K1947" s="45" t="n">
        <v>932.4</v>
      </c>
      <c r="L1947" s="46" t="n">
        <v>68994.88</v>
      </c>
    </row>
    <row r="1948" customFormat="false" ht="15" hidden="false" customHeight="false" outlineLevel="0" collapsed="false">
      <c r="A1948" s="37" t="n">
        <v>502550</v>
      </c>
      <c r="B1948" s="37" t="s">
        <v>1589</v>
      </c>
      <c r="C1948" s="37" t="n">
        <v>202606</v>
      </c>
      <c r="D1948" s="37" t="s">
        <v>68</v>
      </c>
      <c r="E1948" s="37" t="s">
        <v>97</v>
      </c>
      <c r="F1948" s="37" t="s">
        <v>194</v>
      </c>
      <c r="G1948" s="37" t="s">
        <v>354</v>
      </c>
      <c r="H1948" s="37"/>
      <c r="I1948" s="37" t="s">
        <v>355</v>
      </c>
      <c r="J1948" s="37" t="s">
        <v>1590</v>
      </c>
      <c r="K1948" s="45" t="n">
        <v>93.2</v>
      </c>
      <c r="L1948" s="46" t="n">
        <v>8574.06</v>
      </c>
    </row>
    <row r="1949" customFormat="false" ht="15" hidden="false" customHeight="false" outlineLevel="0" collapsed="false">
      <c r="A1949" s="37" t="n">
        <v>502587</v>
      </c>
      <c r="B1949" s="37" t="s">
        <v>1589</v>
      </c>
      <c r="C1949" s="37" t="n">
        <v>202606</v>
      </c>
      <c r="D1949" s="37" t="s">
        <v>68</v>
      </c>
      <c r="E1949" s="37" t="s">
        <v>101</v>
      </c>
      <c r="F1949" s="37" t="s">
        <v>194</v>
      </c>
      <c r="G1949" s="37" t="s">
        <v>354</v>
      </c>
      <c r="H1949" s="37"/>
      <c r="I1949" s="37" t="s">
        <v>355</v>
      </c>
      <c r="J1949" s="37" t="s">
        <v>1590</v>
      </c>
      <c r="K1949" s="45" t="n">
        <v>140.8</v>
      </c>
      <c r="L1949" s="46" t="n">
        <v>10421.04</v>
      </c>
    </row>
    <row r="1950" customFormat="false" ht="15" hidden="false" customHeight="false" outlineLevel="0" collapsed="false">
      <c r="A1950" s="37" t="n">
        <v>502602</v>
      </c>
      <c r="B1950" s="37" t="s">
        <v>1589</v>
      </c>
      <c r="C1950" s="37" t="n">
        <v>202606</v>
      </c>
      <c r="D1950" s="37" t="s">
        <v>68</v>
      </c>
      <c r="E1950" s="37" t="s">
        <v>102</v>
      </c>
      <c r="F1950" s="37" t="s">
        <v>205</v>
      </c>
      <c r="G1950" s="37" t="s">
        <v>358</v>
      </c>
      <c r="H1950" s="37" t="s">
        <v>1566</v>
      </c>
      <c r="I1950" s="37" t="s">
        <v>715</v>
      </c>
      <c r="J1950" s="37" t="s">
        <v>1592</v>
      </c>
      <c r="K1950" s="45" t="n">
        <v>0</v>
      </c>
      <c r="L1950" s="46" t="n">
        <v>5226.54</v>
      </c>
    </row>
    <row r="1951" customFormat="false" ht="15" hidden="false" customHeight="false" outlineLevel="0" collapsed="false">
      <c r="A1951" s="37" t="n">
        <v>500562</v>
      </c>
      <c r="B1951" s="37" t="s">
        <v>1593</v>
      </c>
      <c r="C1951" s="37" t="n">
        <v>202606</v>
      </c>
      <c r="D1951" s="37" t="s">
        <v>59</v>
      </c>
      <c r="E1951" s="37" t="s">
        <v>98</v>
      </c>
      <c r="F1951" s="37" t="s">
        <v>196</v>
      </c>
      <c r="G1951" s="37" t="s">
        <v>358</v>
      </c>
      <c r="H1951" s="37" t="s">
        <v>359</v>
      </c>
      <c r="I1951" s="37" t="s">
        <v>360</v>
      </c>
      <c r="J1951" s="37" t="s">
        <v>1594</v>
      </c>
      <c r="K1951" s="45" t="n">
        <v>0</v>
      </c>
      <c r="L1951" s="46" t="n">
        <v>21121.39</v>
      </c>
    </row>
    <row r="1952" customFormat="false" ht="15" hidden="false" customHeight="false" outlineLevel="0" collapsed="false">
      <c r="A1952" s="37" t="n">
        <v>502522</v>
      </c>
      <c r="B1952" s="37" t="s">
        <v>1593</v>
      </c>
      <c r="C1952" s="37" t="n">
        <v>202606</v>
      </c>
      <c r="D1952" s="37" t="s">
        <v>67</v>
      </c>
      <c r="E1952" s="37" t="s">
        <v>103</v>
      </c>
      <c r="F1952" s="37" t="s">
        <v>205</v>
      </c>
      <c r="G1952" s="37" t="s">
        <v>358</v>
      </c>
      <c r="H1952" s="37" t="s">
        <v>1368</v>
      </c>
      <c r="I1952" s="37" t="s">
        <v>1369</v>
      </c>
      <c r="J1952" s="37" t="s">
        <v>1595</v>
      </c>
      <c r="K1952" s="45" t="n">
        <v>0</v>
      </c>
      <c r="L1952" s="46" t="n">
        <v>102701.39</v>
      </c>
    </row>
    <row r="1953" customFormat="false" ht="15" hidden="false" customHeight="false" outlineLevel="0" collapsed="false">
      <c r="A1953" s="37" t="n">
        <v>502612</v>
      </c>
      <c r="B1953" s="37" t="s">
        <v>1593</v>
      </c>
      <c r="C1953" s="37" t="n">
        <v>202606</v>
      </c>
      <c r="D1953" s="37" t="s">
        <v>68</v>
      </c>
      <c r="E1953" s="37" t="s">
        <v>103</v>
      </c>
      <c r="F1953" s="37" t="s">
        <v>205</v>
      </c>
      <c r="G1953" s="37" t="s">
        <v>358</v>
      </c>
      <c r="H1953" s="37" t="s">
        <v>1596</v>
      </c>
      <c r="I1953" s="37" t="s">
        <v>898</v>
      </c>
      <c r="J1953" s="37" t="s">
        <v>1597</v>
      </c>
      <c r="K1953" s="45" t="n">
        <v>0</v>
      </c>
      <c r="L1953" s="46" t="n">
        <v>25634.08</v>
      </c>
    </row>
    <row r="1954" customFormat="false" ht="15" hidden="false" customHeight="false" outlineLevel="0" collapsed="false">
      <c r="A1954" s="37" t="n">
        <v>501926</v>
      </c>
      <c r="B1954" s="37" t="s">
        <v>1598</v>
      </c>
      <c r="C1954" s="37" t="n">
        <v>202606</v>
      </c>
      <c r="D1954" s="37" t="s">
        <v>64</v>
      </c>
      <c r="E1954" s="37" t="s">
        <v>98</v>
      </c>
      <c r="F1954" s="37" t="s">
        <v>196</v>
      </c>
      <c r="G1954" s="37" t="s">
        <v>358</v>
      </c>
      <c r="H1954" s="37" t="s">
        <v>359</v>
      </c>
      <c r="I1954" s="37" t="s">
        <v>360</v>
      </c>
      <c r="J1954" s="37" t="s">
        <v>1599</v>
      </c>
      <c r="K1954" s="45" t="n">
        <v>0</v>
      </c>
      <c r="L1954" s="46" t="n">
        <v>17800.57</v>
      </c>
    </row>
    <row r="1955" customFormat="false" ht="15" hidden="false" customHeight="false" outlineLevel="0" collapsed="false">
      <c r="A1955" s="37" t="n">
        <v>502016</v>
      </c>
      <c r="B1955" s="37" t="s">
        <v>1598</v>
      </c>
      <c r="C1955" s="37" t="n">
        <v>202606</v>
      </c>
      <c r="D1955" s="37" t="s">
        <v>64</v>
      </c>
      <c r="E1955" s="37" t="s">
        <v>103</v>
      </c>
      <c r="F1955" s="37" t="s">
        <v>205</v>
      </c>
      <c r="G1955" s="37" t="s">
        <v>358</v>
      </c>
      <c r="H1955" s="37" t="s">
        <v>969</v>
      </c>
      <c r="I1955" s="37" t="s">
        <v>898</v>
      </c>
      <c r="J1955" s="37" t="s">
        <v>1600</v>
      </c>
      <c r="K1955" s="45" t="n">
        <v>0</v>
      </c>
      <c r="L1955" s="46" t="n">
        <v>8977.71</v>
      </c>
    </row>
    <row r="1956" customFormat="false" ht="15" hidden="false" customHeight="false" outlineLevel="0" collapsed="false">
      <c r="A1956" s="37" t="n">
        <v>502394</v>
      </c>
      <c r="B1956" s="37" t="s">
        <v>1598</v>
      </c>
      <c r="C1956" s="37" t="n">
        <v>202606</v>
      </c>
      <c r="D1956" s="37" t="s">
        <v>66</v>
      </c>
      <c r="E1956" s="37" t="s">
        <v>103</v>
      </c>
      <c r="F1956" s="37" t="s">
        <v>205</v>
      </c>
      <c r="G1956" s="37" t="s">
        <v>358</v>
      </c>
      <c r="H1956" s="37" t="s">
        <v>1296</v>
      </c>
      <c r="I1956" s="37" t="s">
        <v>1297</v>
      </c>
      <c r="J1956" s="37" t="s">
        <v>1601</v>
      </c>
      <c r="K1956" s="45" t="n">
        <v>0</v>
      </c>
      <c r="L1956" s="46" t="n">
        <v>170678.44</v>
      </c>
    </row>
    <row r="1957" customFormat="false" ht="15" hidden="false" customHeight="false" outlineLevel="0" collapsed="false">
      <c r="A1957" s="37" t="n">
        <v>502523</v>
      </c>
      <c r="B1957" s="37" t="s">
        <v>1598</v>
      </c>
      <c r="C1957" s="37" t="n">
        <v>202606</v>
      </c>
      <c r="D1957" s="37" t="s">
        <v>67</v>
      </c>
      <c r="E1957" s="37" t="s">
        <v>103</v>
      </c>
      <c r="F1957" s="37" t="s">
        <v>205</v>
      </c>
      <c r="G1957" s="37" t="s">
        <v>358</v>
      </c>
      <c r="H1957" s="37" t="s">
        <v>1368</v>
      </c>
      <c r="I1957" s="37" t="s">
        <v>1369</v>
      </c>
      <c r="J1957" s="37" t="s">
        <v>1602</v>
      </c>
      <c r="K1957" s="45" t="n">
        <v>0</v>
      </c>
      <c r="L1957" s="46" t="n">
        <v>52113.69</v>
      </c>
    </row>
    <row r="1958" customFormat="false" ht="15" hidden="false" customHeight="false" outlineLevel="0" collapsed="false">
      <c r="A1958" s="37" t="n">
        <v>501825</v>
      </c>
      <c r="B1958" s="37" t="s">
        <v>1603</v>
      </c>
      <c r="C1958" s="37" t="n">
        <v>202606</v>
      </c>
      <c r="D1958" s="37" t="s">
        <v>63</v>
      </c>
      <c r="E1958" s="37" t="s">
        <v>108</v>
      </c>
      <c r="F1958" s="37" t="s">
        <v>205</v>
      </c>
      <c r="G1958" s="37" t="s">
        <v>358</v>
      </c>
      <c r="H1958" s="37" t="s">
        <v>1542</v>
      </c>
      <c r="I1958" s="37" t="s">
        <v>1489</v>
      </c>
      <c r="J1958" s="37" t="s">
        <v>1604</v>
      </c>
      <c r="K1958" s="45" t="n">
        <v>0</v>
      </c>
      <c r="L1958" s="46" t="n">
        <v>23317.53</v>
      </c>
    </row>
    <row r="1959" customFormat="false" ht="15" hidden="false" customHeight="false" outlineLevel="0" collapsed="false">
      <c r="A1959" s="37" t="n">
        <v>502317</v>
      </c>
      <c r="B1959" s="37" t="s">
        <v>1603</v>
      </c>
      <c r="C1959" s="37" t="n">
        <v>202606</v>
      </c>
      <c r="D1959" s="37" t="s">
        <v>66</v>
      </c>
      <c r="E1959" s="37" t="s">
        <v>98</v>
      </c>
      <c r="F1959" s="37" t="s">
        <v>196</v>
      </c>
      <c r="G1959" s="37" t="s">
        <v>358</v>
      </c>
      <c r="H1959" s="37" t="s">
        <v>359</v>
      </c>
      <c r="I1959" s="37" t="s">
        <v>360</v>
      </c>
      <c r="J1959" s="37" t="s">
        <v>1605</v>
      </c>
      <c r="K1959" s="45" t="n">
        <v>0</v>
      </c>
      <c r="L1959" s="46" t="n">
        <v>24378.46</v>
      </c>
    </row>
    <row r="1960" customFormat="false" ht="15" hidden="false" customHeight="false" outlineLevel="0" collapsed="false">
      <c r="A1960" s="37" t="n">
        <v>502611</v>
      </c>
      <c r="B1960" s="37" t="s">
        <v>1606</v>
      </c>
      <c r="C1960" s="37" t="n">
        <v>202606</v>
      </c>
      <c r="D1960" s="37" t="s">
        <v>68</v>
      </c>
      <c r="E1960" s="37" t="s">
        <v>103</v>
      </c>
      <c r="F1960" s="37" t="s">
        <v>205</v>
      </c>
      <c r="G1960" s="37" t="s">
        <v>358</v>
      </c>
      <c r="H1960" s="37" t="s">
        <v>1596</v>
      </c>
      <c r="I1960" s="37" t="s">
        <v>898</v>
      </c>
      <c r="J1960" s="37" t="s">
        <v>1607</v>
      </c>
      <c r="K1960" s="45" t="n">
        <v>0</v>
      </c>
      <c r="L1960" s="46" t="n">
        <v>6250.99</v>
      </c>
    </row>
    <row r="1961" customFormat="false" ht="15" hidden="false" customHeight="false" outlineLevel="0" collapsed="false">
      <c r="A1961" s="37" t="n">
        <v>502017</v>
      </c>
      <c r="B1961" s="37" t="s">
        <v>1608</v>
      </c>
      <c r="C1961" s="37" t="n">
        <v>202606</v>
      </c>
      <c r="D1961" s="37" t="s">
        <v>64</v>
      </c>
      <c r="E1961" s="37" t="s">
        <v>103</v>
      </c>
      <c r="F1961" s="37" t="s">
        <v>205</v>
      </c>
      <c r="G1961" s="37" t="s">
        <v>358</v>
      </c>
      <c r="H1961" s="37" t="s">
        <v>969</v>
      </c>
      <c r="I1961" s="37" t="s">
        <v>898</v>
      </c>
      <c r="J1961" s="37" t="s">
        <v>1609</v>
      </c>
      <c r="K1961" s="45" t="n">
        <v>0</v>
      </c>
      <c r="L1961" s="46" t="n">
        <v>18094.34</v>
      </c>
    </row>
    <row r="1962" customFormat="false" ht="15" hidden="false" customHeight="false" outlineLevel="0" collapsed="false">
      <c r="A1962" s="37" t="n">
        <v>500408</v>
      </c>
      <c r="B1962" s="37" t="s">
        <v>1610</v>
      </c>
      <c r="C1962" s="37" t="n">
        <v>202606</v>
      </c>
      <c r="D1962" s="37" t="s">
        <v>58</v>
      </c>
      <c r="E1962" s="37" t="s">
        <v>109</v>
      </c>
      <c r="F1962" s="37" t="s">
        <v>201</v>
      </c>
      <c r="G1962" s="37" t="s">
        <v>358</v>
      </c>
      <c r="H1962" s="37" t="s">
        <v>928</v>
      </c>
      <c r="I1962" s="37" t="s">
        <v>929</v>
      </c>
      <c r="J1962" s="37" t="s">
        <v>1611</v>
      </c>
      <c r="K1962" s="45" t="n">
        <v>0</v>
      </c>
      <c r="L1962" s="46" t="n">
        <v>55498.84</v>
      </c>
    </row>
    <row r="1963" customFormat="false" ht="15" hidden="false" customHeight="false" outlineLevel="0" collapsed="false">
      <c r="A1963" s="37" t="n">
        <v>500426</v>
      </c>
      <c r="B1963" s="37" t="s">
        <v>1610</v>
      </c>
      <c r="C1963" s="37" t="n">
        <v>202606</v>
      </c>
      <c r="D1963" s="37" t="s">
        <v>58</v>
      </c>
      <c r="E1963" s="37" t="s">
        <v>110</v>
      </c>
      <c r="F1963" s="37" t="s">
        <v>201</v>
      </c>
      <c r="G1963" s="37" t="s">
        <v>358</v>
      </c>
      <c r="H1963" s="37" t="s">
        <v>547</v>
      </c>
      <c r="I1963" s="37" t="s">
        <v>548</v>
      </c>
      <c r="J1963" s="37" t="s">
        <v>1611</v>
      </c>
      <c r="K1963" s="45" t="n">
        <v>0</v>
      </c>
      <c r="L1963" s="46" t="n">
        <v>66700.15</v>
      </c>
    </row>
    <row r="1964" customFormat="false" ht="15" hidden="false" customHeight="false" outlineLevel="0" collapsed="false">
      <c r="A1964" s="37" t="n">
        <v>500445</v>
      </c>
      <c r="B1964" s="37" t="s">
        <v>1610</v>
      </c>
      <c r="C1964" s="37" t="n">
        <v>202606</v>
      </c>
      <c r="D1964" s="37" t="s">
        <v>58</v>
      </c>
      <c r="E1964" s="37" t="s">
        <v>111</v>
      </c>
      <c r="F1964" s="37" t="s">
        <v>201</v>
      </c>
      <c r="G1964" s="37" t="s">
        <v>358</v>
      </c>
      <c r="H1964" s="37" t="s">
        <v>549</v>
      </c>
      <c r="I1964" s="37" t="s">
        <v>550</v>
      </c>
      <c r="J1964" s="37" t="s">
        <v>1611</v>
      </c>
      <c r="K1964" s="45" t="n">
        <v>0</v>
      </c>
      <c r="L1964" s="46" t="n">
        <v>36406.6</v>
      </c>
    </row>
    <row r="1965" customFormat="false" ht="15" hidden="false" customHeight="false" outlineLevel="0" collapsed="false">
      <c r="A1965" s="37" t="n">
        <v>500738</v>
      </c>
      <c r="B1965" s="37" t="s">
        <v>1610</v>
      </c>
      <c r="C1965" s="37" t="n">
        <v>202606</v>
      </c>
      <c r="D1965" s="37" t="s">
        <v>59</v>
      </c>
      <c r="E1965" s="37" t="s">
        <v>107</v>
      </c>
      <c r="F1965" s="37" t="s">
        <v>201</v>
      </c>
      <c r="G1965" s="37" t="s">
        <v>358</v>
      </c>
      <c r="H1965" s="37" t="s">
        <v>1095</v>
      </c>
      <c r="I1965" s="37" t="s">
        <v>1096</v>
      </c>
      <c r="J1965" s="37" t="s">
        <v>1611</v>
      </c>
      <c r="K1965" s="45" t="n">
        <v>0</v>
      </c>
      <c r="L1965" s="46" t="n">
        <v>6604.34</v>
      </c>
    </row>
    <row r="1966" customFormat="false" ht="15" hidden="false" customHeight="false" outlineLevel="0" collapsed="false">
      <c r="A1966" s="37" t="n">
        <v>500755</v>
      </c>
      <c r="B1966" s="37" t="s">
        <v>1610</v>
      </c>
      <c r="C1966" s="37" t="n">
        <v>202606</v>
      </c>
      <c r="D1966" s="37" t="s">
        <v>59</v>
      </c>
      <c r="E1966" s="37" t="s">
        <v>109</v>
      </c>
      <c r="F1966" s="37" t="s">
        <v>201</v>
      </c>
      <c r="G1966" s="37" t="s">
        <v>358</v>
      </c>
      <c r="H1966" s="37" t="s">
        <v>1433</v>
      </c>
      <c r="I1966" s="37" t="s">
        <v>929</v>
      </c>
      <c r="J1966" s="37" t="s">
        <v>1611</v>
      </c>
      <c r="K1966" s="45" t="n">
        <v>0</v>
      </c>
      <c r="L1966" s="46" t="n">
        <v>120977.22</v>
      </c>
    </row>
    <row r="1967" customFormat="false" ht="15" hidden="false" customHeight="false" outlineLevel="0" collapsed="false">
      <c r="A1967" s="37" t="n">
        <v>500768</v>
      </c>
      <c r="B1967" s="37" t="s">
        <v>1610</v>
      </c>
      <c r="C1967" s="37" t="n">
        <v>202606</v>
      </c>
      <c r="D1967" s="37" t="s">
        <v>59</v>
      </c>
      <c r="E1967" s="37" t="s">
        <v>110</v>
      </c>
      <c r="F1967" s="37" t="s">
        <v>201</v>
      </c>
      <c r="G1967" s="37" t="s">
        <v>358</v>
      </c>
      <c r="H1967" s="37" t="s">
        <v>849</v>
      </c>
      <c r="I1967" s="37" t="s">
        <v>850</v>
      </c>
      <c r="J1967" s="37" t="s">
        <v>1611</v>
      </c>
      <c r="K1967" s="45" t="n">
        <v>0</v>
      </c>
      <c r="L1967" s="46" t="n">
        <v>259445.79</v>
      </c>
    </row>
    <row r="1968" customFormat="false" ht="15" hidden="false" customHeight="false" outlineLevel="0" collapsed="false">
      <c r="A1968" s="37" t="n">
        <v>500781</v>
      </c>
      <c r="B1968" s="37" t="s">
        <v>1610</v>
      </c>
      <c r="C1968" s="37" t="n">
        <v>202606</v>
      </c>
      <c r="D1968" s="37" t="s">
        <v>59</v>
      </c>
      <c r="E1968" s="37" t="s">
        <v>111</v>
      </c>
      <c r="F1968" s="37" t="s">
        <v>201</v>
      </c>
      <c r="G1968" s="37" t="s">
        <v>358</v>
      </c>
      <c r="H1968" s="37" t="s">
        <v>851</v>
      </c>
      <c r="I1968" s="37" t="s">
        <v>852</v>
      </c>
      <c r="J1968" s="37" t="s">
        <v>1611</v>
      </c>
      <c r="K1968" s="45" t="n">
        <v>0</v>
      </c>
      <c r="L1968" s="46" t="n">
        <v>255469.59</v>
      </c>
    </row>
    <row r="1969" customFormat="false" ht="15" hidden="false" customHeight="false" outlineLevel="0" collapsed="false">
      <c r="A1969" s="37" t="n">
        <v>501005</v>
      </c>
      <c r="B1969" s="37" t="s">
        <v>1610</v>
      </c>
      <c r="C1969" s="37" t="n">
        <v>202606</v>
      </c>
      <c r="D1969" s="37" t="s">
        <v>60</v>
      </c>
      <c r="E1969" s="37" t="s">
        <v>104</v>
      </c>
      <c r="F1969" s="37" t="s">
        <v>201</v>
      </c>
      <c r="G1969" s="37" t="s">
        <v>358</v>
      </c>
      <c r="H1969" s="37" t="s">
        <v>1097</v>
      </c>
      <c r="I1969" s="37" t="s">
        <v>1098</v>
      </c>
      <c r="J1969" s="37" t="s">
        <v>1611</v>
      </c>
      <c r="K1969" s="45" t="n">
        <v>0</v>
      </c>
      <c r="L1969" s="46" t="n">
        <v>36317.59</v>
      </c>
    </row>
    <row r="1970" customFormat="false" ht="15" hidden="false" customHeight="false" outlineLevel="0" collapsed="false">
      <c r="A1970" s="37" t="n">
        <v>501056</v>
      </c>
      <c r="B1970" s="37" t="s">
        <v>1610</v>
      </c>
      <c r="C1970" s="37" t="n">
        <v>202606</v>
      </c>
      <c r="D1970" s="37" t="s">
        <v>60</v>
      </c>
      <c r="E1970" s="37" t="s">
        <v>107</v>
      </c>
      <c r="F1970" s="37" t="s">
        <v>201</v>
      </c>
      <c r="G1970" s="37" t="s">
        <v>358</v>
      </c>
      <c r="H1970" s="37" t="s">
        <v>1253</v>
      </c>
      <c r="I1970" s="37" t="s">
        <v>1254</v>
      </c>
      <c r="J1970" s="37" t="s">
        <v>1611</v>
      </c>
      <c r="K1970" s="45" t="n">
        <v>0</v>
      </c>
      <c r="L1970" s="46" t="n">
        <v>204492.55</v>
      </c>
    </row>
    <row r="1971" customFormat="false" ht="15" hidden="false" customHeight="false" outlineLevel="0" collapsed="false">
      <c r="A1971" s="37" t="n">
        <v>501071</v>
      </c>
      <c r="B1971" s="37" t="s">
        <v>1610</v>
      </c>
      <c r="C1971" s="37" t="n">
        <v>202606</v>
      </c>
      <c r="D1971" s="37" t="s">
        <v>60</v>
      </c>
      <c r="E1971" s="37" t="s">
        <v>109</v>
      </c>
      <c r="F1971" s="37" t="s">
        <v>201</v>
      </c>
      <c r="G1971" s="37" t="s">
        <v>358</v>
      </c>
      <c r="H1971" s="37" t="s">
        <v>1527</v>
      </c>
      <c r="I1971" s="37" t="s">
        <v>1436</v>
      </c>
      <c r="J1971" s="37" t="s">
        <v>1611</v>
      </c>
      <c r="K1971" s="45" t="n">
        <v>0</v>
      </c>
      <c r="L1971" s="46" t="n">
        <v>109670.43</v>
      </c>
    </row>
    <row r="1972" customFormat="false" ht="15" hidden="false" customHeight="false" outlineLevel="0" collapsed="false">
      <c r="A1972" s="37" t="n">
        <v>501082</v>
      </c>
      <c r="B1972" s="37" t="s">
        <v>1610</v>
      </c>
      <c r="C1972" s="37" t="n">
        <v>202606</v>
      </c>
      <c r="D1972" s="37" t="s">
        <v>60</v>
      </c>
      <c r="E1972" s="37" t="s">
        <v>110</v>
      </c>
      <c r="F1972" s="37" t="s">
        <v>201</v>
      </c>
      <c r="G1972" s="37" t="s">
        <v>358</v>
      </c>
      <c r="H1972" s="37" t="s">
        <v>1010</v>
      </c>
      <c r="I1972" s="37" t="s">
        <v>548</v>
      </c>
      <c r="J1972" s="37" t="s">
        <v>1611</v>
      </c>
      <c r="K1972" s="45" t="n">
        <v>0</v>
      </c>
      <c r="L1972" s="46" t="n">
        <v>260065.13</v>
      </c>
    </row>
    <row r="1973" customFormat="false" ht="15" hidden="false" customHeight="false" outlineLevel="0" collapsed="false">
      <c r="A1973" s="37" t="n">
        <v>501093</v>
      </c>
      <c r="B1973" s="37" t="s">
        <v>1610</v>
      </c>
      <c r="C1973" s="37" t="n">
        <v>202606</v>
      </c>
      <c r="D1973" s="37" t="s">
        <v>60</v>
      </c>
      <c r="E1973" s="37" t="s">
        <v>111</v>
      </c>
      <c r="F1973" s="37" t="s">
        <v>201</v>
      </c>
      <c r="G1973" s="37" t="s">
        <v>358</v>
      </c>
      <c r="H1973" s="37" t="s">
        <v>1011</v>
      </c>
      <c r="I1973" s="37" t="s">
        <v>1012</v>
      </c>
      <c r="J1973" s="37" t="s">
        <v>1611</v>
      </c>
      <c r="K1973" s="45" t="n">
        <v>0</v>
      </c>
      <c r="L1973" s="46" t="n">
        <v>220695.56</v>
      </c>
    </row>
    <row r="1974" customFormat="false" ht="15" hidden="false" customHeight="false" outlineLevel="0" collapsed="false">
      <c r="A1974" s="37" t="n">
        <v>501329</v>
      </c>
      <c r="B1974" s="37" t="s">
        <v>1610</v>
      </c>
      <c r="C1974" s="37" t="n">
        <v>202606</v>
      </c>
      <c r="D1974" s="37" t="s">
        <v>61</v>
      </c>
      <c r="E1974" s="37" t="s">
        <v>108</v>
      </c>
      <c r="F1974" s="37" t="s">
        <v>205</v>
      </c>
      <c r="G1974" s="37" t="s">
        <v>358</v>
      </c>
      <c r="H1974" s="37" t="s">
        <v>1404</v>
      </c>
      <c r="I1974" s="37" t="s">
        <v>1405</v>
      </c>
      <c r="J1974" s="37" t="s">
        <v>1612</v>
      </c>
      <c r="K1974" s="45" t="n">
        <v>0</v>
      </c>
      <c r="L1974" s="46" t="n">
        <v>40824.1</v>
      </c>
    </row>
    <row r="1975" customFormat="false" ht="15" hidden="false" customHeight="false" outlineLevel="0" collapsed="false">
      <c r="A1975" s="37" t="n">
        <v>501340</v>
      </c>
      <c r="B1975" s="37" t="s">
        <v>1610</v>
      </c>
      <c r="C1975" s="37" t="n">
        <v>202606</v>
      </c>
      <c r="D1975" s="37" t="s">
        <v>61</v>
      </c>
      <c r="E1975" s="37" t="s">
        <v>109</v>
      </c>
      <c r="F1975" s="37" t="s">
        <v>201</v>
      </c>
      <c r="G1975" s="37" t="s">
        <v>358</v>
      </c>
      <c r="H1975" s="37" t="s">
        <v>1435</v>
      </c>
      <c r="I1975" s="37" t="s">
        <v>1436</v>
      </c>
      <c r="J1975" s="37" t="s">
        <v>1611</v>
      </c>
      <c r="K1975" s="45" t="n">
        <v>0</v>
      </c>
      <c r="L1975" s="46" t="n">
        <v>68225.44</v>
      </c>
    </row>
    <row r="1976" customFormat="false" ht="15" hidden="false" customHeight="false" outlineLevel="0" collapsed="false">
      <c r="A1976" s="37" t="n">
        <v>501351</v>
      </c>
      <c r="B1976" s="37" t="s">
        <v>1610</v>
      </c>
      <c r="C1976" s="37" t="n">
        <v>202606</v>
      </c>
      <c r="D1976" s="37" t="s">
        <v>61</v>
      </c>
      <c r="E1976" s="37" t="s">
        <v>110</v>
      </c>
      <c r="F1976" s="37" t="s">
        <v>201</v>
      </c>
      <c r="G1976" s="37" t="s">
        <v>358</v>
      </c>
      <c r="H1976" s="37" t="s">
        <v>1014</v>
      </c>
      <c r="I1976" s="37" t="s">
        <v>1015</v>
      </c>
      <c r="J1976" s="37" t="s">
        <v>1611</v>
      </c>
      <c r="K1976" s="45" t="n">
        <v>0</v>
      </c>
      <c r="L1976" s="46" t="n">
        <v>133529.21</v>
      </c>
    </row>
    <row r="1977" customFormat="false" ht="15" hidden="false" customHeight="false" outlineLevel="0" collapsed="false">
      <c r="A1977" s="37" t="n">
        <v>501362</v>
      </c>
      <c r="B1977" s="37" t="s">
        <v>1610</v>
      </c>
      <c r="C1977" s="37" t="n">
        <v>202606</v>
      </c>
      <c r="D1977" s="37" t="s">
        <v>61</v>
      </c>
      <c r="E1977" s="37" t="s">
        <v>111</v>
      </c>
      <c r="F1977" s="37" t="s">
        <v>201</v>
      </c>
      <c r="G1977" s="37" t="s">
        <v>358</v>
      </c>
      <c r="H1977" s="37" t="s">
        <v>1016</v>
      </c>
      <c r="I1977" s="37" t="s">
        <v>1017</v>
      </c>
      <c r="J1977" s="37" t="s">
        <v>1611</v>
      </c>
      <c r="K1977" s="45" t="n">
        <v>0</v>
      </c>
      <c r="L1977" s="46" t="n">
        <v>147345.6</v>
      </c>
    </row>
    <row r="1978" customFormat="false" ht="15" hidden="false" customHeight="false" outlineLevel="0" collapsed="false">
      <c r="A1978" s="37" t="n">
        <v>501554</v>
      </c>
      <c r="B1978" s="37" t="s">
        <v>1610</v>
      </c>
      <c r="C1978" s="37" t="n">
        <v>202606</v>
      </c>
      <c r="D1978" s="37" t="s">
        <v>62</v>
      </c>
      <c r="E1978" s="37" t="s">
        <v>104</v>
      </c>
      <c r="F1978" s="37" t="s">
        <v>201</v>
      </c>
      <c r="G1978" s="37" t="s">
        <v>358</v>
      </c>
      <c r="H1978" s="37" t="s">
        <v>1339</v>
      </c>
      <c r="I1978" s="37" t="s">
        <v>1340</v>
      </c>
      <c r="J1978" s="37" t="s">
        <v>1611</v>
      </c>
      <c r="K1978" s="45" t="n">
        <v>0</v>
      </c>
      <c r="L1978" s="46" t="n">
        <v>198225.45</v>
      </c>
    </row>
    <row r="1979" customFormat="false" ht="15" hidden="false" customHeight="false" outlineLevel="0" collapsed="false">
      <c r="A1979" s="37" t="n">
        <v>501563</v>
      </c>
      <c r="B1979" s="37" t="s">
        <v>1610</v>
      </c>
      <c r="C1979" s="37" t="n">
        <v>202606</v>
      </c>
      <c r="D1979" s="37" t="s">
        <v>62</v>
      </c>
      <c r="E1979" s="37" t="s">
        <v>105</v>
      </c>
      <c r="F1979" s="37" t="s">
        <v>201</v>
      </c>
      <c r="G1979" s="37" t="s">
        <v>358</v>
      </c>
      <c r="H1979" s="37" t="s">
        <v>1178</v>
      </c>
      <c r="I1979" s="37" t="s">
        <v>1179</v>
      </c>
      <c r="J1979" s="37" t="s">
        <v>1611</v>
      </c>
      <c r="K1979" s="45" t="n">
        <v>0</v>
      </c>
      <c r="L1979" s="46" t="n">
        <v>471063.33</v>
      </c>
    </row>
    <row r="1980" customFormat="false" ht="15" hidden="false" customHeight="false" outlineLevel="0" collapsed="false">
      <c r="A1980" s="37" t="n">
        <v>501594</v>
      </c>
      <c r="B1980" s="37" t="s">
        <v>1610</v>
      </c>
      <c r="C1980" s="37" t="n">
        <v>202606</v>
      </c>
      <c r="D1980" s="37" t="s">
        <v>62</v>
      </c>
      <c r="E1980" s="37" t="s">
        <v>107</v>
      </c>
      <c r="F1980" s="37" t="s">
        <v>201</v>
      </c>
      <c r="G1980" s="37" t="s">
        <v>358</v>
      </c>
      <c r="H1980" s="37" t="s">
        <v>1529</v>
      </c>
      <c r="I1980" s="37" t="s">
        <v>1530</v>
      </c>
      <c r="J1980" s="37" t="s">
        <v>1611</v>
      </c>
      <c r="K1980" s="45" t="n">
        <v>0</v>
      </c>
      <c r="L1980" s="46" t="n">
        <v>128466.74</v>
      </c>
    </row>
    <row r="1981" customFormat="false" ht="15" hidden="false" customHeight="false" outlineLevel="0" collapsed="false">
      <c r="A1981" s="37" t="n">
        <v>501605</v>
      </c>
      <c r="B1981" s="37" t="s">
        <v>1610</v>
      </c>
      <c r="C1981" s="37" t="n">
        <v>202606</v>
      </c>
      <c r="D1981" s="37" t="s">
        <v>62</v>
      </c>
      <c r="E1981" s="37" t="s">
        <v>110</v>
      </c>
      <c r="F1981" s="37" t="s">
        <v>201</v>
      </c>
      <c r="G1981" s="37" t="s">
        <v>358</v>
      </c>
      <c r="H1981" s="37" t="s">
        <v>1257</v>
      </c>
      <c r="I1981" s="37" t="s">
        <v>548</v>
      </c>
      <c r="J1981" s="37" t="s">
        <v>1611</v>
      </c>
      <c r="K1981" s="45" t="n">
        <v>0</v>
      </c>
      <c r="L1981" s="46" t="n">
        <v>246243.53</v>
      </c>
    </row>
    <row r="1982" customFormat="false" ht="15" hidden="false" customHeight="false" outlineLevel="0" collapsed="false">
      <c r="A1982" s="37" t="n">
        <v>501613</v>
      </c>
      <c r="B1982" s="37" t="s">
        <v>1610</v>
      </c>
      <c r="C1982" s="37" t="n">
        <v>202606</v>
      </c>
      <c r="D1982" s="37" t="s">
        <v>62</v>
      </c>
      <c r="E1982" s="37" t="s">
        <v>111</v>
      </c>
      <c r="F1982" s="37" t="s">
        <v>201</v>
      </c>
      <c r="G1982" s="37" t="s">
        <v>358</v>
      </c>
      <c r="H1982" s="37" t="s">
        <v>1258</v>
      </c>
      <c r="I1982" s="37" t="s">
        <v>1259</v>
      </c>
      <c r="J1982" s="37" t="s">
        <v>1611</v>
      </c>
      <c r="K1982" s="45" t="n">
        <v>0</v>
      </c>
      <c r="L1982" s="46" t="n">
        <v>197184.7</v>
      </c>
    </row>
    <row r="1983" customFormat="false" ht="15" hidden="false" customHeight="false" outlineLevel="0" collapsed="false">
      <c r="A1983" s="37" t="n">
        <v>501786</v>
      </c>
      <c r="B1983" s="37" t="s">
        <v>1610</v>
      </c>
      <c r="C1983" s="37" t="n">
        <v>202606</v>
      </c>
      <c r="D1983" s="37" t="s">
        <v>63</v>
      </c>
      <c r="E1983" s="37" t="s">
        <v>104</v>
      </c>
      <c r="F1983" s="37" t="s">
        <v>201</v>
      </c>
      <c r="G1983" s="37" t="s">
        <v>358</v>
      </c>
      <c r="H1983" s="37" t="s">
        <v>1261</v>
      </c>
      <c r="I1983" s="37" t="s">
        <v>1098</v>
      </c>
      <c r="J1983" s="37" t="s">
        <v>1611</v>
      </c>
      <c r="K1983" s="45" t="n">
        <v>0</v>
      </c>
      <c r="L1983" s="46" t="n">
        <v>36137.72</v>
      </c>
    </row>
    <row r="1984" customFormat="false" ht="15" hidden="false" customHeight="false" outlineLevel="0" collapsed="false">
      <c r="A1984" s="37" t="n">
        <v>501822</v>
      </c>
      <c r="B1984" s="37" t="s">
        <v>1610</v>
      </c>
      <c r="C1984" s="37" t="n">
        <v>202606</v>
      </c>
      <c r="D1984" s="37" t="s">
        <v>63</v>
      </c>
      <c r="E1984" s="37" t="s">
        <v>107</v>
      </c>
      <c r="F1984" s="37" t="s">
        <v>201</v>
      </c>
      <c r="G1984" s="37" t="s">
        <v>358</v>
      </c>
      <c r="H1984" s="37" t="s">
        <v>1341</v>
      </c>
      <c r="I1984" s="37" t="s">
        <v>1096</v>
      </c>
      <c r="J1984" s="37" t="s">
        <v>1611</v>
      </c>
      <c r="K1984" s="45" t="n">
        <v>0</v>
      </c>
      <c r="L1984" s="46" t="n">
        <v>114567.99</v>
      </c>
    </row>
    <row r="1985" customFormat="false" ht="15" hidden="false" customHeight="false" outlineLevel="0" collapsed="false">
      <c r="A1985" s="37" t="n">
        <v>501833</v>
      </c>
      <c r="B1985" s="37" t="s">
        <v>1610</v>
      </c>
      <c r="C1985" s="37" t="n">
        <v>202606</v>
      </c>
      <c r="D1985" s="37" t="s">
        <v>63</v>
      </c>
      <c r="E1985" s="37" t="s">
        <v>109</v>
      </c>
      <c r="F1985" s="37" t="s">
        <v>201</v>
      </c>
      <c r="G1985" s="37" t="s">
        <v>358</v>
      </c>
      <c r="H1985" s="37" t="s">
        <v>1613</v>
      </c>
      <c r="I1985" s="37" t="s">
        <v>1614</v>
      </c>
      <c r="J1985" s="37" t="s">
        <v>1611</v>
      </c>
      <c r="K1985" s="45" t="n">
        <v>0</v>
      </c>
      <c r="L1985" s="46" t="n">
        <v>66917.28</v>
      </c>
    </row>
    <row r="1986" customFormat="false" ht="15" hidden="false" customHeight="false" outlineLevel="0" collapsed="false">
      <c r="A1986" s="37" t="n">
        <v>501842</v>
      </c>
      <c r="B1986" s="37" t="s">
        <v>1610</v>
      </c>
      <c r="C1986" s="37" t="n">
        <v>202606</v>
      </c>
      <c r="D1986" s="37" t="s">
        <v>63</v>
      </c>
      <c r="E1986" s="37" t="s">
        <v>110</v>
      </c>
      <c r="F1986" s="37" t="s">
        <v>201</v>
      </c>
      <c r="G1986" s="37" t="s">
        <v>358</v>
      </c>
      <c r="H1986" s="37" t="s">
        <v>1180</v>
      </c>
      <c r="I1986" s="37" t="s">
        <v>1181</v>
      </c>
      <c r="J1986" s="37" t="s">
        <v>1611</v>
      </c>
      <c r="K1986" s="45" t="n">
        <v>0</v>
      </c>
      <c r="L1986" s="46" t="n">
        <v>225359.17</v>
      </c>
    </row>
    <row r="1987" customFormat="false" ht="15" hidden="false" customHeight="false" outlineLevel="0" collapsed="false">
      <c r="A1987" s="37" t="n">
        <v>501851</v>
      </c>
      <c r="B1987" s="37" t="s">
        <v>1610</v>
      </c>
      <c r="C1987" s="37" t="n">
        <v>202606</v>
      </c>
      <c r="D1987" s="37" t="s">
        <v>63</v>
      </c>
      <c r="E1987" s="37" t="s">
        <v>111</v>
      </c>
      <c r="F1987" s="37" t="s">
        <v>201</v>
      </c>
      <c r="G1987" s="37" t="s">
        <v>358</v>
      </c>
      <c r="H1987" s="37" t="s">
        <v>1182</v>
      </c>
      <c r="I1987" s="37" t="s">
        <v>852</v>
      </c>
      <c r="J1987" s="37" t="s">
        <v>1611</v>
      </c>
      <c r="K1987" s="45" t="n">
        <v>0</v>
      </c>
      <c r="L1987" s="46" t="n">
        <v>182647.34</v>
      </c>
    </row>
    <row r="1988" customFormat="false" ht="15" hidden="false" customHeight="false" outlineLevel="0" collapsed="false">
      <c r="A1988" s="37" t="n">
        <v>502020</v>
      </c>
      <c r="B1988" s="37" t="s">
        <v>1610</v>
      </c>
      <c r="C1988" s="37" t="n">
        <v>202606</v>
      </c>
      <c r="D1988" s="37" t="s">
        <v>64</v>
      </c>
      <c r="E1988" s="37" t="s">
        <v>104</v>
      </c>
      <c r="F1988" s="37" t="s">
        <v>201</v>
      </c>
      <c r="G1988" s="37" t="s">
        <v>358</v>
      </c>
      <c r="H1988" s="37" t="s">
        <v>1439</v>
      </c>
      <c r="I1988" s="37" t="s">
        <v>1340</v>
      </c>
      <c r="J1988" s="37" t="s">
        <v>1611</v>
      </c>
      <c r="K1988" s="45" t="n">
        <v>0</v>
      </c>
      <c r="L1988" s="46" t="n">
        <v>202065.93</v>
      </c>
    </row>
    <row r="1989" customFormat="false" ht="15" hidden="false" customHeight="false" outlineLevel="0" collapsed="false">
      <c r="A1989" s="37" t="n">
        <v>502028</v>
      </c>
      <c r="B1989" s="37" t="s">
        <v>1610</v>
      </c>
      <c r="C1989" s="37" t="n">
        <v>202606</v>
      </c>
      <c r="D1989" s="37" t="s">
        <v>64</v>
      </c>
      <c r="E1989" s="37" t="s">
        <v>105</v>
      </c>
      <c r="F1989" s="37" t="s">
        <v>201</v>
      </c>
      <c r="G1989" s="37" t="s">
        <v>358</v>
      </c>
      <c r="H1989" s="37" t="s">
        <v>1262</v>
      </c>
      <c r="I1989" s="37" t="s">
        <v>796</v>
      </c>
      <c r="J1989" s="37" t="s">
        <v>1611</v>
      </c>
      <c r="K1989" s="45" t="n">
        <v>0</v>
      </c>
      <c r="L1989" s="46" t="n">
        <v>134534.55</v>
      </c>
    </row>
    <row r="1990" customFormat="false" ht="15" hidden="false" customHeight="false" outlineLevel="0" collapsed="false">
      <c r="A1990" s="37" t="n">
        <v>502052</v>
      </c>
      <c r="B1990" s="37" t="s">
        <v>1610</v>
      </c>
      <c r="C1990" s="37" t="n">
        <v>202606</v>
      </c>
      <c r="D1990" s="37" t="s">
        <v>64</v>
      </c>
      <c r="E1990" s="37" t="s">
        <v>107</v>
      </c>
      <c r="F1990" s="37" t="s">
        <v>201</v>
      </c>
      <c r="G1990" s="37" t="s">
        <v>358</v>
      </c>
      <c r="H1990" s="37" t="s">
        <v>1615</v>
      </c>
      <c r="I1990" s="37" t="s">
        <v>685</v>
      </c>
      <c r="J1990" s="37" t="s">
        <v>1611</v>
      </c>
      <c r="K1990" s="45" t="n">
        <v>0</v>
      </c>
      <c r="L1990" s="46" t="n">
        <v>70277.52</v>
      </c>
    </row>
    <row r="1991" customFormat="false" ht="15" hidden="false" customHeight="false" outlineLevel="0" collapsed="false">
      <c r="A1991" s="37" t="n">
        <v>502065</v>
      </c>
      <c r="B1991" s="37" t="s">
        <v>1610</v>
      </c>
      <c r="C1991" s="37" t="n">
        <v>202606</v>
      </c>
      <c r="D1991" s="37" t="s">
        <v>64</v>
      </c>
      <c r="E1991" s="37" t="s">
        <v>110</v>
      </c>
      <c r="F1991" s="37" t="s">
        <v>201</v>
      </c>
      <c r="G1991" s="37" t="s">
        <v>358</v>
      </c>
      <c r="H1991" s="37" t="s">
        <v>1342</v>
      </c>
      <c r="I1991" s="37" t="s">
        <v>1343</v>
      </c>
      <c r="J1991" s="37" t="s">
        <v>1611</v>
      </c>
      <c r="K1991" s="45" t="n">
        <v>0</v>
      </c>
      <c r="L1991" s="46" t="n">
        <v>165716.21</v>
      </c>
    </row>
    <row r="1992" customFormat="false" ht="15" hidden="false" customHeight="false" outlineLevel="0" collapsed="false">
      <c r="A1992" s="37" t="n">
        <v>502072</v>
      </c>
      <c r="B1992" s="37" t="s">
        <v>1610</v>
      </c>
      <c r="C1992" s="37" t="n">
        <v>202606</v>
      </c>
      <c r="D1992" s="37" t="s">
        <v>64</v>
      </c>
      <c r="E1992" s="37" t="s">
        <v>111</v>
      </c>
      <c r="F1992" s="37" t="s">
        <v>201</v>
      </c>
      <c r="G1992" s="37" t="s">
        <v>358</v>
      </c>
      <c r="H1992" s="37" t="s">
        <v>1344</v>
      </c>
      <c r="I1992" s="37" t="s">
        <v>1345</v>
      </c>
      <c r="J1992" s="37" t="s">
        <v>1611</v>
      </c>
      <c r="K1992" s="45" t="n">
        <v>0</v>
      </c>
      <c r="L1992" s="46" t="n">
        <v>86087.11</v>
      </c>
    </row>
    <row r="1993" customFormat="false" ht="15" hidden="false" customHeight="false" outlineLevel="0" collapsed="false">
      <c r="A1993" s="37" t="n">
        <v>502219</v>
      </c>
      <c r="B1993" s="37" t="s">
        <v>1610</v>
      </c>
      <c r="C1993" s="37" t="n">
        <v>202606</v>
      </c>
      <c r="D1993" s="37" t="s">
        <v>65</v>
      </c>
      <c r="E1993" s="37" t="s">
        <v>105</v>
      </c>
      <c r="F1993" s="37" t="s">
        <v>201</v>
      </c>
      <c r="G1993" s="37" t="s">
        <v>358</v>
      </c>
      <c r="H1993" s="37" t="s">
        <v>1346</v>
      </c>
      <c r="I1993" s="37" t="s">
        <v>934</v>
      </c>
      <c r="J1993" s="37" t="s">
        <v>1611</v>
      </c>
      <c r="K1993" s="45" t="n">
        <v>0</v>
      </c>
      <c r="L1993" s="46" t="n">
        <v>551403.85</v>
      </c>
    </row>
    <row r="1994" customFormat="false" ht="15" hidden="false" customHeight="false" outlineLevel="0" collapsed="false">
      <c r="A1994" s="37" t="n">
        <v>502244</v>
      </c>
      <c r="B1994" s="37" t="s">
        <v>1610</v>
      </c>
      <c r="C1994" s="37" t="n">
        <v>202606</v>
      </c>
      <c r="D1994" s="37" t="s">
        <v>65</v>
      </c>
      <c r="E1994" s="37" t="s">
        <v>107</v>
      </c>
      <c r="F1994" s="37" t="s">
        <v>201</v>
      </c>
      <c r="G1994" s="37" t="s">
        <v>358</v>
      </c>
      <c r="H1994" s="37" t="s">
        <v>1616</v>
      </c>
      <c r="I1994" s="37" t="s">
        <v>1096</v>
      </c>
      <c r="J1994" s="37" t="s">
        <v>1611</v>
      </c>
      <c r="K1994" s="45" t="n">
        <v>0</v>
      </c>
      <c r="L1994" s="46" t="n">
        <v>93754.77</v>
      </c>
    </row>
    <row r="1995" customFormat="false" ht="15" hidden="false" customHeight="false" outlineLevel="0" collapsed="false">
      <c r="A1995" s="37" t="n">
        <v>502256</v>
      </c>
      <c r="B1995" s="37" t="s">
        <v>1610</v>
      </c>
      <c r="C1995" s="37" t="n">
        <v>202606</v>
      </c>
      <c r="D1995" s="37" t="s">
        <v>65</v>
      </c>
      <c r="E1995" s="37" t="s">
        <v>110</v>
      </c>
      <c r="F1995" s="37" t="s">
        <v>201</v>
      </c>
      <c r="G1995" s="37" t="s">
        <v>358</v>
      </c>
      <c r="H1995" s="37" t="s">
        <v>1347</v>
      </c>
      <c r="I1995" s="37" t="s">
        <v>1181</v>
      </c>
      <c r="J1995" s="37" t="s">
        <v>1611</v>
      </c>
      <c r="K1995" s="45" t="n">
        <v>0</v>
      </c>
      <c r="L1995" s="46" t="n">
        <v>218946.19</v>
      </c>
    </row>
    <row r="1996" customFormat="false" ht="15" hidden="false" customHeight="false" outlineLevel="0" collapsed="false">
      <c r="A1996" s="37" t="n">
        <v>502263</v>
      </c>
      <c r="B1996" s="37" t="s">
        <v>1610</v>
      </c>
      <c r="C1996" s="37" t="n">
        <v>202606</v>
      </c>
      <c r="D1996" s="37" t="s">
        <v>65</v>
      </c>
      <c r="E1996" s="37" t="s">
        <v>111</v>
      </c>
      <c r="F1996" s="37" t="s">
        <v>201</v>
      </c>
      <c r="G1996" s="37" t="s">
        <v>358</v>
      </c>
      <c r="H1996" s="37" t="s">
        <v>1348</v>
      </c>
      <c r="I1996" s="37" t="s">
        <v>1017</v>
      </c>
      <c r="J1996" s="37" t="s">
        <v>1611</v>
      </c>
      <c r="K1996" s="45" t="n">
        <v>0</v>
      </c>
      <c r="L1996" s="46" t="n">
        <v>154775.79</v>
      </c>
    </row>
    <row r="1997" customFormat="false" ht="15" hidden="false" customHeight="false" outlineLevel="0" collapsed="false">
      <c r="A1997" s="37" t="n">
        <v>502340</v>
      </c>
      <c r="B1997" s="37" t="s">
        <v>1610</v>
      </c>
      <c r="C1997" s="37" t="n">
        <v>202606</v>
      </c>
      <c r="D1997" s="37" t="s">
        <v>66</v>
      </c>
      <c r="E1997" s="37" t="s">
        <v>100</v>
      </c>
      <c r="F1997" s="37" t="s">
        <v>201</v>
      </c>
      <c r="G1997" s="37" t="s">
        <v>358</v>
      </c>
      <c r="H1997" s="37" t="s">
        <v>1185</v>
      </c>
      <c r="I1997" s="37" t="s">
        <v>370</v>
      </c>
      <c r="J1997" s="37" t="s">
        <v>1611</v>
      </c>
      <c r="K1997" s="45" t="n">
        <v>0</v>
      </c>
      <c r="L1997" s="46" t="n">
        <v>12387.95</v>
      </c>
    </row>
    <row r="1998" customFormat="false" ht="15" hidden="false" customHeight="false" outlineLevel="0" collapsed="false">
      <c r="A1998" s="37" t="n">
        <v>502405</v>
      </c>
      <c r="B1998" s="37" t="s">
        <v>1610</v>
      </c>
      <c r="C1998" s="37" t="n">
        <v>202606</v>
      </c>
      <c r="D1998" s="37" t="s">
        <v>66</v>
      </c>
      <c r="E1998" s="37" t="s">
        <v>105</v>
      </c>
      <c r="F1998" s="37" t="s">
        <v>201</v>
      </c>
      <c r="G1998" s="37" t="s">
        <v>358</v>
      </c>
      <c r="H1998" s="37" t="s">
        <v>1617</v>
      </c>
      <c r="I1998" s="37" t="s">
        <v>1101</v>
      </c>
      <c r="J1998" s="37" t="s">
        <v>1611</v>
      </c>
      <c r="K1998" s="45" t="n">
        <v>0</v>
      </c>
      <c r="L1998" s="46" t="n">
        <v>36368.41</v>
      </c>
    </row>
    <row r="1999" customFormat="false" ht="15" hidden="false" customHeight="false" outlineLevel="0" collapsed="false">
      <c r="A1999" s="37" t="n">
        <v>502475</v>
      </c>
      <c r="B1999" s="37" t="s">
        <v>1610</v>
      </c>
      <c r="C1999" s="37" t="n">
        <v>202606</v>
      </c>
      <c r="D1999" s="37" t="s">
        <v>67</v>
      </c>
      <c r="E1999" s="37" t="s">
        <v>100</v>
      </c>
      <c r="F1999" s="37" t="s">
        <v>201</v>
      </c>
      <c r="G1999" s="37" t="s">
        <v>358</v>
      </c>
      <c r="H1999" s="37" t="s">
        <v>1350</v>
      </c>
      <c r="I1999" s="37" t="s">
        <v>646</v>
      </c>
      <c r="J1999" s="37" t="s">
        <v>1611</v>
      </c>
      <c r="K1999" s="45" t="n">
        <v>0</v>
      </c>
      <c r="L1999" s="46" t="n">
        <v>134921.47</v>
      </c>
    </row>
    <row r="2000" customFormat="false" ht="15" hidden="false" customHeight="false" outlineLevel="0" collapsed="false">
      <c r="A2000" s="37" t="n">
        <v>502581</v>
      </c>
      <c r="B2000" s="37" t="s">
        <v>1610</v>
      </c>
      <c r="C2000" s="37" t="n">
        <v>202606</v>
      </c>
      <c r="D2000" s="37" t="s">
        <v>68</v>
      </c>
      <c r="E2000" s="37" t="s">
        <v>100</v>
      </c>
      <c r="F2000" s="37" t="s">
        <v>201</v>
      </c>
      <c r="G2000" s="37" t="s">
        <v>358</v>
      </c>
      <c r="H2000" s="37" t="s">
        <v>1531</v>
      </c>
      <c r="I2000" s="37" t="s">
        <v>370</v>
      </c>
      <c r="J2000" s="37" t="s">
        <v>1611</v>
      </c>
      <c r="K2000" s="45" t="n">
        <v>0</v>
      </c>
      <c r="L2000" s="46" t="n">
        <v>161975.05</v>
      </c>
    </row>
    <row r="2001" customFormat="false" ht="15" hidden="false" customHeight="false" outlineLevel="0" collapsed="false">
      <c r="A2001" s="37" t="n">
        <v>500108</v>
      </c>
      <c r="B2001" s="37" t="s">
        <v>1618</v>
      </c>
      <c r="C2001" s="37" t="n">
        <v>202606</v>
      </c>
      <c r="D2001" s="37" t="s">
        <v>58</v>
      </c>
      <c r="E2001" s="37" t="s">
        <v>97</v>
      </c>
      <c r="F2001" s="37" t="s">
        <v>194</v>
      </c>
      <c r="G2001" s="37" t="s">
        <v>354</v>
      </c>
      <c r="H2001" s="37"/>
      <c r="I2001" s="37" t="s">
        <v>355</v>
      </c>
      <c r="J2001" s="37" t="s">
        <v>1619</v>
      </c>
      <c r="K2001" s="45" t="n">
        <v>14.6</v>
      </c>
      <c r="L2001" s="46" t="n">
        <v>1342.9</v>
      </c>
    </row>
    <row r="2002" customFormat="false" ht="15" hidden="false" customHeight="false" outlineLevel="0" collapsed="false">
      <c r="A2002" s="37" t="n">
        <v>500516</v>
      </c>
      <c r="B2002" s="37" t="s">
        <v>1618</v>
      </c>
      <c r="C2002" s="37" t="n">
        <v>202606</v>
      </c>
      <c r="D2002" s="37" t="s">
        <v>59</v>
      </c>
      <c r="E2002" s="37" t="s">
        <v>97</v>
      </c>
      <c r="F2002" s="37" t="s">
        <v>194</v>
      </c>
      <c r="G2002" s="37" t="s">
        <v>354</v>
      </c>
      <c r="H2002" s="37"/>
      <c r="I2002" s="37" t="s">
        <v>355</v>
      </c>
      <c r="J2002" s="37" t="s">
        <v>1619</v>
      </c>
      <c r="K2002" s="45" t="n">
        <v>236.9</v>
      </c>
      <c r="L2002" s="46" t="n">
        <v>21796.32</v>
      </c>
    </row>
    <row r="2003" customFormat="false" ht="15" hidden="false" customHeight="false" outlineLevel="0" collapsed="false">
      <c r="A2003" s="37" t="n">
        <v>500718</v>
      </c>
      <c r="B2003" s="37" t="s">
        <v>1618</v>
      </c>
      <c r="C2003" s="37" t="n">
        <v>202606</v>
      </c>
      <c r="D2003" s="37" t="s">
        <v>59</v>
      </c>
      <c r="E2003" s="37" t="s">
        <v>106</v>
      </c>
      <c r="F2003" s="37" t="s">
        <v>194</v>
      </c>
      <c r="G2003" s="37" t="s">
        <v>354</v>
      </c>
      <c r="H2003" s="37"/>
      <c r="I2003" s="37" t="s">
        <v>355</v>
      </c>
      <c r="J2003" s="37" t="s">
        <v>1619</v>
      </c>
      <c r="K2003" s="45" t="n">
        <v>99.3</v>
      </c>
      <c r="L2003" s="46" t="n">
        <v>7049.68</v>
      </c>
    </row>
    <row r="2004" customFormat="false" ht="15" hidden="false" customHeight="false" outlineLevel="0" collapsed="false">
      <c r="A2004" s="37" t="n">
        <v>500845</v>
      </c>
      <c r="B2004" s="37" t="s">
        <v>1618</v>
      </c>
      <c r="C2004" s="37" t="n">
        <v>202606</v>
      </c>
      <c r="D2004" s="37" t="s">
        <v>60</v>
      </c>
      <c r="E2004" s="37" t="s">
        <v>97</v>
      </c>
      <c r="F2004" s="37" t="s">
        <v>194</v>
      </c>
      <c r="G2004" s="37" t="s">
        <v>354</v>
      </c>
      <c r="H2004" s="37"/>
      <c r="I2004" s="37" t="s">
        <v>355</v>
      </c>
      <c r="J2004" s="37" t="s">
        <v>1619</v>
      </c>
      <c r="K2004" s="45" t="n">
        <v>305.5</v>
      </c>
      <c r="L2004" s="46" t="n">
        <v>28103.79</v>
      </c>
    </row>
    <row r="2005" customFormat="false" ht="15" hidden="false" customHeight="false" outlineLevel="0" collapsed="false">
      <c r="A2005" s="37" t="n">
        <v>501038</v>
      </c>
      <c r="B2005" s="37" t="s">
        <v>1618</v>
      </c>
      <c r="C2005" s="37" t="n">
        <v>202606</v>
      </c>
      <c r="D2005" s="37" t="s">
        <v>60</v>
      </c>
      <c r="E2005" s="37" t="s">
        <v>106</v>
      </c>
      <c r="F2005" s="37" t="s">
        <v>194</v>
      </c>
      <c r="G2005" s="37" t="s">
        <v>354</v>
      </c>
      <c r="H2005" s="37"/>
      <c r="I2005" s="37" t="s">
        <v>355</v>
      </c>
      <c r="J2005" s="37" t="s">
        <v>1619</v>
      </c>
      <c r="K2005" s="45" t="n">
        <v>439.4</v>
      </c>
      <c r="L2005" s="46" t="n">
        <v>31196.31</v>
      </c>
    </row>
    <row r="2006" customFormat="false" ht="15" hidden="false" customHeight="false" outlineLevel="0" collapsed="false">
      <c r="A2006" s="37" t="n">
        <v>501152</v>
      </c>
      <c r="B2006" s="37" t="s">
        <v>1618</v>
      </c>
      <c r="C2006" s="37" t="n">
        <v>202606</v>
      </c>
      <c r="D2006" s="37" t="s">
        <v>61</v>
      </c>
      <c r="E2006" s="37" t="s">
        <v>97</v>
      </c>
      <c r="F2006" s="37" t="s">
        <v>194</v>
      </c>
      <c r="G2006" s="37" t="s">
        <v>354</v>
      </c>
      <c r="H2006" s="37"/>
      <c r="I2006" s="37" t="s">
        <v>355</v>
      </c>
      <c r="J2006" s="37" t="s">
        <v>1619</v>
      </c>
      <c r="K2006" s="45" t="n">
        <v>43.8</v>
      </c>
      <c r="L2006" s="46" t="n">
        <v>4026.34</v>
      </c>
    </row>
    <row r="2007" customFormat="false" ht="15" hidden="false" customHeight="false" outlineLevel="0" collapsed="false">
      <c r="A2007" s="37" t="n">
        <v>501312</v>
      </c>
      <c r="B2007" s="37" t="s">
        <v>1618</v>
      </c>
      <c r="C2007" s="37" t="n">
        <v>202606</v>
      </c>
      <c r="D2007" s="37" t="s">
        <v>61</v>
      </c>
      <c r="E2007" s="37" t="s">
        <v>106</v>
      </c>
      <c r="F2007" s="37" t="s">
        <v>194</v>
      </c>
      <c r="G2007" s="37" t="s">
        <v>354</v>
      </c>
      <c r="H2007" s="37"/>
      <c r="I2007" s="37" t="s">
        <v>355</v>
      </c>
      <c r="J2007" s="37" t="s">
        <v>1619</v>
      </c>
      <c r="K2007" s="45" t="n">
        <v>50.5</v>
      </c>
      <c r="L2007" s="46" t="n">
        <v>3586.4</v>
      </c>
    </row>
    <row r="2008" customFormat="false" ht="15" hidden="false" customHeight="false" outlineLevel="0" collapsed="false">
      <c r="A2008" s="37" t="n">
        <v>501413</v>
      </c>
      <c r="B2008" s="37" t="s">
        <v>1618</v>
      </c>
      <c r="C2008" s="37" t="n">
        <v>202606</v>
      </c>
      <c r="D2008" s="37" t="s">
        <v>62</v>
      </c>
      <c r="E2008" s="37" t="s">
        <v>97</v>
      </c>
      <c r="F2008" s="37" t="s">
        <v>194</v>
      </c>
      <c r="G2008" s="37" t="s">
        <v>354</v>
      </c>
      <c r="H2008" s="37"/>
      <c r="I2008" s="37" t="s">
        <v>355</v>
      </c>
      <c r="J2008" s="37" t="s">
        <v>1619</v>
      </c>
      <c r="K2008" s="45" t="n">
        <v>375.2</v>
      </c>
      <c r="L2008" s="46" t="n">
        <v>34516.63</v>
      </c>
    </row>
    <row r="2009" customFormat="false" ht="15" hidden="false" customHeight="false" outlineLevel="0" collapsed="false">
      <c r="A2009" s="37" t="n">
        <v>501579</v>
      </c>
      <c r="B2009" s="37" t="s">
        <v>1618</v>
      </c>
      <c r="C2009" s="37" t="n">
        <v>202606</v>
      </c>
      <c r="D2009" s="37" t="s">
        <v>62</v>
      </c>
      <c r="E2009" s="37" t="s">
        <v>106</v>
      </c>
      <c r="F2009" s="37" t="s">
        <v>194</v>
      </c>
      <c r="G2009" s="37" t="s">
        <v>354</v>
      </c>
      <c r="H2009" s="37"/>
      <c r="I2009" s="37" t="s">
        <v>355</v>
      </c>
      <c r="J2009" s="37" t="s">
        <v>1619</v>
      </c>
      <c r="K2009" s="45" t="n">
        <v>246.1</v>
      </c>
      <c r="L2009" s="46" t="n">
        <v>17474.6</v>
      </c>
    </row>
    <row r="2010" customFormat="false" ht="15" hidden="false" customHeight="false" outlineLevel="0" collapsed="false">
      <c r="A2010" s="37" t="n">
        <v>501659</v>
      </c>
      <c r="B2010" s="37" t="s">
        <v>1618</v>
      </c>
      <c r="C2010" s="37" t="n">
        <v>202606</v>
      </c>
      <c r="D2010" s="37" t="s">
        <v>63</v>
      </c>
      <c r="E2010" s="37" t="s">
        <v>97</v>
      </c>
      <c r="F2010" s="37" t="s">
        <v>194</v>
      </c>
      <c r="G2010" s="37" t="s">
        <v>354</v>
      </c>
      <c r="H2010" s="37"/>
      <c r="I2010" s="37" t="s">
        <v>355</v>
      </c>
      <c r="J2010" s="37" t="s">
        <v>1619</v>
      </c>
      <c r="K2010" s="45" t="n">
        <v>221.7</v>
      </c>
      <c r="L2010" s="46" t="n">
        <v>20399.94</v>
      </c>
    </row>
    <row r="2011" customFormat="false" ht="15" hidden="false" customHeight="false" outlineLevel="0" collapsed="false">
      <c r="A2011" s="37" t="n">
        <v>501809</v>
      </c>
      <c r="B2011" s="37" t="s">
        <v>1618</v>
      </c>
      <c r="C2011" s="37" t="n">
        <v>202606</v>
      </c>
      <c r="D2011" s="37" t="s">
        <v>63</v>
      </c>
      <c r="E2011" s="37" t="s">
        <v>106</v>
      </c>
      <c r="F2011" s="37" t="s">
        <v>194</v>
      </c>
      <c r="G2011" s="37" t="s">
        <v>354</v>
      </c>
      <c r="H2011" s="37"/>
      <c r="I2011" s="37" t="s">
        <v>355</v>
      </c>
      <c r="J2011" s="37" t="s">
        <v>1619</v>
      </c>
      <c r="K2011" s="45" t="n">
        <v>323.3</v>
      </c>
      <c r="L2011" s="46" t="n">
        <v>22954.57</v>
      </c>
    </row>
    <row r="2012" customFormat="false" ht="15" hidden="false" customHeight="false" outlineLevel="0" collapsed="false">
      <c r="A2012" s="37" t="n">
        <v>501893</v>
      </c>
      <c r="B2012" s="37" t="s">
        <v>1618</v>
      </c>
      <c r="C2012" s="37" t="n">
        <v>202606</v>
      </c>
      <c r="D2012" s="37" t="s">
        <v>64</v>
      </c>
      <c r="E2012" s="37" t="s">
        <v>97</v>
      </c>
      <c r="F2012" s="37" t="s">
        <v>194</v>
      </c>
      <c r="G2012" s="37" t="s">
        <v>354</v>
      </c>
      <c r="H2012" s="37"/>
      <c r="I2012" s="37" t="s">
        <v>355</v>
      </c>
      <c r="J2012" s="37" t="s">
        <v>1619</v>
      </c>
      <c r="K2012" s="45" t="n">
        <v>88.3</v>
      </c>
      <c r="L2012" s="46" t="n">
        <v>8121.92</v>
      </c>
    </row>
    <row r="2013" customFormat="false" ht="15" hidden="false" customHeight="false" outlineLevel="0" collapsed="false">
      <c r="A2013" s="37" t="n">
        <v>501983</v>
      </c>
      <c r="B2013" s="37" t="s">
        <v>1618</v>
      </c>
      <c r="C2013" s="37" t="n">
        <v>202606</v>
      </c>
      <c r="D2013" s="37" t="s">
        <v>64</v>
      </c>
      <c r="E2013" s="37" t="s">
        <v>101</v>
      </c>
      <c r="F2013" s="37" t="s">
        <v>194</v>
      </c>
      <c r="G2013" s="37" t="s">
        <v>354</v>
      </c>
      <c r="H2013" s="37"/>
      <c r="I2013" s="37" t="s">
        <v>355</v>
      </c>
      <c r="J2013" s="37" t="s">
        <v>1619</v>
      </c>
      <c r="K2013" s="45" t="n">
        <v>16.3</v>
      </c>
      <c r="L2013" s="46" t="n">
        <v>1208.77</v>
      </c>
    </row>
    <row r="2014" customFormat="false" ht="15" hidden="false" customHeight="false" outlineLevel="0" collapsed="false">
      <c r="A2014" s="37" t="n">
        <v>502038</v>
      </c>
      <c r="B2014" s="37" t="s">
        <v>1618</v>
      </c>
      <c r="C2014" s="37" t="n">
        <v>202606</v>
      </c>
      <c r="D2014" s="37" t="s">
        <v>64</v>
      </c>
      <c r="E2014" s="37" t="s">
        <v>106</v>
      </c>
      <c r="F2014" s="37" t="s">
        <v>194</v>
      </c>
      <c r="G2014" s="37" t="s">
        <v>354</v>
      </c>
      <c r="H2014" s="37"/>
      <c r="I2014" s="37" t="s">
        <v>355</v>
      </c>
      <c r="J2014" s="37" t="s">
        <v>1619</v>
      </c>
      <c r="K2014" s="45" t="n">
        <v>166.5</v>
      </c>
      <c r="L2014" s="46" t="n">
        <v>11821.49</v>
      </c>
    </row>
    <row r="2015" customFormat="false" ht="15" hidden="false" customHeight="false" outlineLevel="0" collapsed="false">
      <c r="A2015" s="37" t="n">
        <v>502109</v>
      </c>
      <c r="B2015" s="37" t="s">
        <v>1618</v>
      </c>
      <c r="C2015" s="37" t="n">
        <v>202606</v>
      </c>
      <c r="D2015" s="37" t="s">
        <v>65</v>
      </c>
      <c r="E2015" s="37" t="s">
        <v>97</v>
      </c>
      <c r="F2015" s="37" t="s">
        <v>194</v>
      </c>
      <c r="G2015" s="37" t="s">
        <v>354</v>
      </c>
      <c r="H2015" s="37"/>
      <c r="I2015" s="37" t="s">
        <v>355</v>
      </c>
      <c r="J2015" s="37" t="s">
        <v>1619</v>
      </c>
      <c r="K2015" s="45" t="n">
        <v>544.3</v>
      </c>
      <c r="L2015" s="46" t="n">
        <v>50077.17</v>
      </c>
    </row>
    <row r="2016" customFormat="false" ht="15" hidden="false" customHeight="false" outlineLevel="0" collapsed="false">
      <c r="A2016" s="37" t="n">
        <v>502188</v>
      </c>
      <c r="B2016" s="37" t="s">
        <v>1618</v>
      </c>
      <c r="C2016" s="37" t="n">
        <v>202606</v>
      </c>
      <c r="D2016" s="37" t="s">
        <v>65</v>
      </c>
      <c r="E2016" s="37" t="s">
        <v>101</v>
      </c>
      <c r="F2016" s="37" t="s">
        <v>194</v>
      </c>
      <c r="G2016" s="37" t="s">
        <v>354</v>
      </c>
      <c r="H2016" s="37"/>
      <c r="I2016" s="37" t="s">
        <v>355</v>
      </c>
      <c r="J2016" s="37" t="s">
        <v>1619</v>
      </c>
      <c r="K2016" s="45" t="n">
        <v>65.5</v>
      </c>
      <c r="L2016" s="46" t="n">
        <v>4844.36</v>
      </c>
    </row>
    <row r="2017" customFormat="false" ht="15" hidden="false" customHeight="false" outlineLevel="0" collapsed="false">
      <c r="A2017" s="37" t="n">
        <v>502230</v>
      </c>
      <c r="B2017" s="37" t="s">
        <v>1618</v>
      </c>
      <c r="C2017" s="37" t="n">
        <v>202606</v>
      </c>
      <c r="D2017" s="37" t="s">
        <v>65</v>
      </c>
      <c r="E2017" s="37" t="s">
        <v>106</v>
      </c>
      <c r="F2017" s="37" t="s">
        <v>194</v>
      </c>
      <c r="G2017" s="37" t="s">
        <v>354</v>
      </c>
      <c r="H2017" s="37"/>
      <c r="I2017" s="37" t="s">
        <v>355</v>
      </c>
      <c r="J2017" s="37" t="s">
        <v>1619</v>
      </c>
      <c r="K2017" s="45" t="n">
        <v>84.6</v>
      </c>
      <c r="L2017" s="46" t="n">
        <v>6009.39</v>
      </c>
    </row>
    <row r="2018" customFormat="false" ht="15" hidden="false" customHeight="false" outlineLevel="0" collapsed="false">
      <c r="A2018" s="37" t="n">
        <v>502292</v>
      </c>
      <c r="B2018" s="37" t="s">
        <v>1618</v>
      </c>
      <c r="C2018" s="37" t="n">
        <v>202606</v>
      </c>
      <c r="D2018" s="37" t="s">
        <v>66</v>
      </c>
      <c r="E2018" s="37" t="s">
        <v>97</v>
      </c>
      <c r="F2018" s="37" t="s">
        <v>194</v>
      </c>
      <c r="G2018" s="37" t="s">
        <v>354</v>
      </c>
      <c r="H2018" s="37"/>
      <c r="I2018" s="37" t="s">
        <v>355</v>
      </c>
      <c r="J2018" s="37" t="s">
        <v>1619</v>
      </c>
      <c r="K2018" s="45" t="n">
        <v>178.2</v>
      </c>
      <c r="L2018" s="46" t="n">
        <v>16398.55</v>
      </c>
    </row>
    <row r="2019" customFormat="false" ht="15" hidden="false" customHeight="false" outlineLevel="0" collapsed="false">
      <c r="A2019" s="37" t="n">
        <v>502357</v>
      </c>
      <c r="B2019" s="37" t="s">
        <v>1618</v>
      </c>
      <c r="C2019" s="37" t="n">
        <v>202606</v>
      </c>
      <c r="D2019" s="37" t="s">
        <v>66</v>
      </c>
      <c r="E2019" s="37" t="s">
        <v>101</v>
      </c>
      <c r="F2019" s="37" t="s">
        <v>194</v>
      </c>
      <c r="G2019" s="37" t="s">
        <v>354</v>
      </c>
      <c r="H2019" s="37"/>
      <c r="I2019" s="37" t="s">
        <v>355</v>
      </c>
      <c r="J2019" s="37" t="s">
        <v>1619</v>
      </c>
      <c r="K2019" s="45" t="n">
        <v>625.2</v>
      </c>
      <c r="L2019" s="46" t="n">
        <v>46264.27</v>
      </c>
    </row>
    <row r="2020" customFormat="false" ht="15" hidden="false" customHeight="false" outlineLevel="0" collapsed="false">
      <c r="A2020" s="37" t="n">
        <v>502435</v>
      </c>
      <c r="B2020" s="37" t="s">
        <v>1618</v>
      </c>
      <c r="C2020" s="37" t="n">
        <v>202606</v>
      </c>
      <c r="D2020" s="37" t="s">
        <v>67</v>
      </c>
      <c r="E2020" s="37" t="s">
        <v>97</v>
      </c>
      <c r="F2020" s="37" t="s">
        <v>194</v>
      </c>
      <c r="G2020" s="37" t="s">
        <v>354</v>
      </c>
      <c r="H2020" s="37"/>
      <c r="I2020" s="37" t="s">
        <v>355</v>
      </c>
      <c r="J2020" s="37" t="s">
        <v>1619</v>
      </c>
      <c r="K2020" s="45" t="n">
        <v>45.3</v>
      </c>
      <c r="L2020" s="46" t="n">
        <v>4164.09</v>
      </c>
    </row>
    <row r="2021" customFormat="false" ht="15" hidden="false" customHeight="false" outlineLevel="0" collapsed="false">
      <c r="A2021" s="37" t="n">
        <v>502489</v>
      </c>
      <c r="B2021" s="37" t="s">
        <v>1618</v>
      </c>
      <c r="C2021" s="37" t="n">
        <v>202606</v>
      </c>
      <c r="D2021" s="37" t="s">
        <v>67</v>
      </c>
      <c r="E2021" s="37" t="s">
        <v>101</v>
      </c>
      <c r="F2021" s="37" t="s">
        <v>194</v>
      </c>
      <c r="G2021" s="37" t="s">
        <v>354</v>
      </c>
      <c r="H2021" s="37"/>
      <c r="I2021" s="37" t="s">
        <v>355</v>
      </c>
      <c r="J2021" s="37" t="s">
        <v>1619</v>
      </c>
      <c r="K2021" s="45" t="n">
        <v>203</v>
      </c>
      <c r="L2021" s="46" t="n">
        <v>15023.76</v>
      </c>
    </row>
    <row r="2022" customFormat="false" ht="15" hidden="false" customHeight="false" outlineLevel="0" collapsed="false">
      <c r="A2022" s="37" t="n">
        <v>502551</v>
      </c>
      <c r="B2022" s="37" t="s">
        <v>1618</v>
      </c>
      <c r="C2022" s="37" t="n">
        <v>202606</v>
      </c>
      <c r="D2022" s="37" t="s">
        <v>68</v>
      </c>
      <c r="E2022" s="37" t="s">
        <v>97</v>
      </c>
      <c r="F2022" s="37" t="s">
        <v>194</v>
      </c>
      <c r="G2022" s="37" t="s">
        <v>354</v>
      </c>
      <c r="H2022" s="37"/>
      <c r="I2022" s="37" t="s">
        <v>355</v>
      </c>
      <c r="J2022" s="37" t="s">
        <v>1619</v>
      </c>
      <c r="K2022" s="45" t="n">
        <v>101</v>
      </c>
      <c r="L2022" s="46" t="n">
        <v>9288.82</v>
      </c>
    </row>
    <row r="2023" customFormat="false" ht="15" hidden="false" customHeight="false" outlineLevel="0" collapsed="false">
      <c r="A2023" s="37" t="n">
        <v>502588</v>
      </c>
      <c r="B2023" s="37" t="s">
        <v>1618</v>
      </c>
      <c r="C2023" s="37" t="n">
        <v>202606</v>
      </c>
      <c r="D2023" s="37" t="s">
        <v>68</v>
      </c>
      <c r="E2023" s="37" t="s">
        <v>101</v>
      </c>
      <c r="F2023" s="37" t="s">
        <v>194</v>
      </c>
      <c r="G2023" s="37" t="s">
        <v>354</v>
      </c>
      <c r="H2023" s="37"/>
      <c r="I2023" s="37" t="s">
        <v>355</v>
      </c>
      <c r="J2023" s="37" t="s">
        <v>1619</v>
      </c>
      <c r="K2023" s="45" t="n">
        <v>67.4</v>
      </c>
      <c r="L2023" s="46" t="n">
        <v>4990.21</v>
      </c>
    </row>
    <row r="2024" customFormat="false" ht="15" hidden="false" customHeight="false" outlineLevel="0" collapsed="false">
      <c r="A2024" s="37" t="n">
        <v>500166</v>
      </c>
      <c r="B2024" s="37" t="s">
        <v>1620</v>
      </c>
      <c r="C2024" s="37" t="n">
        <v>202606</v>
      </c>
      <c r="D2024" s="37" t="s">
        <v>58</v>
      </c>
      <c r="E2024" s="37" t="s">
        <v>98</v>
      </c>
      <c r="F2024" s="37" t="s">
        <v>196</v>
      </c>
      <c r="G2024" s="37" t="s">
        <v>358</v>
      </c>
      <c r="H2024" s="37" t="s">
        <v>359</v>
      </c>
      <c r="I2024" s="37" t="s">
        <v>360</v>
      </c>
      <c r="J2024" s="37" t="s">
        <v>1621</v>
      </c>
      <c r="K2024" s="45" t="n">
        <v>0</v>
      </c>
      <c r="L2024" s="46" t="n">
        <v>2298.77</v>
      </c>
    </row>
    <row r="2025" customFormat="false" ht="15" hidden="false" customHeight="false" outlineLevel="0" collapsed="false">
      <c r="A2025" s="37" t="n">
        <v>501698</v>
      </c>
      <c r="B2025" s="37" t="s">
        <v>1620</v>
      </c>
      <c r="C2025" s="37" t="n">
        <v>202606</v>
      </c>
      <c r="D2025" s="37" t="s">
        <v>63</v>
      </c>
      <c r="E2025" s="37" t="s">
        <v>98</v>
      </c>
      <c r="F2025" s="37" t="s">
        <v>196</v>
      </c>
      <c r="G2025" s="37" t="s">
        <v>358</v>
      </c>
      <c r="H2025" s="37" t="s">
        <v>359</v>
      </c>
      <c r="I2025" s="37" t="s">
        <v>360</v>
      </c>
      <c r="J2025" s="37" t="s">
        <v>1622</v>
      </c>
      <c r="K2025" s="45" t="n">
        <v>0</v>
      </c>
      <c r="L2025" s="46" t="n">
        <v>6263.91</v>
      </c>
    </row>
    <row r="2026" customFormat="false" ht="15" hidden="false" customHeight="false" outlineLevel="0" collapsed="false">
      <c r="A2026" s="37" t="n">
        <v>502507</v>
      </c>
      <c r="B2026" s="37" t="s">
        <v>1620</v>
      </c>
      <c r="C2026" s="37" t="n">
        <v>202606</v>
      </c>
      <c r="D2026" s="37" t="s">
        <v>67</v>
      </c>
      <c r="E2026" s="37" t="s">
        <v>102</v>
      </c>
      <c r="F2026" s="37" t="s">
        <v>205</v>
      </c>
      <c r="G2026" s="37" t="s">
        <v>358</v>
      </c>
      <c r="H2026" s="37" t="s">
        <v>1375</v>
      </c>
      <c r="I2026" s="37" t="s">
        <v>892</v>
      </c>
      <c r="J2026" s="37" t="s">
        <v>1623</v>
      </c>
      <c r="K2026" s="45" t="n">
        <v>0</v>
      </c>
      <c r="L2026" s="46" t="n">
        <v>47654.32</v>
      </c>
    </row>
    <row r="2027" customFormat="false" ht="15" hidden="false" customHeight="false" outlineLevel="0" collapsed="false">
      <c r="A2027" s="37" t="n">
        <v>500585</v>
      </c>
      <c r="B2027" s="37" t="s">
        <v>1624</v>
      </c>
      <c r="C2027" s="37" t="n">
        <v>202606</v>
      </c>
      <c r="D2027" s="37" t="s">
        <v>59</v>
      </c>
      <c r="E2027" s="37" t="s">
        <v>99</v>
      </c>
      <c r="F2027" s="37" t="s">
        <v>198</v>
      </c>
      <c r="G2027" s="37" t="s">
        <v>375</v>
      </c>
      <c r="H2027" s="37"/>
      <c r="I2027" s="37" t="s">
        <v>376</v>
      </c>
      <c r="J2027" s="37" t="s">
        <v>377</v>
      </c>
      <c r="K2027" s="45" t="n">
        <v>0</v>
      </c>
      <c r="L2027" s="46" t="n">
        <v>30621.7</v>
      </c>
    </row>
    <row r="2028" customFormat="false" ht="15" hidden="false" customHeight="false" outlineLevel="0" collapsed="false">
      <c r="A2028" s="37" t="n">
        <v>500907</v>
      </c>
      <c r="B2028" s="37" t="s">
        <v>1624</v>
      </c>
      <c r="C2028" s="37" t="n">
        <v>202606</v>
      </c>
      <c r="D2028" s="37" t="s">
        <v>60</v>
      </c>
      <c r="E2028" s="37" t="s">
        <v>99</v>
      </c>
      <c r="F2028" s="37" t="s">
        <v>198</v>
      </c>
      <c r="G2028" s="37" t="s">
        <v>375</v>
      </c>
      <c r="H2028" s="37"/>
      <c r="I2028" s="37" t="s">
        <v>376</v>
      </c>
      <c r="J2028" s="37" t="s">
        <v>377</v>
      </c>
      <c r="K2028" s="45" t="n">
        <v>0</v>
      </c>
      <c r="L2028" s="46" t="n">
        <v>19759.4</v>
      </c>
    </row>
    <row r="2029" customFormat="false" ht="15" hidden="false" customHeight="false" outlineLevel="0" collapsed="false">
      <c r="A2029" s="37" t="n">
        <v>501207</v>
      </c>
      <c r="B2029" s="37" t="s">
        <v>1624</v>
      </c>
      <c r="C2029" s="37" t="n">
        <v>202606</v>
      </c>
      <c r="D2029" s="37" t="s">
        <v>61</v>
      </c>
      <c r="E2029" s="37" t="s">
        <v>99</v>
      </c>
      <c r="F2029" s="37" t="s">
        <v>198</v>
      </c>
      <c r="G2029" s="37" t="s">
        <v>375</v>
      </c>
      <c r="H2029" s="37"/>
      <c r="I2029" s="37" t="s">
        <v>376</v>
      </c>
      <c r="J2029" s="37" t="s">
        <v>377</v>
      </c>
      <c r="K2029" s="45" t="n">
        <v>0</v>
      </c>
      <c r="L2029" s="46" t="n">
        <v>16407.26</v>
      </c>
    </row>
    <row r="2030" customFormat="false" ht="15" hidden="false" customHeight="false" outlineLevel="0" collapsed="false">
      <c r="A2030" s="37" t="n">
        <v>501465</v>
      </c>
      <c r="B2030" s="37" t="s">
        <v>1624</v>
      </c>
      <c r="C2030" s="37" t="n">
        <v>202606</v>
      </c>
      <c r="D2030" s="37" t="s">
        <v>62</v>
      </c>
      <c r="E2030" s="37" t="s">
        <v>99</v>
      </c>
      <c r="F2030" s="37" t="s">
        <v>198</v>
      </c>
      <c r="G2030" s="37" t="s">
        <v>375</v>
      </c>
      <c r="H2030" s="37"/>
      <c r="I2030" s="37" t="s">
        <v>376</v>
      </c>
      <c r="J2030" s="37" t="s">
        <v>377</v>
      </c>
      <c r="K2030" s="45" t="n">
        <v>0</v>
      </c>
      <c r="L2030" s="46" t="n">
        <v>53663.61</v>
      </c>
    </row>
    <row r="2031" customFormat="false" ht="15" hidden="false" customHeight="false" outlineLevel="0" collapsed="false">
      <c r="A2031" s="37" t="n">
        <v>501716</v>
      </c>
      <c r="B2031" s="37" t="s">
        <v>1624</v>
      </c>
      <c r="C2031" s="37" t="n">
        <v>202606</v>
      </c>
      <c r="D2031" s="37" t="s">
        <v>63</v>
      </c>
      <c r="E2031" s="37" t="s">
        <v>99</v>
      </c>
      <c r="F2031" s="37" t="s">
        <v>198</v>
      </c>
      <c r="G2031" s="37" t="s">
        <v>375</v>
      </c>
      <c r="H2031" s="37"/>
      <c r="I2031" s="37" t="s">
        <v>376</v>
      </c>
      <c r="J2031" s="37" t="s">
        <v>377</v>
      </c>
      <c r="K2031" s="45" t="n">
        <v>0</v>
      </c>
      <c r="L2031" s="46" t="n">
        <v>22042.48</v>
      </c>
    </row>
    <row r="2032" customFormat="false" ht="15" hidden="false" customHeight="false" outlineLevel="0" collapsed="false">
      <c r="A2032" s="37" t="n">
        <v>501941</v>
      </c>
      <c r="B2032" s="37" t="s">
        <v>1624</v>
      </c>
      <c r="C2032" s="37" t="n">
        <v>202606</v>
      </c>
      <c r="D2032" s="37" t="s">
        <v>64</v>
      </c>
      <c r="E2032" s="37" t="s">
        <v>99</v>
      </c>
      <c r="F2032" s="37" t="s">
        <v>198</v>
      </c>
      <c r="G2032" s="37" t="s">
        <v>375</v>
      </c>
      <c r="H2032" s="37"/>
      <c r="I2032" s="37" t="s">
        <v>376</v>
      </c>
      <c r="J2032" s="37" t="s">
        <v>377</v>
      </c>
      <c r="K2032" s="45" t="n">
        <v>0</v>
      </c>
      <c r="L2032" s="46" t="n">
        <v>32662.09</v>
      </c>
    </row>
    <row r="2033" customFormat="false" ht="15" hidden="false" customHeight="false" outlineLevel="0" collapsed="false">
      <c r="A2033" s="37" t="n">
        <v>502150</v>
      </c>
      <c r="B2033" s="37" t="s">
        <v>1624</v>
      </c>
      <c r="C2033" s="37" t="n">
        <v>202606</v>
      </c>
      <c r="D2033" s="37" t="s">
        <v>65</v>
      </c>
      <c r="E2033" s="37" t="s">
        <v>99</v>
      </c>
      <c r="F2033" s="37" t="s">
        <v>198</v>
      </c>
      <c r="G2033" s="37" t="s">
        <v>375</v>
      </c>
      <c r="H2033" s="37"/>
      <c r="I2033" s="37" t="s">
        <v>376</v>
      </c>
      <c r="J2033" s="37" t="s">
        <v>377</v>
      </c>
      <c r="K2033" s="45" t="n">
        <v>0</v>
      </c>
      <c r="L2033" s="46" t="n">
        <v>87749.46</v>
      </c>
    </row>
    <row r="2034" customFormat="false" ht="15" hidden="false" customHeight="false" outlineLevel="0" collapsed="false">
      <c r="A2034" s="37" t="n">
        <v>502331</v>
      </c>
      <c r="B2034" s="37" t="s">
        <v>1624</v>
      </c>
      <c r="C2034" s="37" t="n">
        <v>202606</v>
      </c>
      <c r="D2034" s="37" t="s">
        <v>66</v>
      </c>
      <c r="E2034" s="37" t="s">
        <v>99</v>
      </c>
      <c r="F2034" s="37" t="s">
        <v>198</v>
      </c>
      <c r="G2034" s="37" t="s">
        <v>375</v>
      </c>
      <c r="H2034" s="37"/>
      <c r="I2034" s="37" t="s">
        <v>376</v>
      </c>
      <c r="J2034" s="37" t="s">
        <v>377</v>
      </c>
      <c r="K2034" s="45" t="n">
        <v>0</v>
      </c>
      <c r="L2034" s="46" t="n">
        <v>36237.42</v>
      </c>
    </row>
    <row r="2035" customFormat="false" ht="15" hidden="false" customHeight="false" outlineLevel="0" collapsed="false">
      <c r="A2035" s="37" t="n">
        <v>502468</v>
      </c>
      <c r="B2035" s="37" t="s">
        <v>1624</v>
      </c>
      <c r="C2035" s="37" t="n">
        <v>202606</v>
      </c>
      <c r="D2035" s="37" t="s">
        <v>67</v>
      </c>
      <c r="E2035" s="37" t="s">
        <v>99</v>
      </c>
      <c r="F2035" s="37" t="s">
        <v>198</v>
      </c>
      <c r="G2035" s="37" t="s">
        <v>375</v>
      </c>
      <c r="H2035" s="37"/>
      <c r="I2035" s="37" t="s">
        <v>376</v>
      </c>
      <c r="J2035" s="37" t="s">
        <v>377</v>
      </c>
      <c r="K2035" s="45" t="n">
        <v>0</v>
      </c>
      <c r="L2035" s="46" t="n">
        <v>36003.49</v>
      </c>
    </row>
    <row r="2036" customFormat="false" ht="15" hidden="false" customHeight="false" outlineLevel="0" collapsed="false">
      <c r="A2036" s="37" t="n">
        <v>502576</v>
      </c>
      <c r="B2036" s="37" t="s">
        <v>1624</v>
      </c>
      <c r="C2036" s="37" t="n">
        <v>202606</v>
      </c>
      <c r="D2036" s="37" t="s">
        <v>68</v>
      </c>
      <c r="E2036" s="37" t="s">
        <v>99</v>
      </c>
      <c r="F2036" s="37" t="s">
        <v>198</v>
      </c>
      <c r="G2036" s="37" t="s">
        <v>375</v>
      </c>
      <c r="H2036" s="37"/>
      <c r="I2036" s="37" t="s">
        <v>376</v>
      </c>
      <c r="J2036" s="37" t="s">
        <v>377</v>
      </c>
      <c r="K2036" s="45" t="n">
        <v>0</v>
      </c>
      <c r="L2036" s="46" t="n">
        <v>9774.57</v>
      </c>
    </row>
    <row r="2037" customFormat="false" ht="15" hidden="false" customHeight="false" outlineLevel="0" collapsed="false">
      <c r="A2037" s="37" t="n">
        <v>500109</v>
      </c>
      <c r="B2037" s="37" t="s">
        <v>1625</v>
      </c>
      <c r="C2037" s="37" t="n">
        <v>202607</v>
      </c>
      <c r="D2037" s="37" t="s">
        <v>58</v>
      </c>
      <c r="E2037" s="37" t="s">
        <v>97</v>
      </c>
      <c r="F2037" s="37" t="s">
        <v>194</v>
      </c>
      <c r="G2037" s="37" t="s">
        <v>354</v>
      </c>
      <c r="H2037" s="37"/>
      <c r="I2037" s="37" t="s">
        <v>355</v>
      </c>
      <c r="J2037" s="37" t="s">
        <v>1626</v>
      </c>
      <c r="K2037" s="45" t="n">
        <v>39.8</v>
      </c>
      <c r="L2037" s="46" t="n">
        <v>3662.05</v>
      </c>
    </row>
    <row r="2038" customFormat="false" ht="15" hidden="false" customHeight="false" outlineLevel="0" collapsed="false">
      <c r="A2038" s="37" t="n">
        <v>500517</v>
      </c>
      <c r="B2038" s="37" t="s">
        <v>1625</v>
      </c>
      <c r="C2038" s="37" t="n">
        <v>202607</v>
      </c>
      <c r="D2038" s="37" t="s">
        <v>59</v>
      </c>
      <c r="E2038" s="37" t="s">
        <v>97</v>
      </c>
      <c r="F2038" s="37" t="s">
        <v>194</v>
      </c>
      <c r="G2038" s="37" t="s">
        <v>354</v>
      </c>
      <c r="H2038" s="37"/>
      <c r="I2038" s="37" t="s">
        <v>355</v>
      </c>
      <c r="J2038" s="37" t="s">
        <v>1626</v>
      </c>
      <c r="K2038" s="45" t="n">
        <v>86.9</v>
      </c>
      <c r="L2038" s="46" t="n">
        <v>7998.76</v>
      </c>
    </row>
    <row r="2039" customFormat="false" ht="15" hidden="false" customHeight="false" outlineLevel="0" collapsed="false">
      <c r="A2039" s="37" t="n">
        <v>500719</v>
      </c>
      <c r="B2039" s="37" t="s">
        <v>1625</v>
      </c>
      <c r="C2039" s="37" t="n">
        <v>202607</v>
      </c>
      <c r="D2039" s="37" t="s">
        <v>59</v>
      </c>
      <c r="E2039" s="37" t="s">
        <v>106</v>
      </c>
      <c r="F2039" s="37" t="s">
        <v>194</v>
      </c>
      <c r="G2039" s="37" t="s">
        <v>354</v>
      </c>
      <c r="H2039" s="37"/>
      <c r="I2039" s="37" t="s">
        <v>355</v>
      </c>
      <c r="J2039" s="37" t="s">
        <v>1626</v>
      </c>
      <c r="K2039" s="45" t="n">
        <v>56.5</v>
      </c>
      <c r="L2039" s="46" t="n">
        <v>4014.8</v>
      </c>
    </row>
    <row r="2040" customFormat="false" ht="15" hidden="false" customHeight="false" outlineLevel="0" collapsed="false">
      <c r="A2040" s="37" t="n">
        <v>500846</v>
      </c>
      <c r="B2040" s="37" t="s">
        <v>1625</v>
      </c>
      <c r="C2040" s="37" t="n">
        <v>202607</v>
      </c>
      <c r="D2040" s="37" t="s">
        <v>60</v>
      </c>
      <c r="E2040" s="37" t="s">
        <v>97</v>
      </c>
      <c r="F2040" s="37" t="s">
        <v>194</v>
      </c>
      <c r="G2040" s="37" t="s">
        <v>354</v>
      </c>
      <c r="H2040" s="37"/>
      <c r="I2040" s="37" t="s">
        <v>355</v>
      </c>
      <c r="J2040" s="37" t="s">
        <v>1626</v>
      </c>
      <c r="K2040" s="45" t="n">
        <v>116.3</v>
      </c>
      <c r="L2040" s="46" t="n">
        <v>10696.66</v>
      </c>
    </row>
    <row r="2041" customFormat="false" ht="15" hidden="false" customHeight="false" outlineLevel="0" collapsed="false">
      <c r="A2041" s="37" t="n">
        <v>501039</v>
      </c>
      <c r="B2041" s="37" t="s">
        <v>1625</v>
      </c>
      <c r="C2041" s="37" t="n">
        <v>202607</v>
      </c>
      <c r="D2041" s="37" t="s">
        <v>60</v>
      </c>
      <c r="E2041" s="37" t="s">
        <v>106</v>
      </c>
      <c r="F2041" s="37" t="s">
        <v>194</v>
      </c>
      <c r="G2041" s="37" t="s">
        <v>354</v>
      </c>
      <c r="H2041" s="37"/>
      <c r="I2041" s="37" t="s">
        <v>355</v>
      </c>
      <c r="J2041" s="37" t="s">
        <v>1626</v>
      </c>
      <c r="K2041" s="45" t="n">
        <v>246.5</v>
      </c>
      <c r="L2041" s="46" t="n">
        <v>17504.7</v>
      </c>
    </row>
    <row r="2042" customFormat="false" ht="15" hidden="false" customHeight="false" outlineLevel="0" collapsed="false">
      <c r="A2042" s="37" t="n">
        <v>501153</v>
      </c>
      <c r="B2042" s="37" t="s">
        <v>1625</v>
      </c>
      <c r="C2042" s="37" t="n">
        <v>202607</v>
      </c>
      <c r="D2042" s="37" t="s">
        <v>61</v>
      </c>
      <c r="E2042" s="37" t="s">
        <v>97</v>
      </c>
      <c r="F2042" s="37" t="s">
        <v>194</v>
      </c>
      <c r="G2042" s="37" t="s">
        <v>354</v>
      </c>
      <c r="H2042" s="37"/>
      <c r="I2042" s="37" t="s">
        <v>355</v>
      </c>
      <c r="J2042" s="37" t="s">
        <v>1626</v>
      </c>
      <c r="K2042" s="45" t="n">
        <v>136.4</v>
      </c>
      <c r="L2042" s="46" t="n">
        <v>12548.28</v>
      </c>
    </row>
    <row r="2043" customFormat="false" ht="15" hidden="false" customHeight="false" outlineLevel="0" collapsed="false">
      <c r="A2043" s="37" t="n">
        <v>501313</v>
      </c>
      <c r="B2043" s="37" t="s">
        <v>1625</v>
      </c>
      <c r="C2043" s="37" t="n">
        <v>202607</v>
      </c>
      <c r="D2043" s="37" t="s">
        <v>61</v>
      </c>
      <c r="E2043" s="37" t="s">
        <v>106</v>
      </c>
      <c r="F2043" s="37" t="s">
        <v>194</v>
      </c>
      <c r="G2043" s="37" t="s">
        <v>354</v>
      </c>
      <c r="H2043" s="37"/>
      <c r="I2043" s="37" t="s">
        <v>355</v>
      </c>
      <c r="J2043" s="37" t="s">
        <v>1626</v>
      </c>
      <c r="K2043" s="45" t="n">
        <v>21.2</v>
      </c>
      <c r="L2043" s="46" t="n">
        <v>1506.87</v>
      </c>
    </row>
    <row r="2044" customFormat="false" ht="15" hidden="false" customHeight="false" outlineLevel="0" collapsed="false">
      <c r="A2044" s="37" t="n">
        <v>501414</v>
      </c>
      <c r="B2044" s="37" t="s">
        <v>1625</v>
      </c>
      <c r="C2044" s="37" t="n">
        <v>202607</v>
      </c>
      <c r="D2044" s="37" t="s">
        <v>62</v>
      </c>
      <c r="E2044" s="37" t="s">
        <v>97</v>
      </c>
      <c r="F2044" s="37" t="s">
        <v>194</v>
      </c>
      <c r="G2044" s="37" t="s">
        <v>354</v>
      </c>
      <c r="H2044" s="37"/>
      <c r="I2044" s="37" t="s">
        <v>355</v>
      </c>
      <c r="J2044" s="37" t="s">
        <v>1626</v>
      </c>
      <c r="K2044" s="45" t="n">
        <v>164</v>
      </c>
      <c r="L2044" s="46" t="n">
        <v>15086.85</v>
      </c>
    </row>
    <row r="2045" customFormat="false" ht="15" hidden="false" customHeight="false" outlineLevel="0" collapsed="false">
      <c r="A2045" s="37" t="n">
        <v>501580</v>
      </c>
      <c r="B2045" s="37" t="s">
        <v>1625</v>
      </c>
      <c r="C2045" s="37" t="n">
        <v>202607</v>
      </c>
      <c r="D2045" s="37" t="s">
        <v>62</v>
      </c>
      <c r="E2045" s="37" t="s">
        <v>106</v>
      </c>
      <c r="F2045" s="37" t="s">
        <v>194</v>
      </c>
      <c r="G2045" s="37" t="s">
        <v>354</v>
      </c>
      <c r="H2045" s="37"/>
      <c r="I2045" s="37" t="s">
        <v>355</v>
      </c>
      <c r="J2045" s="37" t="s">
        <v>1626</v>
      </c>
      <c r="K2045" s="45" t="n">
        <v>354.7</v>
      </c>
      <c r="L2045" s="46" t="n">
        <v>25184.8</v>
      </c>
    </row>
    <row r="2046" customFormat="false" ht="15" hidden="false" customHeight="false" outlineLevel="0" collapsed="false">
      <c r="A2046" s="37" t="n">
        <v>501660</v>
      </c>
      <c r="B2046" s="37" t="s">
        <v>1625</v>
      </c>
      <c r="C2046" s="37" t="n">
        <v>202607</v>
      </c>
      <c r="D2046" s="37" t="s">
        <v>63</v>
      </c>
      <c r="E2046" s="37" t="s">
        <v>97</v>
      </c>
      <c r="F2046" s="37" t="s">
        <v>194</v>
      </c>
      <c r="G2046" s="37" t="s">
        <v>354</v>
      </c>
      <c r="H2046" s="37"/>
      <c r="I2046" s="37" t="s">
        <v>355</v>
      </c>
      <c r="J2046" s="37" t="s">
        <v>1626</v>
      </c>
      <c r="K2046" s="45" t="n">
        <v>165.9</v>
      </c>
      <c r="L2046" s="46" t="n">
        <v>15262.78</v>
      </c>
    </row>
    <row r="2047" customFormat="false" ht="15" hidden="false" customHeight="false" outlineLevel="0" collapsed="false">
      <c r="A2047" s="37" t="n">
        <v>501810</v>
      </c>
      <c r="B2047" s="37" t="s">
        <v>1625</v>
      </c>
      <c r="C2047" s="37" t="n">
        <v>202607</v>
      </c>
      <c r="D2047" s="37" t="s">
        <v>63</v>
      </c>
      <c r="E2047" s="37" t="s">
        <v>106</v>
      </c>
      <c r="F2047" s="37" t="s">
        <v>194</v>
      </c>
      <c r="G2047" s="37" t="s">
        <v>354</v>
      </c>
      <c r="H2047" s="37"/>
      <c r="I2047" s="37" t="s">
        <v>355</v>
      </c>
      <c r="J2047" s="37" t="s">
        <v>1626</v>
      </c>
      <c r="K2047" s="45" t="n">
        <v>212.1</v>
      </c>
      <c r="L2047" s="46" t="n">
        <v>15057.9</v>
      </c>
    </row>
    <row r="2048" customFormat="false" ht="15" hidden="false" customHeight="false" outlineLevel="0" collapsed="false">
      <c r="A2048" s="37" t="n">
        <v>501894</v>
      </c>
      <c r="B2048" s="37" t="s">
        <v>1625</v>
      </c>
      <c r="C2048" s="37" t="n">
        <v>202607</v>
      </c>
      <c r="D2048" s="37" t="s">
        <v>64</v>
      </c>
      <c r="E2048" s="37" t="s">
        <v>97</v>
      </c>
      <c r="F2048" s="37" t="s">
        <v>194</v>
      </c>
      <c r="G2048" s="37" t="s">
        <v>354</v>
      </c>
      <c r="H2048" s="37"/>
      <c r="I2048" s="37" t="s">
        <v>355</v>
      </c>
      <c r="J2048" s="37" t="s">
        <v>1626</v>
      </c>
      <c r="K2048" s="45" t="n">
        <v>233.2</v>
      </c>
      <c r="L2048" s="46" t="n">
        <v>21454.82</v>
      </c>
    </row>
    <row r="2049" customFormat="false" ht="15" hidden="false" customHeight="false" outlineLevel="0" collapsed="false">
      <c r="A2049" s="37" t="n">
        <v>502039</v>
      </c>
      <c r="B2049" s="37" t="s">
        <v>1625</v>
      </c>
      <c r="C2049" s="37" t="n">
        <v>202607</v>
      </c>
      <c r="D2049" s="37" t="s">
        <v>64</v>
      </c>
      <c r="E2049" s="37" t="s">
        <v>106</v>
      </c>
      <c r="F2049" s="37" t="s">
        <v>194</v>
      </c>
      <c r="G2049" s="37" t="s">
        <v>354</v>
      </c>
      <c r="H2049" s="37"/>
      <c r="I2049" s="37" t="s">
        <v>355</v>
      </c>
      <c r="J2049" s="37" t="s">
        <v>1626</v>
      </c>
      <c r="K2049" s="45" t="n">
        <v>149.6</v>
      </c>
      <c r="L2049" s="46" t="n">
        <v>10619.15</v>
      </c>
    </row>
    <row r="2050" customFormat="false" ht="15" hidden="false" customHeight="false" outlineLevel="0" collapsed="false">
      <c r="A2050" s="37" t="n">
        <v>502110</v>
      </c>
      <c r="B2050" s="37" t="s">
        <v>1625</v>
      </c>
      <c r="C2050" s="37" t="n">
        <v>202607</v>
      </c>
      <c r="D2050" s="37" t="s">
        <v>65</v>
      </c>
      <c r="E2050" s="37" t="s">
        <v>97</v>
      </c>
      <c r="F2050" s="37" t="s">
        <v>194</v>
      </c>
      <c r="G2050" s="37" t="s">
        <v>354</v>
      </c>
      <c r="H2050" s="37"/>
      <c r="I2050" s="37" t="s">
        <v>355</v>
      </c>
      <c r="J2050" s="37" t="s">
        <v>1626</v>
      </c>
      <c r="K2050" s="45" t="n">
        <v>346.9</v>
      </c>
      <c r="L2050" s="46" t="n">
        <v>31918.15</v>
      </c>
    </row>
    <row r="2051" customFormat="false" ht="15" hidden="false" customHeight="false" outlineLevel="0" collapsed="false">
      <c r="A2051" s="37" t="n">
        <v>502231</v>
      </c>
      <c r="B2051" s="37" t="s">
        <v>1625</v>
      </c>
      <c r="C2051" s="37" t="n">
        <v>202607</v>
      </c>
      <c r="D2051" s="37" t="s">
        <v>65</v>
      </c>
      <c r="E2051" s="37" t="s">
        <v>106</v>
      </c>
      <c r="F2051" s="37" t="s">
        <v>194</v>
      </c>
      <c r="G2051" s="37" t="s">
        <v>354</v>
      </c>
      <c r="H2051" s="37"/>
      <c r="I2051" s="37" t="s">
        <v>355</v>
      </c>
      <c r="J2051" s="37" t="s">
        <v>1626</v>
      </c>
      <c r="K2051" s="45" t="n">
        <v>164.2</v>
      </c>
      <c r="L2051" s="46" t="n">
        <v>11660.86</v>
      </c>
    </row>
    <row r="2052" customFormat="false" ht="15" hidden="false" customHeight="false" outlineLevel="0" collapsed="false">
      <c r="A2052" s="37" t="n">
        <v>502293</v>
      </c>
      <c r="B2052" s="37" t="s">
        <v>1625</v>
      </c>
      <c r="C2052" s="37" t="n">
        <v>202607</v>
      </c>
      <c r="D2052" s="37" t="s">
        <v>66</v>
      </c>
      <c r="E2052" s="37" t="s">
        <v>97</v>
      </c>
      <c r="F2052" s="37" t="s">
        <v>194</v>
      </c>
      <c r="G2052" s="37" t="s">
        <v>354</v>
      </c>
      <c r="H2052" s="37"/>
      <c r="I2052" s="37" t="s">
        <v>355</v>
      </c>
      <c r="J2052" s="37" t="s">
        <v>1626</v>
      </c>
      <c r="K2052" s="45" t="n">
        <v>128</v>
      </c>
      <c r="L2052" s="46" t="n">
        <v>11774.99</v>
      </c>
    </row>
    <row r="2053" customFormat="false" ht="15" hidden="false" customHeight="false" outlineLevel="0" collapsed="false">
      <c r="A2053" s="37" t="n">
        <v>502358</v>
      </c>
      <c r="B2053" s="37" t="s">
        <v>1625</v>
      </c>
      <c r="C2053" s="37" t="n">
        <v>202607</v>
      </c>
      <c r="D2053" s="37" t="s">
        <v>66</v>
      </c>
      <c r="E2053" s="37" t="s">
        <v>101</v>
      </c>
      <c r="F2053" s="37" t="s">
        <v>194</v>
      </c>
      <c r="G2053" s="37" t="s">
        <v>354</v>
      </c>
      <c r="H2053" s="37"/>
      <c r="I2053" s="37" t="s">
        <v>355</v>
      </c>
      <c r="J2053" s="37" t="s">
        <v>1626</v>
      </c>
      <c r="K2053" s="45" t="n">
        <v>341.2</v>
      </c>
      <c r="L2053" s="46" t="n">
        <v>25249.56</v>
      </c>
    </row>
    <row r="2054" customFormat="false" ht="15" hidden="false" customHeight="false" outlineLevel="0" collapsed="false">
      <c r="A2054" s="37" t="n">
        <v>502396</v>
      </c>
      <c r="B2054" s="37" t="s">
        <v>1625</v>
      </c>
      <c r="C2054" s="37" t="n">
        <v>202607</v>
      </c>
      <c r="D2054" s="37" t="s">
        <v>66</v>
      </c>
      <c r="E2054" s="37" t="s">
        <v>103</v>
      </c>
      <c r="F2054" s="37" t="s">
        <v>205</v>
      </c>
      <c r="G2054" s="37" t="s">
        <v>358</v>
      </c>
      <c r="H2054" s="37" t="s">
        <v>1296</v>
      </c>
      <c r="I2054" s="37" t="s">
        <v>1297</v>
      </c>
      <c r="J2054" s="37" t="s">
        <v>1627</v>
      </c>
      <c r="K2054" s="45" t="n">
        <v>0</v>
      </c>
      <c r="L2054" s="46" t="n">
        <v>36856.42</v>
      </c>
    </row>
    <row r="2055" customFormat="false" ht="15" hidden="false" customHeight="false" outlineLevel="0" collapsed="false">
      <c r="A2055" s="37" t="n">
        <v>502436</v>
      </c>
      <c r="B2055" s="37" t="s">
        <v>1625</v>
      </c>
      <c r="C2055" s="37" t="n">
        <v>202607</v>
      </c>
      <c r="D2055" s="37" t="s">
        <v>67</v>
      </c>
      <c r="E2055" s="37" t="s">
        <v>97</v>
      </c>
      <c r="F2055" s="37" t="s">
        <v>194</v>
      </c>
      <c r="G2055" s="37" t="s">
        <v>354</v>
      </c>
      <c r="H2055" s="37"/>
      <c r="I2055" s="37" t="s">
        <v>355</v>
      </c>
      <c r="J2055" s="37" t="s">
        <v>1626</v>
      </c>
      <c r="K2055" s="45" t="n">
        <v>119.9</v>
      </c>
      <c r="L2055" s="46" t="n">
        <v>11031.88</v>
      </c>
    </row>
    <row r="2056" customFormat="false" ht="15" hidden="false" customHeight="false" outlineLevel="0" collapsed="false">
      <c r="A2056" s="37" t="n">
        <v>502490</v>
      </c>
      <c r="B2056" s="37" t="s">
        <v>1625</v>
      </c>
      <c r="C2056" s="37" t="n">
        <v>202607</v>
      </c>
      <c r="D2056" s="37" t="s">
        <v>67</v>
      </c>
      <c r="E2056" s="37" t="s">
        <v>101</v>
      </c>
      <c r="F2056" s="37" t="s">
        <v>194</v>
      </c>
      <c r="G2056" s="37" t="s">
        <v>354</v>
      </c>
      <c r="H2056" s="37"/>
      <c r="I2056" s="37" t="s">
        <v>355</v>
      </c>
      <c r="J2056" s="37" t="s">
        <v>1626</v>
      </c>
      <c r="K2056" s="45" t="n">
        <v>393.7</v>
      </c>
      <c r="L2056" s="46" t="n">
        <v>29133.1</v>
      </c>
    </row>
    <row r="2057" customFormat="false" ht="15" hidden="false" customHeight="false" outlineLevel="0" collapsed="false">
      <c r="A2057" s="37" t="n">
        <v>502552</v>
      </c>
      <c r="B2057" s="37" t="s">
        <v>1625</v>
      </c>
      <c r="C2057" s="37" t="n">
        <v>202607</v>
      </c>
      <c r="D2057" s="37" t="s">
        <v>68</v>
      </c>
      <c r="E2057" s="37" t="s">
        <v>97</v>
      </c>
      <c r="F2057" s="37" t="s">
        <v>194</v>
      </c>
      <c r="G2057" s="37" t="s">
        <v>354</v>
      </c>
      <c r="H2057" s="37"/>
      <c r="I2057" s="37" t="s">
        <v>355</v>
      </c>
      <c r="J2057" s="37" t="s">
        <v>1626</v>
      </c>
      <c r="K2057" s="45" t="n">
        <v>106.4</v>
      </c>
      <c r="L2057" s="46" t="n">
        <v>9785.18</v>
      </c>
    </row>
    <row r="2058" customFormat="false" ht="15" hidden="false" customHeight="false" outlineLevel="0" collapsed="false">
      <c r="A2058" s="37" t="n">
        <v>502589</v>
      </c>
      <c r="B2058" s="37" t="s">
        <v>1625</v>
      </c>
      <c r="C2058" s="37" t="n">
        <v>202607</v>
      </c>
      <c r="D2058" s="37" t="s">
        <v>68</v>
      </c>
      <c r="E2058" s="37" t="s">
        <v>101</v>
      </c>
      <c r="F2058" s="37" t="s">
        <v>194</v>
      </c>
      <c r="G2058" s="37" t="s">
        <v>354</v>
      </c>
      <c r="H2058" s="37"/>
      <c r="I2058" s="37" t="s">
        <v>355</v>
      </c>
      <c r="J2058" s="37" t="s">
        <v>1626</v>
      </c>
      <c r="K2058" s="45" t="n">
        <v>94</v>
      </c>
      <c r="L2058" s="46" t="n">
        <v>6955.35</v>
      </c>
    </row>
    <row r="2059" customFormat="false" ht="15" hidden="false" customHeight="false" outlineLevel="0" collapsed="false">
      <c r="A2059" s="37" t="n">
        <v>502631</v>
      </c>
      <c r="B2059" s="37" t="s">
        <v>1625</v>
      </c>
      <c r="C2059" s="37" t="n">
        <v>202607</v>
      </c>
      <c r="D2059" s="37" t="s">
        <v>69</v>
      </c>
      <c r="E2059" s="37" t="s">
        <v>97</v>
      </c>
      <c r="F2059" s="37" t="s">
        <v>194</v>
      </c>
      <c r="G2059" s="37" t="s">
        <v>354</v>
      </c>
      <c r="H2059" s="37"/>
      <c r="I2059" s="37" t="s">
        <v>355</v>
      </c>
      <c r="J2059" s="37" t="s">
        <v>1626</v>
      </c>
      <c r="K2059" s="45" t="n">
        <v>22</v>
      </c>
      <c r="L2059" s="46" t="n">
        <v>2026.35</v>
      </c>
    </row>
    <row r="2060" customFormat="false" ht="15" hidden="false" customHeight="false" outlineLevel="0" collapsed="false">
      <c r="A2060" s="37" t="n">
        <v>502395</v>
      </c>
      <c r="B2060" s="37" t="s">
        <v>1628</v>
      </c>
      <c r="C2060" s="37" t="n">
        <v>202607</v>
      </c>
      <c r="D2060" s="37" t="s">
        <v>66</v>
      </c>
      <c r="E2060" s="37" t="s">
        <v>103</v>
      </c>
      <c r="F2060" s="37" t="s">
        <v>205</v>
      </c>
      <c r="G2060" s="37" t="s">
        <v>358</v>
      </c>
      <c r="H2060" s="37" t="s">
        <v>1296</v>
      </c>
      <c r="I2060" s="37" t="s">
        <v>1297</v>
      </c>
      <c r="J2060" s="37" t="s">
        <v>1629</v>
      </c>
      <c r="K2060" s="45" t="n">
        <v>0</v>
      </c>
      <c r="L2060" s="46" t="n">
        <v>151272.59</v>
      </c>
    </row>
    <row r="2061" customFormat="false" ht="15" hidden="false" customHeight="false" outlineLevel="0" collapsed="false">
      <c r="A2061" s="37" t="n">
        <v>501188</v>
      </c>
      <c r="B2061" s="37" t="s">
        <v>186</v>
      </c>
      <c r="C2061" s="37" t="n">
        <v>202607</v>
      </c>
      <c r="D2061" s="37" t="s">
        <v>61</v>
      </c>
      <c r="E2061" s="37" t="s">
        <v>98</v>
      </c>
      <c r="F2061" s="37" t="s">
        <v>196</v>
      </c>
      <c r="G2061" s="37" t="s">
        <v>358</v>
      </c>
      <c r="H2061" s="37" t="s">
        <v>359</v>
      </c>
      <c r="I2061" s="37" t="s">
        <v>360</v>
      </c>
      <c r="J2061" s="37" t="s">
        <v>1630</v>
      </c>
      <c r="K2061" s="45" t="n">
        <v>0</v>
      </c>
      <c r="L2061" s="46" t="n">
        <v>5688.25</v>
      </c>
    </row>
    <row r="2062" customFormat="false" ht="15" hidden="false" customHeight="false" outlineLevel="0" collapsed="false">
      <c r="A2062" s="37" t="n">
        <v>501332</v>
      </c>
      <c r="B2062" s="37" t="s">
        <v>186</v>
      </c>
      <c r="C2062" s="37" t="n">
        <v>202607</v>
      </c>
      <c r="D2062" s="37" t="s">
        <v>61</v>
      </c>
      <c r="E2062" s="37" t="s">
        <v>108</v>
      </c>
      <c r="F2062" s="37" t="s">
        <v>205</v>
      </c>
      <c r="G2062" s="37" t="s">
        <v>358</v>
      </c>
      <c r="H2062" s="37" t="s">
        <v>1404</v>
      </c>
      <c r="I2062" s="37" t="s">
        <v>1405</v>
      </c>
      <c r="J2062" s="37" t="s">
        <v>1631</v>
      </c>
      <c r="K2062" s="45" t="n">
        <v>0</v>
      </c>
      <c r="L2062" s="46" t="n">
        <v>19133.68</v>
      </c>
    </row>
    <row r="2063" customFormat="false" ht="15" hidden="false" customHeight="false" outlineLevel="0" collapsed="false">
      <c r="A2063" s="37" t="n">
        <v>502645</v>
      </c>
      <c r="B2063" s="37" t="s">
        <v>186</v>
      </c>
      <c r="C2063" s="37" t="n">
        <v>202607</v>
      </c>
      <c r="D2063" s="37" t="s">
        <v>69</v>
      </c>
      <c r="E2063" s="37" t="s">
        <v>98</v>
      </c>
      <c r="F2063" s="37" t="s">
        <v>196</v>
      </c>
      <c r="G2063" s="37" t="s">
        <v>358</v>
      </c>
      <c r="H2063" s="37" t="s">
        <v>359</v>
      </c>
      <c r="I2063" s="37" t="s">
        <v>360</v>
      </c>
      <c r="J2063" s="37" t="s">
        <v>1632</v>
      </c>
      <c r="K2063" s="45" t="n">
        <v>0</v>
      </c>
      <c r="L2063" s="46" t="n">
        <v>2208.21</v>
      </c>
    </row>
    <row r="2064" customFormat="false" ht="15" hidden="false" customHeight="false" outlineLevel="0" collapsed="false">
      <c r="A2064" s="37" t="n">
        <v>502320</v>
      </c>
      <c r="B2064" s="37" t="s">
        <v>1633</v>
      </c>
      <c r="C2064" s="37" t="n">
        <v>202607</v>
      </c>
      <c r="D2064" s="37" t="s">
        <v>66</v>
      </c>
      <c r="E2064" s="37" t="s">
        <v>98</v>
      </c>
      <c r="F2064" s="37" t="s">
        <v>196</v>
      </c>
      <c r="G2064" s="37" t="s">
        <v>358</v>
      </c>
      <c r="H2064" s="37" t="s">
        <v>359</v>
      </c>
      <c r="I2064" s="37" t="s">
        <v>360</v>
      </c>
      <c r="J2064" s="37" t="s">
        <v>1634</v>
      </c>
      <c r="K2064" s="45" t="n">
        <v>0</v>
      </c>
      <c r="L2064" s="46" t="n">
        <v>10387.02</v>
      </c>
    </row>
    <row r="2065" customFormat="false" ht="15" hidden="false" customHeight="false" outlineLevel="0" collapsed="false">
      <c r="A2065" s="37" t="n">
        <v>500564</v>
      </c>
      <c r="B2065" s="37" t="s">
        <v>1635</v>
      </c>
      <c r="C2065" s="37" t="n">
        <v>202607</v>
      </c>
      <c r="D2065" s="37" t="s">
        <v>59</v>
      </c>
      <c r="E2065" s="37" t="s">
        <v>98</v>
      </c>
      <c r="F2065" s="37" t="s">
        <v>196</v>
      </c>
      <c r="G2065" s="37" t="s">
        <v>358</v>
      </c>
      <c r="H2065" s="37" t="s">
        <v>359</v>
      </c>
      <c r="I2065" s="37" t="s">
        <v>360</v>
      </c>
      <c r="J2065" s="37" t="s">
        <v>1636</v>
      </c>
      <c r="K2065" s="45" t="n">
        <v>0</v>
      </c>
      <c r="L2065" s="46" t="n">
        <v>34262.08</v>
      </c>
    </row>
    <row r="2066" customFormat="false" ht="15" hidden="false" customHeight="false" outlineLevel="0" collapsed="false">
      <c r="A2066" s="37" t="n">
        <v>501187</v>
      </c>
      <c r="B2066" s="37" t="s">
        <v>1637</v>
      </c>
      <c r="C2066" s="37" t="n">
        <v>202607</v>
      </c>
      <c r="D2066" s="37" t="s">
        <v>61</v>
      </c>
      <c r="E2066" s="37" t="s">
        <v>98</v>
      </c>
      <c r="F2066" s="37" t="s">
        <v>196</v>
      </c>
      <c r="G2066" s="37" t="s">
        <v>358</v>
      </c>
      <c r="H2066" s="37" t="s">
        <v>359</v>
      </c>
      <c r="I2066" s="37" t="s">
        <v>360</v>
      </c>
      <c r="J2066" s="37" t="s">
        <v>1638</v>
      </c>
      <c r="K2066" s="45" t="n">
        <v>0</v>
      </c>
      <c r="L2066" s="46" t="n">
        <v>3828.24</v>
      </c>
    </row>
    <row r="2067" customFormat="false" ht="15" hidden="false" customHeight="false" outlineLevel="0" collapsed="false">
      <c r="A2067" s="37" t="n">
        <v>501330</v>
      </c>
      <c r="B2067" s="37" t="s">
        <v>1637</v>
      </c>
      <c r="C2067" s="37" t="n">
        <v>202607</v>
      </c>
      <c r="D2067" s="37" t="s">
        <v>61</v>
      </c>
      <c r="E2067" s="37" t="s">
        <v>108</v>
      </c>
      <c r="F2067" s="37" t="s">
        <v>205</v>
      </c>
      <c r="G2067" s="37" t="s">
        <v>358</v>
      </c>
      <c r="H2067" s="37" t="s">
        <v>1404</v>
      </c>
      <c r="I2067" s="37" t="s">
        <v>1405</v>
      </c>
      <c r="J2067" s="37" t="s">
        <v>1639</v>
      </c>
      <c r="K2067" s="45" t="n">
        <v>0</v>
      </c>
      <c r="L2067" s="46" t="n">
        <v>12778.6</v>
      </c>
    </row>
    <row r="2068" customFormat="false" ht="15" hidden="false" customHeight="false" outlineLevel="0" collapsed="false">
      <c r="A2068" s="37" t="n">
        <v>501827</v>
      </c>
      <c r="B2068" s="37" t="s">
        <v>1637</v>
      </c>
      <c r="C2068" s="37" t="n">
        <v>202607</v>
      </c>
      <c r="D2068" s="37" t="s">
        <v>63</v>
      </c>
      <c r="E2068" s="37" t="s">
        <v>108</v>
      </c>
      <c r="F2068" s="37" t="s">
        <v>205</v>
      </c>
      <c r="G2068" s="37" t="s">
        <v>358</v>
      </c>
      <c r="H2068" s="37" t="s">
        <v>1542</v>
      </c>
      <c r="I2068" s="37" t="s">
        <v>1489</v>
      </c>
      <c r="J2068" s="37" t="s">
        <v>1640</v>
      </c>
      <c r="K2068" s="45" t="n">
        <v>0</v>
      </c>
      <c r="L2068" s="46" t="n">
        <v>40094.79</v>
      </c>
    </row>
    <row r="2069" customFormat="false" ht="15" hidden="false" customHeight="false" outlineLevel="0" collapsed="false">
      <c r="A2069" s="37" t="n">
        <v>502571</v>
      </c>
      <c r="B2069" s="37" t="s">
        <v>1637</v>
      </c>
      <c r="C2069" s="37" t="n">
        <v>202607</v>
      </c>
      <c r="D2069" s="37" t="s">
        <v>68</v>
      </c>
      <c r="E2069" s="37" t="s">
        <v>98</v>
      </c>
      <c r="F2069" s="37" t="s">
        <v>196</v>
      </c>
      <c r="G2069" s="37" t="s">
        <v>358</v>
      </c>
      <c r="H2069" s="37" t="s">
        <v>359</v>
      </c>
      <c r="I2069" s="37" t="s">
        <v>360</v>
      </c>
      <c r="J2069" s="37" t="s">
        <v>1641</v>
      </c>
      <c r="K2069" s="45" t="n">
        <v>0</v>
      </c>
      <c r="L2069" s="46" t="n">
        <v>8688.4</v>
      </c>
    </row>
    <row r="2070" customFormat="false" ht="15" hidden="false" customHeight="false" outlineLevel="0" collapsed="false">
      <c r="A2070" s="37" t="n">
        <v>500110</v>
      </c>
      <c r="B2070" s="37" t="s">
        <v>1642</v>
      </c>
      <c r="C2070" s="37" t="n">
        <v>202607</v>
      </c>
      <c r="D2070" s="37" t="s">
        <v>58</v>
      </c>
      <c r="E2070" s="37" t="s">
        <v>97</v>
      </c>
      <c r="F2070" s="37" t="s">
        <v>194</v>
      </c>
      <c r="G2070" s="37" t="s">
        <v>354</v>
      </c>
      <c r="H2070" s="37"/>
      <c r="I2070" s="37" t="s">
        <v>355</v>
      </c>
      <c r="J2070" s="37" t="s">
        <v>1643</v>
      </c>
      <c r="K2070" s="45" t="n">
        <v>19.6</v>
      </c>
      <c r="L2070" s="46" t="n">
        <v>1803.86</v>
      </c>
    </row>
    <row r="2071" customFormat="false" ht="15" hidden="false" customHeight="false" outlineLevel="0" collapsed="false">
      <c r="A2071" s="37" t="n">
        <v>500518</v>
      </c>
      <c r="B2071" s="37" t="s">
        <v>1642</v>
      </c>
      <c r="C2071" s="37" t="n">
        <v>202607</v>
      </c>
      <c r="D2071" s="37" t="s">
        <v>59</v>
      </c>
      <c r="E2071" s="37" t="s">
        <v>97</v>
      </c>
      <c r="F2071" s="37" t="s">
        <v>194</v>
      </c>
      <c r="G2071" s="37" t="s">
        <v>354</v>
      </c>
      <c r="H2071" s="37"/>
      <c r="I2071" s="37" t="s">
        <v>355</v>
      </c>
      <c r="J2071" s="37" t="s">
        <v>1643</v>
      </c>
      <c r="K2071" s="45" t="n">
        <v>169.3</v>
      </c>
      <c r="L2071" s="46" t="n">
        <v>15578.04</v>
      </c>
    </row>
    <row r="2072" customFormat="false" ht="15" hidden="false" customHeight="false" outlineLevel="0" collapsed="false">
      <c r="A2072" s="37" t="n">
        <v>500720</v>
      </c>
      <c r="B2072" s="37" t="s">
        <v>1642</v>
      </c>
      <c r="C2072" s="37" t="n">
        <v>202607</v>
      </c>
      <c r="D2072" s="37" t="s">
        <v>59</v>
      </c>
      <c r="E2072" s="37" t="s">
        <v>106</v>
      </c>
      <c r="F2072" s="37" t="s">
        <v>194</v>
      </c>
      <c r="G2072" s="37" t="s">
        <v>354</v>
      </c>
      <c r="H2072" s="37"/>
      <c r="I2072" s="37" t="s">
        <v>355</v>
      </c>
      <c r="J2072" s="37" t="s">
        <v>1643</v>
      </c>
      <c r="K2072" s="45" t="n">
        <v>92.2</v>
      </c>
      <c r="L2072" s="46" t="n">
        <v>6548.96</v>
      </c>
    </row>
    <row r="2073" customFormat="false" ht="15" hidden="false" customHeight="false" outlineLevel="0" collapsed="false">
      <c r="A2073" s="37" t="n">
        <v>500847</v>
      </c>
      <c r="B2073" s="37" t="s">
        <v>1642</v>
      </c>
      <c r="C2073" s="37" t="n">
        <v>202607</v>
      </c>
      <c r="D2073" s="37" t="s">
        <v>60</v>
      </c>
      <c r="E2073" s="37" t="s">
        <v>97</v>
      </c>
      <c r="F2073" s="37" t="s">
        <v>194</v>
      </c>
      <c r="G2073" s="37" t="s">
        <v>354</v>
      </c>
      <c r="H2073" s="37"/>
      <c r="I2073" s="37" t="s">
        <v>355</v>
      </c>
      <c r="J2073" s="37" t="s">
        <v>1643</v>
      </c>
      <c r="K2073" s="45" t="n">
        <v>150.6</v>
      </c>
      <c r="L2073" s="46" t="n">
        <v>13854.95</v>
      </c>
    </row>
    <row r="2074" customFormat="false" ht="15" hidden="false" customHeight="false" outlineLevel="0" collapsed="false">
      <c r="A2074" s="37" t="n">
        <v>501040</v>
      </c>
      <c r="B2074" s="37" t="s">
        <v>1642</v>
      </c>
      <c r="C2074" s="37" t="n">
        <v>202607</v>
      </c>
      <c r="D2074" s="37" t="s">
        <v>60</v>
      </c>
      <c r="E2074" s="37" t="s">
        <v>106</v>
      </c>
      <c r="F2074" s="37" t="s">
        <v>194</v>
      </c>
      <c r="G2074" s="37" t="s">
        <v>354</v>
      </c>
      <c r="H2074" s="37"/>
      <c r="I2074" s="37" t="s">
        <v>355</v>
      </c>
      <c r="J2074" s="37" t="s">
        <v>1643</v>
      </c>
      <c r="K2074" s="45" t="n">
        <v>119.8</v>
      </c>
      <c r="L2074" s="46" t="n">
        <v>8506.7</v>
      </c>
    </row>
    <row r="2075" customFormat="false" ht="15" hidden="false" customHeight="false" outlineLevel="0" collapsed="false">
      <c r="A2075" s="37" t="n">
        <v>501064</v>
      </c>
      <c r="B2075" s="37" t="s">
        <v>1642</v>
      </c>
      <c r="C2075" s="37" t="n">
        <v>202607</v>
      </c>
      <c r="D2075" s="37" t="s">
        <v>60</v>
      </c>
      <c r="E2075" s="37" t="s">
        <v>108</v>
      </c>
      <c r="F2075" s="37" t="s">
        <v>205</v>
      </c>
      <c r="G2075" s="37" t="s">
        <v>358</v>
      </c>
      <c r="H2075" s="37" t="s">
        <v>1488</v>
      </c>
      <c r="I2075" s="37" t="s">
        <v>1489</v>
      </c>
      <c r="J2075" s="37" t="s">
        <v>1644</v>
      </c>
      <c r="K2075" s="45" t="n">
        <v>0</v>
      </c>
      <c r="L2075" s="46" t="n">
        <v>42071.93</v>
      </c>
    </row>
    <row r="2076" customFormat="false" ht="15" hidden="false" customHeight="false" outlineLevel="0" collapsed="false">
      <c r="A2076" s="37" t="n">
        <v>501154</v>
      </c>
      <c r="B2076" s="37" t="s">
        <v>1642</v>
      </c>
      <c r="C2076" s="37" t="n">
        <v>202607</v>
      </c>
      <c r="D2076" s="37" t="s">
        <v>61</v>
      </c>
      <c r="E2076" s="37" t="s">
        <v>97</v>
      </c>
      <c r="F2076" s="37" t="s">
        <v>194</v>
      </c>
      <c r="G2076" s="37" t="s">
        <v>354</v>
      </c>
      <c r="H2076" s="37"/>
      <c r="I2076" s="37" t="s">
        <v>355</v>
      </c>
      <c r="J2076" s="37" t="s">
        <v>1643</v>
      </c>
      <c r="K2076" s="45" t="n">
        <v>93.9</v>
      </c>
      <c r="L2076" s="46" t="n">
        <v>8639.46</v>
      </c>
    </row>
    <row r="2077" customFormat="false" ht="15" hidden="false" customHeight="false" outlineLevel="0" collapsed="false">
      <c r="A2077" s="37" t="n">
        <v>501314</v>
      </c>
      <c r="B2077" s="37" t="s">
        <v>1642</v>
      </c>
      <c r="C2077" s="37" t="n">
        <v>202607</v>
      </c>
      <c r="D2077" s="37" t="s">
        <v>61</v>
      </c>
      <c r="E2077" s="37" t="s">
        <v>106</v>
      </c>
      <c r="F2077" s="37" t="s">
        <v>194</v>
      </c>
      <c r="G2077" s="37" t="s">
        <v>354</v>
      </c>
      <c r="H2077" s="37"/>
      <c r="I2077" s="37" t="s">
        <v>355</v>
      </c>
      <c r="J2077" s="37" t="s">
        <v>1643</v>
      </c>
      <c r="K2077" s="45" t="n">
        <v>6</v>
      </c>
      <c r="L2077" s="46" t="n">
        <v>423.04</v>
      </c>
    </row>
    <row r="2078" customFormat="false" ht="15" hidden="false" customHeight="false" outlineLevel="0" collapsed="false">
      <c r="A2078" s="37" t="n">
        <v>501415</v>
      </c>
      <c r="B2078" s="37" t="s">
        <v>1642</v>
      </c>
      <c r="C2078" s="37" t="n">
        <v>202607</v>
      </c>
      <c r="D2078" s="37" t="s">
        <v>62</v>
      </c>
      <c r="E2078" s="37" t="s">
        <v>97</v>
      </c>
      <c r="F2078" s="37" t="s">
        <v>194</v>
      </c>
      <c r="G2078" s="37" t="s">
        <v>354</v>
      </c>
      <c r="H2078" s="37"/>
      <c r="I2078" s="37" t="s">
        <v>355</v>
      </c>
      <c r="J2078" s="37" t="s">
        <v>1643</v>
      </c>
      <c r="K2078" s="45" t="n">
        <v>492</v>
      </c>
      <c r="L2078" s="46" t="n">
        <v>45263.63</v>
      </c>
    </row>
    <row r="2079" customFormat="false" ht="15" hidden="false" customHeight="false" outlineLevel="0" collapsed="false">
      <c r="A2079" s="37" t="n">
        <v>501581</v>
      </c>
      <c r="B2079" s="37" t="s">
        <v>1642</v>
      </c>
      <c r="C2079" s="37" t="n">
        <v>202607</v>
      </c>
      <c r="D2079" s="37" t="s">
        <v>62</v>
      </c>
      <c r="E2079" s="37" t="s">
        <v>106</v>
      </c>
      <c r="F2079" s="37" t="s">
        <v>194</v>
      </c>
      <c r="G2079" s="37" t="s">
        <v>354</v>
      </c>
      <c r="H2079" s="37"/>
      <c r="I2079" s="37" t="s">
        <v>355</v>
      </c>
      <c r="J2079" s="37" t="s">
        <v>1643</v>
      </c>
      <c r="K2079" s="45" t="n">
        <v>315.1</v>
      </c>
      <c r="L2079" s="46" t="n">
        <v>22375.27</v>
      </c>
    </row>
    <row r="2080" customFormat="false" ht="15" hidden="false" customHeight="false" outlineLevel="0" collapsed="false">
      <c r="A2080" s="37" t="n">
        <v>501661</v>
      </c>
      <c r="B2080" s="37" t="s">
        <v>1642</v>
      </c>
      <c r="C2080" s="37" t="n">
        <v>202607</v>
      </c>
      <c r="D2080" s="37" t="s">
        <v>63</v>
      </c>
      <c r="E2080" s="37" t="s">
        <v>97</v>
      </c>
      <c r="F2080" s="37" t="s">
        <v>194</v>
      </c>
      <c r="G2080" s="37" t="s">
        <v>354</v>
      </c>
      <c r="H2080" s="37"/>
      <c r="I2080" s="37" t="s">
        <v>355</v>
      </c>
      <c r="J2080" s="37" t="s">
        <v>1643</v>
      </c>
      <c r="K2080" s="45" t="n">
        <v>202.7</v>
      </c>
      <c r="L2080" s="46" t="n">
        <v>18647.18</v>
      </c>
    </row>
    <row r="2081" customFormat="false" ht="15" hidden="false" customHeight="false" outlineLevel="0" collapsed="false">
      <c r="A2081" s="37" t="n">
        <v>501811</v>
      </c>
      <c r="B2081" s="37" t="s">
        <v>1642</v>
      </c>
      <c r="C2081" s="37" t="n">
        <v>202607</v>
      </c>
      <c r="D2081" s="37" t="s">
        <v>63</v>
      </c>
      <c r="E2081" s="37" t="s">
        <v>106</v>
      </c>
      <c r="F2081" s="37" t="s">
        <v>194</v>
      </c>
      <c r="G2081" s="37" t="s">
        <v>354</v>
      </c>
      <c r="H2081" s="37"/>
      <c r="I2081" s="37" t="s">
        <v>355</v>
      </c>
      <c r="J2081" s="37" t="s">
        <v>1643</v>
      </c>
      <c r="K2081" s="45" t="n">
        <v>166.3</v>
      </c>
      <c r="L2081" s="46" t="n">
        <v>11803.92</v>
      </c>
    </row>
    <row r="2082" customFormat="false" ht="15" hidden="false" customHeight="false" outlineLevel="0" collapsed="false">
      <c r="A2082" s="37" t="n">
        <v>501826</v>
      </c>
      <c r="B2082" s="37" t="s">
        <v>1642</v>
      </c>
      <c r="C2082" s="37" t="n">
        <v>202607</v>
      </c>
      <c r="D2082" s="37" t="s">
        <v>63</v>
      </c>
      <c r="E2082" s="37" t="s">
        <v>108</v>
      </c>
      <c r="F2082" s="37" t="s">
        <v>205</v>
      </c>
      <c r="G2082" s="37" t="s">
        <v>358</v>
      </c>
      <c r="H2082" s="37" t="s">
        <v>1542</v>
      </c>
      <c r="I2082" s="37" t="s">
        <v>1489</v>
      </c>
      <c r="J2082" s="37" t="s">
        <v>1645</v>
      </c>
      <c r="K2082" s="45" t="n">
        <v>0</v>
      </c>
      <c r="L2082" s="46" t="n">
        <v>15312.37</v>
      </c>
    </row>
    <row r="2083" customFormat="false" ht="15" hidden="false" customHeight="false" outlineLevel="0" collapsed="false">
      <c r="A2083" s="37" t="n">
        <v>501895</v>
      </c>
      <c r="B2083" s="37" t="s">
        <v>1642</v>
      </c>
      <c r="C2083" s="37" t="n">
        <v>202607</v>
      </c>
      <c r="D2083" s="37" t="s">
        <v>64</v>
      </c>
      <c r="E2083" s="37" t="s">
        <v>97</v>
      </c>
      <c r="F2083" s="37" t="s">
        <v>194</v>
      </c>
      <c r="G2083" s="37" t="s">
        <v>354</v>
      </c>
      <c r="H2083" s="37"/>
      <c r="I2083" s="37" t="s">
        <v>355</v>
      </c>
      <c r="J2083" s="37" t="s">
        <v>1643</v>
      </c>
      <c r="K2083" s="45" t="n">
        <v>283.8</v>
      </c>
      <c r="L2083" s="46" t="n">
        <v>26112.86</v>
      </c>
    </row>
    <row r="2084" customFormat="false" ht="15" hidden="false" customHeight="false" outlineLevel="0" collapsed="false">
      <c r="A2084" s="37" t="n">
        <v>502040</v>
      </c>
      <c r="B2084" s="37" t="s">
        <v>1642</v>
      </c>
      <c r="C2084" s="37" t="n">
        <v>202607</v>
      </c>
      <c r="D2084" s="37" t="s">
        <v>64</v>
      </c>
      <c r="E2084" s="37" t="s">
        <v>106</v>
      </c>
      <c r="F2084" s="37" t="s">
        <v>194</v>
      </c>
      <c r="G2084" s="37" t="s">
        <v>354</v>
      </c>
      <c r="H2084" s="37"/>
      <c r="I2084" s="37" t="s">
        <v>355</v>
      </c>
      <c r="J2084" s="37" t="s">
        <v>1643</v>
      </c>
      <c r="K2084" s="45" t="n">
        <v>137</v>
      </c>
      <c r="L2084" s="46" t="n">
        <v>9725.59</v>
      </c>
    </row>
    <row r="2085" customFormat="false" ht="15" hidden="false" customHeight="false" outlineLevel="0" collapsed="false">
      <c r="A2085" s="37" t="n">
        <v>502111</v>
      </c>
      <c r="B2085" s="37" t="s">
        <v>1642</v>
      </c>
      <c r="C2085" s="37" t="n">
        <v>202607</v>
      </c>
      <c r="D2085" s="37" t="s">
        <v>65</v>
      </c>
      <c r="E2085" s="37" t="s">
        <v>97</v>
      </c>
      <c r="F2085" s="37" t="s">
        <v>194</v>
      </c>
      <c r="G2085" s="37" t="s">
        <v>354</v>
      </c>
      <c r="H2085" s="37"/>
      <c r="I2085" s="37" t="s">
        <v>355</v>
      </c>
      <c r="J2085" s="37" t="s">
        <v>1643</v>
      </c>
      <c r="K2085" s="45" t="n">
        <v>202.8</v>
      </c>
      <c r="L2085" s="46" t="n">
        <v>18660.87</v>
      </c>
    </row>
    <row r="2086" customFormat="false" ht="15" hidden="false" customHeight="false" outlineLevel="0" collapsed="false">
      <c r="A2086" s="37" t="n">
        <v>502232</v>
      </c>
      <c r="B2086" s="37" t="s">
        <v>1642</v>
      </c>
      <c r="C2086" s="37" t="n">
        <v>202607</v>
      </c>
      <c r="D2086" s="37" t="s">
        <v>65</v>
      </c>
      <c r="E2086" s="37" t="s">
        <v>106</v>
      </c>
      <c r="F2086" s="37" t="s">
        <v>194</v>
      </c>
      <c r="G2086" s="37" t="s">
        <v>354</v>
      </c>
      <c r="H2086" s="37"/>
      <c r="I2086" s="37" t="s">
        <v>355</v>
      </c>
      <c r="J2086" s="37" t="s">
        <v>1643</v>
      </c>
      <c r="K2086" s="45" t="n">
        <v>288.5</v>
      </c>
      <c r="L2086" s="46" t="n">
        <v>20481.21</v>
      </c>
    </row>
    <row r="2087" customFormat="false" ht="15" hidden="false" customHeight="false" outlineLevel="0" collapsed="false">
      <c r="A2087" s="37" t="n">
        <v>502294</v>
      </c>
      <c r="B2087" s="37" t="s">
        <v>1642</v>
      </c>
      <c r="C2087" s="37" t="n">
        <v>202607</v>
      </c>
      <c r="D2087" s="37" t="s">
        <v>66</v>
      </c>
      <c r="E2087" s="37" t="s">
        <v>97</v>
      </c>
      <c r="F2087" s="37" t="s">
        <v>194</v>
      </c>
      <c r="G2087" s="37" t="s">
        <v>354</v>
      </c>
      <c r="H2087" s="37"/>
      <c r="I2087" s="37" t="s">
        <v>355</v>
      </c>
      <c r="J2087" s="37" t="s">
        <v>1643</v>
      </c>
      <c r="K2087" s="45" t="n">
        <v>252.9</v>
      </c>
      <c r="L2087" s="46" t="n">
        <v>23262.3</v>
      </c>
    </row>
    <row r="2088" customFormat="false" ht="15" hidden="false" customHeight="false" outlineLevel="0" collapsed="false">
      <c r="A2088" s="37" t="n">
        <v>502359</v>
      </c>
      <c r="B2088" s="37" t="s">
        <v>1642</v>
      </c>
      <c r="C2088" s="37" t="n">
        <v>202607</v>
      </c>
      <c r="D2088" s="37" t="s">
        <v>66</v>
      </c>
      <c r="E2088" s="37" t="s">
        <v>101</v>
      </c>
      <c r="F2088" s="37" t="s">
        <v>194</v>
      </c>
      <c r="G2088" s="37" t="s">
        <v>354</v>
      </c>
      <c r="H2088" s="37"/>
      <c r="I2088" s="37" t="s">
        <v>355</v>
      </c>
      <c r="J2088" s="37" t="s">
        <v>1643</v>
      </c>
      <c r="K2088" s="45" t="n">
        <v>417.4</v>
      </c>
      <c r="L2088" s="46" t="n">
        <v>30889.56</v>
      </c>
    </row>
    <row r="2089" customFormat="false" ht="15" hidden="false" customHeight="false" outlineLevel="0" collapsed="false">
      <c r="A2089" s="37" t="n">
        <v>502437</v>
      </c>
      <c r="B2089" s="37" t="s">
        <v>1642</v>
      </c>
      <c r="C2089" s="37" t="n">
        <v>202607</v>
      </c>
      <c r="D2089" s="37" t="s">
        <v>67</v>
      </c>
      <c r="E2089" s="37" t="s">
        <v>97</v>
      </c>
      <c r="F2089" s="37" t="s">
        <v>194</v>
      </c>
      <c r="G2089" s="37" t="s">
        <v>354</v>
      </c>
      <c r="H2089" s="37"/>
      <c r="I2089" s="37" t="s">
        <v>355</v>
      </c>
      <c r="J2089" s="37" t="s">
        <v>1643</v>
      </c>
      <c r="K2089" s="45" t="n">
        <v>172.1</v>
      </c>
      <c r="L2089" s="46" t="n">
        <v>15832.08</v>
      </c>
    </row>
    <row r="2090" customFormat="false" ht="15" hidden="false" customHeight="false" outlineLevel="0" collapsed="false">
      <c r="A2090" s="37" t="n">
        <v>502491</v>
      </c>
      <c r="B2090" s="37" t="s">
        <v>1642</v>
      </c>
      <c r="C2090" s="37" t="n">
        <v>202607</v>
      </c>
      <c r="D2090" s="37" t="s">
        <v>67</v>
      </c>
      <c r="E2090" s="37" t="s">
        <v>101</v>
      </c>
      <c r="F2090" s="37" t="s">
        <v>194</v>
      </c>
      <c r="G2090" s="37" t="s">
        <v>354</v>
      </c>
      <c r="H2090" s="37"/>
      <c r="I2090" s="37" t="s">
        <v>355</v>
      </c>
      <c r="J2090" s="37" t="s">
        <v>1643</v>
      </c>
      <c r="K2090" s="45" t="n">
        <v>979.9</v>
      </c>
      <c r="L2090" s="46" t="n">
        <v>72511.53</v>
      </c>
    </row>
    <row r="2091" customFormat="false" ht="15" hidden="false" customHeight="false" outlineLevel="0" collapsed="false">
      <c r="A2091" s="37" t="n">
        <v>502553</v>
      </c>
      <c r="B2091" s="37" t="s">
        <v>1642</v>
      </c>
      <c r="C2091" s="37" t="n">
        <v>202607</v>
      </c>
      <c r="D2091" s="37" t="s">
        <v>68</v>
      </c>
      <c r="E2091" s="37" t="s">
        <v>97</v>
      </c>
      <c r="F2091" s="37" t="s">
        <v>194</v>
      </c>
      <c r="G2091" s="37" t="s">
        <v>354</v>
      </c>
      <c r="H2091" s="37"/>
      <c r="I2091" s="37" t="s">
        <v>355</v>
      </c>
      <c r="J2091" s="37" t="s">
        <v>1643</v>
      </c>
      <c r="K2091" s="45" t="n">
        <v>56.8</v>
      </c>
      <c r="L2091" s="46" t="n">
        <v>5225.38</v>
      </c>
    </row>
    <row r="2092" customFormat="false" ht="15" hidden="false" customHeight="false" outlineLevel="0" collapsed="false">
      <c r="A2092" s="37" t="n">
        <v>502590</v>
      </c>
      <c r="B2092" s="37" t="s">
        <v>1642</v>
      </c>
      <c r="C2092" s="37" t="n">
        <v>202607</v>
      </c>
      <c r="D2092" s="37" t="s">
        <v>68</v>
      </c>
      <c r="E2092" s="37" t="s">
        <v>101</v>
      </c>
      <c r="F2092" s="37" t="s">
        <v>194</v>
      </c>
      <c r="G2092" s="37" t="s">
        <v>354</v>
      </c>
      <c r="H2092" s="37"/>
      <c r="I2092" s="37" t="s">
        <v>355</v>
      </c>
      <c r="J2092" s="37" t="s">
        <v>1643</v>
      </c>
      <c r="K2092" s="45" t="n">
        <v>319.4</v>
      </c>
      <c r="L2092" s="46" t="n">
        <v>23639.13</v>
      </c>
    </row>
    <row r="2093" customFormat="false" ht="15" hidden="false" customHeight="false" outlineLevel="0" collapsed="false">
      <c r="A2093" s="37" t="n">
        <v>502632</v>
      </c>
      <c r="B2093" s="37" t="s">
        <v>1642</v>
      </c>
      <c r="C2093" s="37" t="n">
        <v>202607</v>
      </c>
      <c r="D2093" s="37" t="s">
        <v>69</v>
      </c>
      <c r="E2093" s="37" t="s">
        <v>97</v>
      </c>
      <c r="F2093" s="37" t="s">
        <v>194</v>
      </c>
      <c r="G2093" s="37" t="s">
        <v>354</v>
      </c>
      <c r="H2093" s="37"/>
      <c r="I2093" s="37" t="s">
        <v>355</v>
      </c>
      <c r="J2093" s="37" t="s">
        <v>1643</v>
      </c>
      <c r="K2093" s="45" t="n">
        <v>16.6</v>
      </c>
      <c r="L2093" s="46" t="n">
        <v>1525.47</v>
      </c>
    </row>
    <row r="2094" customFormat="false" ht="15" hidden="false" customHeight="false" outlineLevel="0" collapsed="false">
      <c r="A2094" s="37" t="n">
        <v>500888</v>
      </c>
      <c r="B2094" s="37" t="s">
        <v>1646</v>
      </c>
      <c r="C2094" s="37" t="n">
        <v>202607</v>
      </c>
      <c r="D2094" s="37" t="s">
        <v>60</v>
      </c>
      <c r="E2094" s="37" t="s">
        <v>98</v>
      </c>
      <c r="F2094" s="37" t="s">
        <v>196</v>
      </c>
      <c r="G2094" s="37" t="s">
        <v>358</v>
      </c>
      <c r="H2094" s="37" t="s">
        <v>359</v>
      </c>
      <c r="I2094" s="37" t="s">
        <v>360</v>
      </c>
      <c r="J2094" s="37" t="s">
        <v>1647</v>
      </c>
      <c r="K2094" s="45" t="n">
        <v>0</v>
      </c>
      <c r="L2094" s="46" t="n">
        <v>8577.97</v>
      </c>
    </row>
    <row r="2095" customFormat="false" ht="15" hidden="false" customHeight="false" outlineLevel="0" collapsed="false">
      <c r="A2095" s="37" t="n">
        <v>501927</v>
      </c>
      <c r="B2095" s="37" t="s">
        <v>1646</v>
      </c>
      <c r="C2095" s="37" t="n">
        <v>202607</v>
      </c>
      <c r="D2095" s="37" t="s">
        <v>64</v>
      </c>
      <c r="E2095" s="37" t="s">
        <v>98</v>
      </c>
      <c r="F2095" s="37" t="s">
        <v>196</v>
      </c>
      <c r="G2095" s="37" t="s">
        <v>358</v>
      </c>
      <c r="H2095" s="37" t="s">
        <v>359</v>
      </c>
      <c r="I2095" s="37" t="s">
        <v>360</v>
      </c>
      <c r="J2095" s="37" t="s">
        <v>1648</v>
      </c>
      <c r="K2095" s="45" t="n">
        <v>0</v>
      </c>
      <c r="L2095" s="46" t="n">
        <v>10884.81</v>
      </c>
    </row>
    <row r="2096" customFormat="false" ht="15" hidden="false" customHeight="false" outlineLevel="0" collapsed="false">
      <c r="A2096" s="37" t="n">
        <v>501928</v>
      </c>
      <c r="B2096" s="37" t="s">
        <v>1646</v>
      </c>
      <c r="C2096" s="37" t="n">
        <v>202607</v>
      </c>
      <c r="D2096" s="37" t="s">
        <v>64</v>
      </c>
      <c r="E2096" s="37" t="s">
        <v>98</v>
      </c>
      <c r="F2096" s="37" t="s">
        <v>196</v>
      </c>
      <c r="G2096" s="37" t="s">
        <v>358</v>
      </c>
      <c r="H2096" s="37" t="s">
        <v>359</v>
      </c>
      <c r="I2096" s="37" t="s">
        <v>360</v>
      </c>
      <c r="J2096" s="37" t="s">
        <v>1649</v>
      </c>
      <c r="K2096" s="45" t="n">
        <v>0</v>
      </c>
      <c r="L2096" s="46" t="n">
        <v>21343.81</v>
      </c>
    </row>
    <row r="2097" customFormat="false" ht="15" hidden="false" customHeight="false" outlineLevel="0" collapsed="false">
      <c r="A2097" s="37" t="n">
        <v>502319</v>
      </c>
      <c r="B2097" s="37" t="s">
        <v>1650</v>
      </c>
      <c r="C2097" s="37" t="n">
        <v>202607</v>
      </c>
      <c r="D2097" s="37" t="s">
        <v>66</v>
      </c>
      <c r="E2097" s="37" t="s">
        <v>98</v>
      </c>
      <c r="F2097" s="37" t="s">
        <v>196</v>
      </c>
      <c r="G2097" s="37" t="s">
        <v>358</v>
      </c>
      <c r="H2097" s="37" t="s">
        <v>359</v>
      </c>
      <c r="I2097" s="37" t="s">
        <v>360</v>
      </c>
      <c r="J2097" s="37" t="s">
        <v>1651</v>
      </c>
      <c r="K2097" s="45" t="n">
        <v>0</v>
      </c>
      <c r="L2097" s="46" t="n">
        <v>31410.09</v>
      </c>
    </row>
    <row r="2098" customFormat="false" ht="15" hidden="false" customHeight="false" outlineLevel="0" collapsed="false">
      <c r="A2098" s="37" t="n">
        <v>502525</v>
      </c>
      <c r="B2098" s="37" t="s">
        <v>1650</v>
      </c>
      <c r="C2098" s="37" t="n">
        <v>202607</v>
      </c>
      <c r="D2098" s="37" t="s">
        <v>67</v>
      </c>
      <c r="E2098" s="37" t="s">
        <v>103</v>
      </c>
      <c r="F2098" s="37" t="s">
        <v>205</v>
      </c>
      <c r="G2098" s="37" t="s">
        <v>358</v>
      </c>
      <c r="H2098" s="37" t="s">
        <v>1368</v>
      </c>
      <c r="I2098" s="37" t="s">
        <v>1369</v>
      </c>
      <c r="J2098" s="37" t="s">
        <v>1652</v>
      </c>
      <c r="K2098" s="45" t="n">
        <v>0</v>
      </c>
      <c r="L2098" s="46" t="n">
        <v>232877.43</v>
      </c>
    </row>
    <row r="2099" customFormat="false" ht="15" hidden="false" customHeight="false" outlineLevel="0" collapsed="false">
      <c r="A2099" s="37" t="n">
        <v>502614</v>
      </c>
      <c r="B2099" s="37" t="s">
        <v>1650</v>
      </c>
      <c r="C2099" s="37" t="n">
        <v>202607</v>
      </c>
      <c r="D2099" s="37" t="s">
        <v>68</v>
      </c>
      <c r="E2099" s="37" t="s">
        <v>103</v>
      </c>
      <c r="F2099" s="37" t="s">
        <v>205</v>
      </c>
      <c r="G2099" s="37" t="s">
        <v>358</v>
      </c>
      <c r="H2099" s="37" t="s">
        <v>1596</v>
      </c>
      <c r="I2099" s="37" t="s">
        <v>898</v>
      </c>
      <c r="J2099" s="37" t="s">
        <v>1653</v>
      </c>
      <c r="K2099" s="45" t="n">
        <v>0</v>
      </c>
      <c r="L2099" s="46" t="n">
        <v>66589.25</v>
      </c>
    </row>
    <row r="2100" customFormat="false" ht="15" hidden="false" customHeight="false" outlineLevel="0" collapsed="false">
      <c r="A2100" s="37" t="n">
        <v>502615</v>
      </c>
      <c r="B2100" s="37" t="s">
        <v>1650</v>
      </c>
      <c r="C2100" s="37" t="n">
        <v>202607</v>
      </c>
      <c r="D2100" s="37" t="s">
        <v>68</v>
      </c>
      <c r="E2100" s="37" t="s">
        <v>103</v>
      </c>
      <c r="F2100" s="37" t="s">
        <v>205</v>
      </c>
      <c r="G2100" s="37" t="s">
        <v>358</v>
      </c>
      <c r="H2100" s="37" t="s">
        <v>1596</v>
      </c>
      <c r="I2100" s="37" t="s">
        <v>898</v>
      </c>
      <c r="J2100" s="37" t="s">
        <v>1654</v>
      </c>
      <c r="K2100" s="45" t="n">
        <v>0</v>
      </c>
      <c r="L2100" s="46" t="n">
        <v>61501.19</v>
      </c>
    </row>
    <row r="2101" customFormat="false" ht="15" hidden="false" customHeight="false" outlineLevel="0" collapsed="false">
      <c r="A2101" s="37" t="n">
        <v>501701</v>
      </c>
      <c r="B2101" s="37" t="s">
        <v>1655</v>
      </c>
      <c r="C2101" s="37" t="n">
        <v>202607</v>
      </c>
      <c r="D2101" s="37" t="s">
        <v>63</v>
      </c>
      <c r="E2101" s="37" t="s">
        <v>98</v>
      </c>
      <c r="F2101" s="37" t="s">
        <v>196</v>
      </c>
      <c r="G2101" s="37" t="s">
        <v>358</v>
      </c>
      <c r="H2101" s="37" t="s">
        <v>359</v>
      </c>
      <c r="I2101" s="37" t="s">
        <v>360</v>
      </c>
      <c r="J2101" s="37" t="s">
        <v>1656</v>
      </c>
      <c r="K2101" s="45" t="n">
        <v>0</v>
      </c>
      <c r="L2101" s="46" t="n">
        <v>19246.47</v>
      </c>
    </row>
    <row r="2102" customFormat="false" ht="15" hidden="false" customHeight="false" outlineLevel="0" collapsed="false">
      <c r="A2102" s="37" t="n">
        <v>501449</v>
      </c>
      <c r="B2102" s="37" t="s">
        <v>1657</v>
      </c>
      <c r="C2102" s="37" t="n">
        <v>202607</v>
      </c>
      <c r="D2102" s="37" t="s">
        <v>62</v>
      </c>
      <c r="E2102" s="37" t="s">
        <v>98</v>
      </c>
      <c r="F2102" s="37" t="s">
        <v>196</v>
      </c>
      <c r="G2102" s="37" t="s">
        <v>358</v>
      </c>
      <c r="H2102" s="37" t="s">
        <v>359</v>
      </c>
      <c r="I2102" s="37" t="s">
        <v>360</v>
      </c>
      <c r="J2102" s="37" t="s">
        <v>1658</v>
      </c>
      <c r="K2102" s="45" t="n">
        <v>0</v>
      </c>
      <c r="L2102" s="46" t="n">
        <v>43658.33</v>
      </c>
    </row>
    <row r="2103" customFormat="false" ht="15" hidden="false" customHeight="false" outlineLevel="0" collapsed="false">
      <c r="A2103" s="37" t="n">
        <v>500890</v>
      </c>
      <c r="B2103" s="37" t="s">
        <v>1659</v>
      </c>
      <c r="C2103" s="37" t="n">
        <v>202607</v>
      </c>
      <c r="D2103" s="37" t="s">
        <v>60</v>
      </c>
      <c r="E2103" s="37" t="s">
        <v>98</v>
      </c>
      <c r="F2103" s="37" t="s">
        <v>196</v>
      </c>
      <c r="G2103" s="37" t="s">
        <v>358</v>
      </c>
      <c r="H2103" s="37" t="s">
        <v>359</v>
      </c>
      <c r="I2103" s="37" t="s">
        <v>360</v>
      </c>
      <c r="J2103" s="37" t="s">
        <v>1660</v>
      </c>
      <c r="K2103" s="45" t="n">
        <v>0</v>
      </c>
      <c r="L2103" s="46" t="n">
        <v>4022.61</v>
      </c>
    </row>
    <row r="2104" customFormat="false" ht="15" hidden="false" customHeight="false" outlineLevel="0" collapsed="false">
      <c r="A2104" s="37" t="n">
        <v>501065</v>
      </c>
      <c r="B2104" s="37" t="s">
        <v>1661</v>
      </c>
      <c r="C2104" s="37" t="n">
        <v>202607</v>
      </c>
      <c r="D2104" s="37" t="s">
        <v>60</v>
      </c>
      <c r="E2104" s="37" t="s">
        <v>108</v>
      </c>
      <c r="F2104" s="37" t="s">
        <v>205</v>
      </c>
      <c r="G2104" s="37" t="s">
        <v>358</v>
      </c>
      <c r="H2104" s="37" t="s">
        <v>1488</v>
      </c>
      <c r="I2104" s="37" t="s">
        <v>1489</v>
      </c>
      <c r="J2104" s="37" t="s">
        <v>1662</v>
      </c>
      <c r="K2104" s="45" t="n">
        <v>0</v>
      </c>
      <c r="L2104" s="46" t="n">
        <v>60009.88</v>
      </c>
    </row>
    <row r="2105" customFormat="false" ht="15" hidden="false" customHeight="false" outlineLevel="0" collapsed="false">
      <c r="A2105" s="37" t="n">
        <v>502512</v>
      </c>
      <c r="B2105" s="37" t="s">
        <v>1661</v>
      </c>
      <c r="C2105" s="37" t="n">
        <v>202607</v>
      </c>
      <c r="D2105" s="37" t="s">
        <v>67</v>
      </c>
      <c r="E2105" s="37" t="s">
        <v>102</v>
      </c>
      <c r="F2105" s="37" t="s">
        <v>205</v>
      </c>
      <c r="G2105" s="37" t="s">
        <v>358</v>
      </c>
      <c r="H2105" s="37" t="s">
        <v>1375</v>
      </c>
      <c r="I2105" s="37" t="s">
        <v>892</v>
      </c>
      <c r="J2105" s="37" t="s">
        <v>1663</v>
      </c>
      <c r="K2105" s="45" t="n">
        <v>0</v>
      </c>
      <c r="L2105" s="46" t="n">
        <v>45474.84</v>
      </c>
    </row>
    <row r="2106" customFormat="false" ht="15" hidden="false" customHeight="false" outlineLevel="0" collapsed="false">
      <c r="A2106" s="37" t="n">
        <v>500111</v>
      </c>
      <c r="B2106" s="37" t="s">
        <v>1664</v>
      </c>
      <c r="C2106" s="37" t="n">
        <v>202607</v>
      </c>
      <c r="D2106" s="37" t="s">
        <v>58</v>
      </c>
      <c r="E2106" s="37" t="s">
        <v>97</v>
      </c>
      <c r="F2106" s="37" t="s">
        <v>194</v>
      </c>
      <c r="G2106" s="37" t="s">
        <v>354</v>
      </c>
      <c r="H2106" s="37"/>
      <c r="I2106" s="37" t="s">
        <v>355</v>
      </c>
      <c r="J2106" s="37" t="s">
        <v>1665</v>
      </c>
      <c r="K2106" s="45" t="n">
        <v>13.6</v>
      </c>
      <c r="L2106" s="46" t="n">
        <v>1250.18</v>
      </c>
    </row>
    <row r="2107" customFormat="false" ht="15" hidden="false" customHeight="false" outlineLevel="0" collapsed="false">
      <c r="A2107" s="37" t="n">
        <v>500519</v>
      </c>
      <c r="B2107" s="37" t="s">
        <v>1664</v>
      </c>
      <c r="C2107" s="37" t="n">
        <v>202607</v>
      </c>
      <c r="D2107" s="37" t="s">
        <v>59</v>
      </c>
      <c r="E2107" s="37" t="s">
        <v>97</v>
      </c>
      <c r="F2107" s="37" t="s">
        <v>194</v>
      </c>
      <c r="G2107" s="37" t="s">
        <v>354</v>
      </c>
      <c r="H2107" s="37"/>
      <c r="I2107" s="37" t="s">
        <v>355</v>
      </c>
      <c r="J2107" s="37" t="s">
        <v>1665</v>
      </c>
      <c r="K2107" s="45" t="n">
        <v>100.1</v>
      </c>
      <c r="L2107" s="46" t="n">
        <v>9212.35</v>
      </c>
    </row>
    <row r="2108" customFormat="false" ht="15" hidden="false" customHeight="false" outlineLevel="0" collapsed="false">
      <c r="A2108" s="37" t="n">
        <v>500721</v>
      </c>
      <c r="B2108" s="37" t="s">
        <v>1664</v>
      </c>
      <c r="C2108" s="37" t="n">
        <v>202607</v>
      </c>
      <c r="D2108" s="37" t="s">
        <v>59</v>
      </c>
      <c r="E2108" s="37" t="s">
        <v>106</v>
      </c>
      <c r="F2108" s="37" t="s">
        <v>194</v>
      </c>
      <c r="G2108" s="37" t="s">
        <v>354</v>
      </c>
      <c r="H2108" s="37"/>
      <c r="I2108" s="37" t="s">
        <v>355</v>
      </c>
      <c r="J2108" s="37" t="s">
        <v>1665</v>
      </c>
      <c r="K2108" s="45" t="n">
        <v>56.8</v>
      </c>
      <c r="L2108" s="46" t="n">
        <v>4033.57</v>
      </c>
    </row>
    <row r="2109" customFormat="false" ht="15" hidden="false" customHeight="false" outlineLevel="0" collapsed="false">
      <c r="A2109" s="37" t="n">
        <v>500848</v>
      </c>
      <c r="B2109" s="37" t="s">
        <v>1664</v>
      </c>
      <c r="C2109" s="37" t="n">
        <v>202607</v>
      </c>
      <c r="D2109" s="37" t="s">
        <v>60</v>
      </c>
      <c r="E2109" s="37" t="s">
        <v>97</v>
      </c>
      <c r="F2109" s="37" t="s">
        <v>194</v>
      </c>
      <c r="G2109" s="37" t="s">
        <v>354</v>
      </c>
      <c r="H2109" s="37"/>
      <c r="I2109" s="37" t="s">
        <v>355</v>
      </c>
      <c r="J2109" s="37" t="s">
        <v>1665</v>
      </c>
      <c r="K2109" s="45" t="n">
        <v>262.1</v>
      </c>
      <c r="L2109" s="46" t="n">
        <v>24116.57</v>
      </c>
    </row>
    <row r="2110" customFormat="false" ht="15" hidden="false" customHeight="false" outlineLevel="0" collapsed="false">
      <c r="A2110" s="37" t="n">
        <v>501041</v>
      </c>
      <c r="B2110" s="37" t="s">
        <v>1664</v>
      </c>
      <c r="C2110" s="37" t="n">
        <v>202607</v>
      </c>
      <c r="D2110" s="37" t="s">
        <v>60</v>
      </c>
      <c r="E2110" s="37" t="s">
        <v>106</v>
      </c>
      <c r="F2110" s="37" t="s">
        <v>194</v>
      </c>
      <c r="G2110" s="37" t="s">
        <v>354</v>
      </c>
      <c r="H2110" s="37"/>
      <c r="I2110" s="37" t="s">
        <v>355</v>
      </c>
      <c r="J2110" s="37" t="s">
        <v>1665</v>
      </c>
      <c r="K2110" s="45" t="n">
        <v>370.4</v>
      </c>
      <c r="L2110" s="46" t="n">
        <v>26297.14</v>
      </c>
    </row>
    <row r="2111" customFormat="false" ht="15" hidden="false" customHeight="false" outlineLevel="0" collapsed="false">
      <c r="A2111" s="37" t="n">
        <v>501155</v>
      </c>
      <c r="B2111" s="37" t="s">
        <v>1664</v>
      </c>
      <c r="C2111" s="37" t="n">
        <v>202607</v>
      </c>
      <c r="D2111" s="37" t="s">
        <v>61</v>
      </c>
      <c r="E2111" s="37" t="s">
        <v>97</v>
      </c>
      <c r="F2111" s="37" t="s">
        <v>194</v>
      </c>
      <c r="G2111" s="37" t="s">
        <v>354</v>
      </c>
      <c r="H2111" s="37"/>
      <c r="I2111" s="37" t="s">
        <v>355</v>
      </c>
      <c r="J2111" s="37" t="s">
        <v>1665</v>
      </c>
      <c r="K2111" s="45" t="n">
        <v>89.9</v>
      </c>
      <c r="L2111" s="46" t="n">
        <v>8274.99</v>
      </c>
    </row>
    <row r="2112" customFormat="false" ht="15" hidden="false" customHeight="false" outlineLevel="0" collapsed="false">
      <c r="A2112" s="37" t="n">
        <v>501315</v>
      </c>
      <c r="B2112" s="37" t="s">
        <v>1664</v>
      </c>
      <c r="C2112" s="37" t="n">
        <v>202607</v>
      </c>
      <c r="D2112" s="37" t="s">
        <v>61</v>
      </c>
      <c r="E2112" s="37" t="s">
        <v>106</v>
      </c>
      <c r="F2112" s="37" t="s">
        <v>194</v>
      </c>
      <c r="G2112" s="37" t="s">
        <v>354</v>
      </c>
      <c r="H2112" s="37"/>
      <c r="I2112" s="37" t="s">
        <v>355</v>
      </c>
      <c r="J2112" s="37" t="s">
        <v>1665</v>
      </c>
      <c r="K2112" s="45" t="n">
        <v>18</v>
      </c>
      <c r="L2112" s="46" t="n">
        <v>1280.58</v>
      </c>
    </row>
    <row r="2113" customFormat="false" ht="15" hidden="false" customHeight="false" outlineLevel="0" collapsed="false">
      <c r="A2113" s="37" t="n">
        <v>501416</v>
      </c>
      <c r="B2113" s="37" t="s">
        <v>1664</v>
      </c>
      <c r="C2113" s="37" t="n">
        <v>202607</v>
      </c>
      <c r="D2113" s="37" t="s">
        <v>62</v>
      </c>
      <c r="E2113" s="37" t="s">
        <v>97</v>
      </c>
      <c r="F2113" s="37" t="s">
        <v>194</v>
      </c>
      <c r="G2113" s="37" t="s">
        <v>354</v>
      </c>
      <c r="H2113" s="37"/>
      <c r="I2113" s="37" t="s">
        <v>355</v>
      </c>
      <c r="J2113" s="37" t="s">
        <v>1665</v>
      </c>
      <c r="K2113" s="45" t="n">
        <v>130.7</v>
      </c>
      <c r="L2113" s="46" t="n">
        <v>12023.24</v>
      </c>
    </row>
    <row r="2114" customFormat="false" ht="15" hidden="false" customHeight="false" outlineLevel="0" collapsed="false">
      <c r="A2114" s="37" t="n">
        <v>501582</v>
      </c>
      <c r="B2114" s="37" t="s">
        <v>1664</v>
      </c>
      <c r="C2114" s="37" t="n">
        <v>202607</v>
      </c>
      <c r="D2114" s="37" t="s">
        <v>62</v>
      </c>
      <c r="E2114" s="37" t="s">
        <v>106</v>
      </c>
      <c r="F2114" s="37" t="s">
        <v>194</v>
      </c>
      <c r="G2114" s="37" t="s">
        <v>354</v>
      </c>
      <c r="H2114" s="37"/>
      <c r="I2114" s="37" t="s">
        <v>355</v>
      </c>
      <c r="J2114" s="37" t="s">
        <v>1665</v>
      </c>
      <c r="K2114" s="45" t="n">
        <v>250.9</v>
      </c>
      <c r="L2114" s="46" t="n">
        <v>17811.71</v>
      </c>
    </row>
    <row r="2115" customFormat="false" ht="15" hidden="false" customHeight="false" outlineLevel="0" collapsed="false">
      <c r="A2115" s="37" t="n">
        <v>501662</v>
      </c>
      <c r="B2115" s="37" t="s">
        <v>1664</v>
      </c>
      <c r="C2115" s="37" t="n">
        <v>202607</v>
      </c>
      <c r="D2115" s="37" t="s">
        <v>63</v>
      </c>
      <c r="E2115" s="37" t="s">
        <v>97</v>
      </c>
      <c r="F2115" s="37" t="s">
        <v>194</v>
      </c>
      <c r="G2115" s="37" t="s">
        <v>354</v>
      </c>
      <c r="H2115" s="37"/>
      <c r="I2115" s="37" t="s">
        <v>355</v>
      </c>
      <c r="J2115" s="37" t="s">
        <v>1665</v>
      </c>
      <c r="K2115" s="45" t="n">
        <v>92.5</v>
      </c>
      <c r="L2115" s="46" t="n">
        <v>8510.49</v>
      </c>
    </row>
    <row r="2116" customFormat="false" ht="15" hidden="false" customHeight="false" outlineLevel="0" collapsed="false">
      <c r="A2116" s="37" t="n">
        <v>501812</v>
      </c>
      <c r="B2116" s="37" t="s">
        <v>1664</v>
      </c>
      <c r="C2116" s="37" t="n">
        <v>202607</v>
      </c>
      <c r="D2116" s="37" t="s">
        <v>63</v>
      </c>
      <c r="E2116" s="37" t="s">
        <v>106</v>
      </c>
      <c r="F2116" s="37" t="s">
        <v>194</v>
      </c>
      <c r="G2116" s="37" t="s">
        <v>354</v>
      </c>
      <c r="H2116" s="37"/>
      <c r="I2116" s="37" t="s">
        <v>355</v>
      </c>
      <c r="J2116" s="37" t="s">
        <v>1665</v>
      </c>
      <c r="K2116" s="45" t="n">
        <v>133.1</v>
      </c>
      <c r="L2116" s="46" t="n">
        <v>9450.31</v>
      </c>
    </row>
    <row r="2117" customFormat="false" ht="15" hidden="false" customHeight="false" outlineLevel="0" collapsed="false">
      <c r="A2117" s="37" t="n">
        <v>501828</v>
      </c>
      <c r="B2117" s="37" t="s">
        <v>1664</v>
      </c>
      <c r="C2117" s="37" t="n">
        <v>202607</v>
      </c>
      <c r="D2117" s="37" t="s">
        <v>63</v>
      </c>
      <c r="E2117" s="37" t="s">
        <v>108</v>
      </c>
      <c r="F2117" s="37" t="s">
        <v>205</v>
      </c>
      <c r="G2117" s="37" t="s">
        <v>358</v>
      </c>
      <c r="H2117" s="37" t="s">
        <v>1542</v>
      </c>
      <c r="I2117" s="37" t="s">
        <v>1489</v>
      </c>
      <c r="J2117" s="37" t="s">
        <v>1666</v>
      </c>
      <c r="K2117" s="45" t="n">
        <v>0</v>
      </c>
      <c r="L2117" s="46" t="n">
        <v>48028.33</v>
      </c>
    </row>
    <row r="2118" customFormat="false" ht="15" hidden="false" customHeight="false" outlineLevel="0" collapsed="false">
      <c r="A2118" s="37" t="n">
        <v>501896</v>
      </c>
      <c r="B2118" s="37" t="s">
        <v>1664</v>
      </c>
      <c r="C2118" s="37" t="n">
        <v>202607</v>
      </c>
      <c r="D2118" s="37" t="s">
        <v>64</v>
      </c>
      <c r="E2118" s="37" t="s">
        <v>97</v>
      </c>
      <c r="F2118" s="37" t="s">
        <v>194</v>
      </c>
      <c r="G2118" s="37" t="s">
        <v>354</v>
      </c>
      <c r="H2118" s="37"/>
      <c r="I2118" s="37" t="s">
        <v>355</v>
      </c>
      <c r="J2118" s="37" t="s">
        <v>1665</v>
      </c>
      <c r="K2118" s="45" t="n">
        <v>427.2</v>
      </c>
      <c r="L2118" s="46" t="n">
        <v>39305.1</v>
      </c>
    </row>
    <row r="2119" customFormat="false" ht="15" hidden="false" customHeight="false" outlineLevel="0" collapsed="false">
      <c r="A2119" s="37" t="n">
        <v>502041</v>
      </c>
      <c r="B2119" s="37" t="s">
        <v>1664</v>
      </c>
      <c r="C2119" s="37" t="n">
        <v>202607</v>
      </c>
      <c r="D2119" s="37" t="s">
        <v>64</v>
      </c>
      <c r="E2119" s="37" t="s">
        <v>106</v>
      </c>
      <c r="F2119" s="37" t="s">
        <v>194</v>
      </c>
      <c r="G2119" s="37" t="s">
        <v>354</v>
      </c>
      <c r="H2119" s="37"/>
      <c r="I2119" s="37" t="s">
        <v>355</v>
      </c>
      <c r="J2119" s="37" t="s">
        <v>1665</v>
      </c>
      <c r="K2119" s="45" t="n">
        <v>346.6</v>
      </c>
      <c r="L2119" s="46" t="n">
        <v>24609.17</v>
      </c>
    </row>
    <row r="2120" customFormat="false" ht="15" hidden="false" customHeight="false" outlineLevel="0" collapsed="false">
      <c r="A2120" s="37" t="n">
        <v>502112</v>
      </c>
      <c r="B2120" s="37" t="s">
        <v>1664</v>
      </c>
      <c r="C2120" s="37" t="n">
        <v>202607</v>
      </c>
      <c r="D2120" s="37" t="s">
        <v>65</v>
      </c>
      <c r="E2120" s="37" t="s">
        <v>97</v>
      </c>
      <c r="F2120" s="37" t="s">
        <v>194</v>
      </c>
      <c r="G2120" s="37" t="s">
        <v>354</v>
      </c>
      <c r="H2120" s="37"/>
      <c r="I2120" s="37" t="s">
        <v>355</v>
      </c>
      <c r="J2120" s="37" t="s">
        <v>1665</v>
      </c>
      <c r="K2120" s="45" t="n">
        <v>329</v>
      </c>
      <c r="L2120" s="46" t="n">
        <v>30264.61</v>
      </c>
    </row>
    <row r="2121" customFormat="false" ht="15" hidden="false" customHeight="false" outlineLevel="0" collapsed="false">
      <c r="A2121" s="37" t="n">
        <v>502233</v>
      </c>
      <c r="B2121" s="37" t="s">
        <v>1664</v>
      </c>
      <c r="C2121" s="37" t="n">
        <v>202607</v>
      </c>
      <c r="D2121" s="37" t="s">
        <v>65</v>
      </c>
      <c r="E2121" s="37" t="s">
        <v>106</v>
      </c>
      <c r="F2121" s="37" t="s">
        <v>194</v>
      </c>
      <c r="G2121" s="37" t="s">
        <v>354</v>
      </c>
      <c r="H2121" s="37"/>
      <c r="I2121" s="37" t="s">
        <v>355</v>
      </c>
      <c r="J2121" s="37" t="s">
        <v>1665</v>
      </c>
      <c r="K2121" s="45" t="n">
        <v>245.8</v>
      </c>
      <c r="L2121" s="46" t="n">
        <v>17451.44</v>
      </c>
    </row>
    <row r="2122" customFormat="false" ht="15" hidden="false" customHeight="false" outlineLevel="0" collapsed="false">
      <c r="A2122" s="37" t="n">
        <v>502295</v>
      </c>
      <c r="B2122" s="37" t="s">
        <v>1664</v>
      </c>
      <c r="C2122" s="37" t="n">
        <v>202607</v>
      </c>
      <c r="D2122" s="37" t="s">
        <v>66</v>
      </c>
      <c r="E2122" s="37" t="s">
        <v>97</v>
      </c>
      <c r="F2122" s="37" t="s">
        <v>194</v>
      </c>
      <c r="G2122" s="37" t="s">
        <v>354</v>
      </c>
      <c r="H2122" s="37"/>
      <c r="I2122" s="37" t="s">
        <v>355</v>
      </c>
      <c r="J2122" s="37" t="s">
        <v>1665</v>
      </c>
      <c r="K2122" s="45" t="n">
        <v>192.3</v>
      </c>
      <c r="L2122" s="46" t="n">
        <v>17687.64</v>
      </c>
    </row>
    <row r="2123" customFormat="false" ht="15" hidden="false" customHeight="false" outlineLevel="0" collapsed="false">
      <c r="A2123" s="37" t="n">
        <v>502360</v>
      </c>
      <c r="B2123" s="37" t="s">
        <v>1664</v>
      </c>
      <c r="C2123" s="37" t="n">
        <v>202607</v>
      </c>
      <c r="D2123" s="37" t="s">
        <v>66</v>
      </c>
      <c r="E2123" s="37" t="s">
        <v>101</v>
      </c>
      <c r="F2123" s="37" t="s">
        <v>194</v>
      </c>
      <c r="G2123" s="37" t="s">
        <v>354</v>
      </c>
      <c r="H2123" s="37"/>
      <c r="I2123" s="37" t="s">
        <v>355</v>
      </c>
      <c r="J2123" s="37" t="s">
        <v>1665</v>
      </c>
      <c r="K2123" s="45" t="n">
        <v>198.3</v>
      </c>
      <c r="L2123" s="46" t="n">
        <v>14675.06</v>
      </c>
    </row>
    <row r="2124" customFormat="false" ht="15" hidden="false" customHeight="false" outlineLevel="0" collapsed="false">
      <c r="A2124" s="37" t="n">
        <v>502438</v>
      </c>
      <c r="B2124" s="37" t="s">
        <v>1664</v>
      </c>
      <c r="C2124" s="37" t="n">
        <v>202607</v>
      </c>
      <c r="D2124" s="37" t="s">
        <v>67</v>
      </c>
      <c r="E2124" s="37" t="s">
        <v>97</v>
      </c>
      <c r="F2124" s="37" t="s">
        <v>194</v>
      </c>
      <c r="G2124" s="37" t="s">
        <v>354</v>
      </c>
      <c r="H2124" s="37"/>
      <c r="I2124" s="37" t="s">
        <v>355</v>
      </c>
      <c r="J2124" s="37" t="s">
        <v>1665</v>
      </c>
      <c r="K2124" s="45" t="n">
        <v>74.2</v>
      </c>
      <c r="L2124" s="46" t="n">
        <v>6826.13</v>
      </c>
    </row>
    <row r="2125" customFormat="false" ht="15" hidden="false" customHeight="false" outlineLevel="0" collapsed="false">
      <c r="A2125" s="37" t="n">
        <v>502492</v>
      </c>
      <c r="B2125" s="37" t="s">
        <v>1664</v>
      </c>
      <c r="C2125" s="37" t="n">
        <v>202607</v>
      </c>
      <c r="D2125" s="37" t="s">
        <v>67</v>
      </c>
      <c r="E2125" s="37" t="s">
        <v>101</v>
      </c>
      <c r="F2125" s="37" t="s">
        <v>194</v>
      </c>
      <c r="G2125" s="37" t="s">
        <v>354</v>
      </c>
      <c r="H2125" s="37"/>
      <c r="I2125" s="37" t="s">
        <v>355</v>
      </c>
      <c r="J2125" s="37" t="s">
        <v>1665</v>
      </c>
      <c r="K2125" s="45" t="n">
        <v>158.7</v>
      </c>
      <c r="L2125" s="46" t="n">
        <v>11740.17</v>
      </c>
    </row>
    <row r="2126" customFormat="false" ht="15" hidden="false" customHeight="false" outlineLevel="0" collapsed="false">
      <c r="A2126" s="37" t="n">
        <v>502554</v>
      </c>
      <c r="B2126" s="37" t="s">
        <v>1664</v>
      </c>
      <c r="C2126" s="37" t="n">
        <v>202607</v>
      </c>
      <c r="D2126" s="37" t="s">
        <v>68</v>
      </c>
      <c r="E2126" s="37" t="s">
        <v>97</v>
      </c>
      <c r="F2126" s="37" t="s">
        <v>194</v>
      </c>
      <c r="G2126" s="37" t="s">
        <v>354</v>
      </c>
      <c r="H2126" s="37"/>
      <c r="I2126" s="37" t="s">
        <v>355</v>
      </c>
      <c r="J2126" s="37" t="s">
        <v>1665</v>
      </c>
      <c r="K2126" s="45" t="n">
        <v>157.8</v>
      </c>
      <c r="L2126" s="46" t="n">
        <v>14516.09</v>
      </c>
    </row>
    <row r="2127" customFormat="false" ht="15" hidden="false" customHeight="false" outlineLevel="0" collapsed="false">
      <c r="A2127" s="37" t="n">
        <v>502570</v>
      </c>
      <c r="B2127" s="37" t="s">
        <v>1664</v>
      </c>
      <c r="C2127" s="37" t="n">
        <v>202607</v>
      </c>
      <c r="D2127" s="37" t="s">
        <v>68</v>
      </c>
      <c r="E2127" s="37" t="s">
        <v>98</v>
      </c>
      <c r="F2127" s="37" t="s">
        <v>196</v>
      </c>
      <c r="G2127" s="37" t="s">
        <v>358</v>
      </c>
      <c r="H2127" s="37" t="s">
        <v>359</v>
      </c>
      <c r="I2127" s="37" t="s">
        <v>360</v>
      </c>
      <c r="J2127" s="37" t="s">
        <v>1667</v>
      </c>
      <c r="K2127" s="45" t="n">
        <v>0</v>
      </c>
      <c r="L2127" s="46" t="n">
        <v>3850.11</v>
      </c>
    </row>
    <row r="2128" customFormat="false" ht="15" hidden="false" customHeight="false" outlineLevel="0" collapsed="false">
      <c r="A2128" s="37" t="n">
        <v>502591</v>
      </c>
      <c r="B2128" s="37" t="s">
        <v>1664</v>
      </c>
      <c r="C2128" s="37" t="n">
        <v>202607</v>
      </c>
      <c r="D2128" s="37" t="s">
        <v>68</v>
      </c>
      <c r="E2128" s="37" t="s">
        <v>101</v>
      </c>
      <c r="F2128" s="37" t="s">
        <v>194</v>
      </c>
      <c r="G2128" s="37" t="s">
        <v>354</v>
      </c>
      <c r="H2128" s="37"/>
      <c r="I2128" s="37" t="s">
        <v>355</v>
      </c>
      <c r="J2128" s="37" t="s">
        <v>1665</v>
      </c>
      <c r="K2128" s="45" t="n">
        <v>98.2</v>
      </c>
      <c r="L2128" s="46" t="n">
        <v>7263.71</v>
      </c>
    </row>
    <row r="2129" customFormat="false" ht="15" hidden="false" customHeight="false" outlineLevel="0" collapsed="false">
      <c r="A2129" s="37" t="n">
        <v>502633</v>
      </c>
      <c r="B2129" s="37" t="s">
        <v>1664</v>
      </c>
      <c r="C2129" s="37" t="n">
        <v>202607</v>
      </c>
      <c r="D2129" s="37" t="s">
        <v>69</v>
      </c>
      <c r="E2129" s="37" t="s">
        <v>97</v>
      </c>
      <c r="F2129" s="37" t="s">
        <v>194</v>
      </c>
      <c r="G2129" s="37" t="s">
        <v>354</v>
      </c>
      <c r="H2129" s="37"/>
      <c r="I2129" s="37" t="s">
        <v>355</v>
      </c>
      <c r="J2129" s="37" t="s">
        <v>1665</v>
      </c>
      <c r="K2129" s="45" t="n">
        <v>23.2</v>
      </c>
      <c r="L2129" s="46" t="n">
        <v>2137.65</v>
      </c>
    </row>
    <row r="2130" customFormat="false" ht="15" hidden="false" customHeight="false" outlineLevel="0" collapsed="false">
      <c r="A2130" s="37" t="n">
        <v>500745</v>
      </c>
      <c r="B2130" s="37" t="s">
        <v>1668</v>
      </c>
      <c r="C2130" s="37" t="n">
        <v>202607</v>
      </c>
      <c r="D2130" s="37" t="s">
        <v>59</v>
      </c>
      <c r="E2130" s="37" t="s">
        <v>108</v>
      </c>
      <c r="F2130" s="37" t="s">
        <v>205</v>
      </c>
      <c r="G2130" s="37" t="s">
        <v>358</v>
      </c>
      <c r="H2130" s="37" t="s">
        <v>1385</v>
      </c>
      <c r="I2130" s="37" t="s">
        <v>1386</v>
      </c>
      <c r="J2130" s="37" t="s">
        <v>1669</v>
      </c>
      <c r="K2130" s="45" t="n">
        <v>0</v>
      </c>
      <c r="L2130" s="46" t="n">
        <v>35777.47</v>
      </c>
    </row>
    <row r="2131" customFormat="false" ht="15" hidden="false" customHeight="false" outlineLevel="0" collapsed="false">
      <c r="A2131" s="37" t="n">
        <v>500746</v>
      </c>
      <c r="B2131" s="37" t="s">
        <v>1668</v>
      </c>
      <c r="C2131" s="37" t="n">
        <v>202607</v>
      </c>
      <c r="D2131" s="37" t="s">
        <v>59</v>
      </c>
      <c r="E2131" s="37" t="s">
        <v>108</v>
      </c>
      <c r="F2131" s="37" t="s">
        <v>205</v>
      </c>
      <c r="G2131" s="37" t="s">
        <v>358</v>
      </c>
      <c r="H2131" s="37" t="s">
        <v>1385</v>
      </c>
      <c r="I2131" s="37" t="s">
        <v>1386</v>
      </c>
      <c r="J2131" s="37" t="s">
        <v>1670</v>
      </c>
      <c r="K2131" s="45" t="n">
        <v>0</v>
      </c>
      <c r="L2131" s="46" t="n">
        <v>67485.78</v>
      </c>
    </row>
    <row r="2132" customFormat="false" ht="15" hidden="false" customHeight="false" outlineLevel="0" collapsed="false">
      <c r="A2132" s="37" t="n">
        <v>500889</v>
      </c>
      <c r="B2132" s="37" t="s">
        <v>1668</v>
      </c>
      <c r="C2132" s="37" t="n">
        <v>202607</v>
      </c>
      <c r="D2132" s="37" t="s">
        <v>60</v>
      </c>
      <c r="E2132" s="37" t="s">
        <v>98</v>
      </c>
      <c r="F2132" s="37" t="s">
        <v>196</v>
      </c>
      <c r="G2132" s="37" t="s">
        <v>358</v>
      </c>
      <c r="H2132" s="37" t="s">
        <v>359</v>
      </c>
      <c r="I2132" s="37" t="s">
        <v>360</v>
      </c>
      <c r="J2132" s="37" t="s">
        <v>1671</v>
      </c>
      <c r="K2132" s="45" t="n">
        <v>0</v>
      </c>
      <c r="L2132" s="46" t="n">
        <v>17888.46</v>
      </c>
    </row>
    <row r="2133" customFormat="false" ht="15" hidden="false" customHeight="false" outlineLevel="0" collapsed="false">
      <c r="A2133" s="37" t="n">
        <v>502510</v>
      </c>
      <c r="B2133" s="37" t="s">
        <v>1668</v>
      </c>
      <c r="C2133" s="37" t="n">
        <v>202607</v>
      </c>
      <c r="D2133" s="37" t="s">
        <v>67</v>
      </c>
      <c r="E2133" s="37" t="s">
        <v>102</v>
      </c>
      <c r="F2133" s="37" t="s">
        <v>205</v>
      </c>
      <c r="G2133" s="37" t="s">
        <v>358</v>
      </c>
      <c r="H2133" s="37" t="s">
        <v>1375</v>
      </c>
      <c r="I2133" s="37" t="s">
        <v>892</v>
      </c>
      <c r="J2133" s="37" t="s">
        <v>1672</v>
      </c>
      <c r="K2133" s="45" t="n">
        <v>0</v>
      </c>
      <c r="L2133" s="46" t="n">
        <v>81597.32</v>
      </c>
    </row>
    <row r="2134" customFormat="false" ht="15" hidden="false" customHeight="false" outlineLevel="0" collapsed="false">
      <c r="A2134" s="37" t="n">
        <v>501331</v>
      </c>
      <c r="B2134" s="37" t="s">
        <v>1673</v>
      </c>
      <c r="C2134" s="37" t="n">
        <v>202607</v>
      </c>
      <c r="D2134" s="37" t="s">
        <v>61</v>
      </c>
      <c r="E2134" s="37" t="s">
        <v>108</v>
      </c>
      <c r="F2134" s="37" t="s">
        <v>205</v>
      </c>
      <c r="G2134" s="37" t="s">
        <v>358</v>
      </c>
      <c r="H2134" s="37" t="s">
        <v>1404</v>
      </c>
      <c r="I2134" s="37" t="s">
        <v>1405</v>
      </c>
      <c r="J2134" s="37" t="s">
        <v>1674</v>
      </c>
      <c r="K2134" s="45" t="n">
        <v>0</v>
      </c>
      <c r="L2134" s="46" t="n">
        <v>9898.54</v>
      </c>
    </row>
    <row r="2135" customFormat="false" ht="15" hidden="false" customHeight="false" outlineLevel="0" collapsed="false">
      <c r="A2135" s="37" t="n">
        <v>500169</v>
      </c>
      <c r="B2135" s="37" t="s">
        <v>1675</v>
      </c>
      <c r="C2135" s="37" t="n">
        <v>202607</v>
      </c>
      <c r="D2135" s="37" t="s">
        <v>58</v>
      </c>
      <c r="E2135" s="37" t="s">
        <v>98</v>
      </c>
      <c r="F2135" s="37" t="s">
        <v>196</v>
      </c>
      <c r="G2135" s="37" t="s">
        <v>358</v>
      </c>
      <c r="H2135" s="37" t="s">
        <v>359</v>
      </c>
      <c r="I2135" s="37" t="s">
        <v>360</v>
      </c>
      <c r="J2135" s="37" t="s">
        <v>1676</v>
      </c>
      <c r="K2135" s="45" t="n">
        <v>0</v>
      </c>
      <c r="L2135" s="46" t="n">
        <v>2929.47</v>
      </c>
    </row>
    <row r="2136" customFormat="false" ht="15" hidden="false" customHeight="false" outlineLevel="0" collapsed="false">
      <c r="A2136" s="37" t="n">
        <v>502459</v>
      </c>
      <c r="B2136" s="37" t="s">
        <v>1675</v>
      </c>
      <c r="C2136" s="37" t="n">
        <v>202607</v>
      </c>
      <c r="D2136" s="37" t="s">
        <v>67</v>
      </c>
      <c r="E2136" s="37" t="s">
        <v>98</v>
      </c>
      <c r="F2136" s="37" t="s">
        <v>196</v>
      </c>
      <c r="G2136" s="37" t="s">
        <v>358</v>
      </c>
      <c r="H2136" s="37" t="s">
        <v>359</v>
      </c>
      <c r="I2136" s="37" t="s">
        <v>360</v>
      </c>
      <c r="J2136" s="37" t="s">
        <v>1677</v>
      </c>
      <c r="K2136" s="45" t="n">
        <v>0</v>
      </c>
      <c r="L2136" s="46" t="n">
        <v>17024.2</v>
      </c>
    </row>
    <row r="2137" customFormat="false" ht="15" hidden="false" customHeight="false" outlineLevel="0" collapsed="false">
      <c r="A2137" s="37" t="n">
        <v>502381</v>
      </c>
      <c r="B2137" s="37" t="s">
        <v>1678</v>
      </c>
      <c r="C2137" s="37" t="n">
        <v>202607</v>
      </c>
      <c r="D2137" s="37" t="s">
        <v>66</v>
      </c>
      <c r="E2137" s="37" t="s">
        <v>102</v>
      </c>
      <c r="F2137" s="37" t="s">
        <v>205</v>
      </c>
      <c r="G2137" s="37" t="s">
        <v>358</v>
      </c>
      <c r="H2137" s="37" t="s">
        <v>1323</v>
      </c>
      <c r="I2137" s="37" t="s">
        <v>715</v>
      </c>
      <c r="J2137" s="37" t="s">
        <v>1679</v>
      </c>
      <c r="K2137" s="45" t="n">
        <v>0</v>
      </c>
      <c r="L2137" s="46" t="n">
        <v>20742.78</v>
      </c>
    </row>
    <row r="2138" customFormat="false" ht="15" hidden="false" customHeight="false" outlineLevel="0" collapsed="false">
      <c r="A2138" s="37" t="n">
        <v>502511</v>
      </c>
      <c r="B2138" s="37" t="s">
        <v>1678</v>
      </c>
      <c r="C2138" s="37" t="n">
        <v>202607</v>
      </c>
      <c r="D2138" s="37" t="s">
        <v>67</v>
      </c>
      <c r="E2138" s="37" t="s">
        <v>102</v>
      </c>
      <c r="F2138" s="37" t="s">
        <v>205</v>
      </c>
      <c r="G2138" s="37" t="s">
        <v>358</v>
      </c>
      <c r="H2138" s="37" t="s">
        <v>1375</v>
      </c>
      <c r="I2138" s="37" t="s">
        <v>892</v>
      </c>
      <c r="J2138" s="37" t="s">
        <v>1680</v>
      </c>
      <c r="K2138" s="45" t="n">
        <v>0</v>
      </c>
      <c r="L2138" s="46" t="n">
        <v>91775.07</v>
      </c>
    </row>
    <row r="2139" customFormat="false" ht="15" hidden="false" customHeight="false" outlineLevel="0" collapsed="false">
      <c r="A2139" s="37" t="n">
        <v>500168</v>
      </c>
      <c r="B2139" s="37" t="s">
        <v>1681</v>
      </c>
      <c r="C2139" s="37" t="n">
        <v>202607</v>
      </c>
      <c r="D2139" s="37" t="s">
        <v>58</v>
      </c>
      <c r="E2139" s="37" t="s">
        <v>98</v>
      </c>
      <c r="F2139" s="37" t="s">
        <v>196</v>
      </c>
      <c r="G2139" s="37" t="s">
        <v>358</v>
      </c>
      <c r="H2139" s="37" t="s">
        <v>359</v>
      </c>
      <c r="I2139" s="37" t="s">
        <v>360</v>
      </c>
      <c r="J2139" s="37" t="s">
        <v>1682</v>
      </c>
      <c r="K2139" s="45" t="n">
        <v>0</v>
      </c>
      <c r="L2139" s="46" t="n">
        <v>2897.93</v>
      </c>
    </row>
    <row r="2140" customFormat="false" ht="15" hidden="false" customHeight="false" outlineLevel="0" collapsed="false">
      <c r="A2140" s="37" t="n">
        <v>501450</v>
      </c>
      <c r="B2140" s="37" t="s">
        <v>1681</v>
      </c>
      <c r="C2140" s="37" t="n">
        <v>202607</v>
      </c>
      <c r="D2140" s="37" t="s">
        <v>62</v>
      </c>
      <c r="E2140" s="37" t="s">
        <v>98</v>
      </c>
      <c r="F2140" s="37" t="s">
        <v>196</v>
      </c>
      <c r="G2140" s="37" t="s">
        <v>358</v>
      </c>
      <c r="H2140" s="37" t="s">
        <v>359</v>
      </c>
      <c r="I2140" s="37" t="s">
        <v>360</v>
      </c>
      <c r="J2140" s="37" t="s">
        <v>1683</v>
      </c>
      <c r="K2140" s="45" t="n">
        <v>0</v>
      </c>
      <c r="L2140" s="46" t="n">
        <v>36384.77</v>
      </c>
    </row>
    <row r="2141" customFormat="false" ht="15" hidden="false" customHeight="false" outlineLevel="0" collapsed="false">
      <c r="A2141" s="37" t="n">
        <v>502318</v>
      </c>
      <c r="B2141" s="37" t="s">
        <v>1681</v>
      </c>
      <c r="C2141" s="37" t="n">
        <v>202607</v>
      </c>
      <c r="D2141" s="37" t="s">
        <v>66</v>
      </c>
      <c r="E2141" s="37" t="s">
        <v>98</v>
      </c>
      <c r="F2141" s="37" t="s">
        <v>196</v>
      </c>
      <c r="G2141" s="37" t="s">
        <v>358</v>
      </c>
      <c r="H2141" s="37" t="s">
        <v>359</v>
      </c>
      <c r="I2141" s="37" t="s">
        <v>360</v>
      </c>
      <c r="J2141" s="37" t="s">
        <v>1684</v>
      </c>
      <c r="K2141" s="45" t="n">
        <v>0</v>
      </c>
      <c r="L2141" s="46" t="n">
        <v>7105.09</v>
      </c>
    </row>
    <row r="2142" customFormat="false" ht="15" hidden="false" customHeight="false" outlineLevel="0" collapsed="false">
      <c r="A2142" s="37" t="n">
        <v>502605</v>
      </c>
      <c r="B2142" s="37" t="s">
        <v>1681</v>
      </c>
      <c r="C2142" s="37" t="n">
        <v>202607</v>
      </c>
      <c r="D2142" s="37" t="s">
        <v>68</v>
      </c>
      <c r="E2142" s="37" t="s">
        <v>102</v>
      </c>
      <c r="F2142" s="37" t="s">
        <v>205</v>
      </c>
      <c r="G2142" s="37" t="s">
        <v>358</v>
      </c>
      <c r="H2142" s="37" t="s">
        <v>1566</v>
      </c>
      <c r="I2142" s="37" t="s">
        <v>715</v>
      </c>
      <c r="J2142" s="37" t="s">
        <v>1685</v>
      </c>
      <c r="K2142" s="45" t="n">
        <v>0</v>
      </c>
      <c r="L2142" s="46" t="n">
        <v>80349.2</v>
      </c>
    </row>
    <row r="2143" customFormat="false" ht="15" hidden="false" customHeight="false" outlineLevel="0" collapsed="false">
      <c r="A2143" s="37" t="n">
        <v>500112</v>
      </c>
      <c r="B2143" s="37" t="s">
        <v>1686</v>
      </c>
      <c r="C2143" s="37" t="n">
        <v>202607</v>
      </c>
      <c r="D2143" s="37" t="s">
        <v>58</v>
      </c>
      <c r="E2143" s="37" t="s">
        <v>97</v>
      </c>
      <c r="F2143" s="37" t="s">
        <v>194</v>
      </c>
      <c r="G2143" s="37" t="s">
        <v>354</v>
      </c>
      <c r="H2143" s="37"/>
      <c r="I2143" s="37" t="s">
        <v>355</v>
      </c>
      <c r="J2143" s="37" t="s">
        <v>1687</v>
      </c>
      <c r="K2143" s="45" t="n">
        <v>29.2</v>
      </c>
      <c r="L2143" s="46" t="n">
        <v>2687.77</v>
      </c>
    </row>
    <row r="2144" customFormat="false" ht="15" hidden="false" customHeight="false" outlineLevel="0" collapsed="false">
      <c r="A2144" s="37" t="n">
        <v>500520</v>
      </c>
      <c r="B2144" s="37" t="s">
        <v>1686</v>
      </c>
      <c r="C2144" s="37" t="n">
        <v>202607</v>
      </c>
      <c r="D2144" s="37" t="s">
        <v>59</v>
      </c>
      <c r="E2144" s="37" t="s">
        <v>97</v>
      </c>
      <c r="F2144" s="37" t="s">
        <v>194</v>
      </c>
      <c r="G2144" s="37" t="s">
        <v>354</v>
      </c>
      <c r="H2144" s="37"/>
      <c r="I2144" s="37" t="s">
        <v>355</v>
      </c>
      <c r="J2144" s="37" t="s">
        <v>1687</v>
      </c>
      <c r="K2144" s="45" t="n">
        <v>67.5</v>
      </c>
      <c r="L2144" s="46" t="n">
        <v>6206.45</v>
      </c>
    </row>
    <row r="2145" customFormat="false" ht="15" hidden="false" customHeight="false" outlineLevel="0" collapsed="false">
      <c r="A2145" s="37" t="n">
        <v>500722</v>
      </c>
      <c r="B2145" s="37" t="s">
        <v>1686</v>
      </c>
      <c r="C2145" s="37" t="n">
        <v>202607</v>
      </c>
      <c r="D2145" s="37" t="s">
        <v>59</v>
      </c>
      <c r="E2145" s="37" t="s">
        <v>106</v>
      </c>
      <c r="F2145" s="37" t="s">
        <v>194</v>
      </c>
      <c r="G2145" s="37" t="s">
        <v>354</v>
      </c>
      <c r="H2145" s="37"/>
      <c r="I2145" s="37" t="s">
        <v>355</v>
      </c>
      <c r="J2145" s="37" t="s">
        <v>1687</v>
      </c>
      <c r="K2145" s="45" t="n">
        <v>52.9</v>
      </c>
      <c r="L2145" s="46" t="n">
        <v>3756.29</v>
      </c>
    </row>
    <row r="2146" customFormat="false" ht="15" hidden="false" customHeight="false" outlineLevel="0" collapsed="false">
      <c r="A2146" s="37" t="n">
        <v>500849</v>
      </c>
      <c r="B2146" s="37" t="s">
        <v>1686</v>
      </c>
      <c r="C2146" s="37" t="n">
        <v>202607</v>
      </c>
      <c r="D2146" s="37" t="s">
        <v>60</v>
      </c>
      <c r="E2146" s="37" t="s">
        <v>97</v>
      </c>
      <c r="F2146" s="37" t="s">
        <v>194</v>
      </c>
      <c r="G2146" s="37" t="s">
        <v>354</v>
      </c>
      <c r="H2146" s="37"/>
      <c r="I2146" s="37" t="s">
        <v>355</v>
      </c>
      <c r="J2146" s="37" t="s">
        <v>1687</v>
      </c>
      <c r="K2146" s="45" t="n">
        <v>156.2</v>
      </c>
      <c r="L2146" s="46" t="n">
        <v>14371.45</v>
      </c>
    </row>
    <row r="2147" customFormat="false" ht="15" hidden="false" customHeight="false" outlineLevel="0" collapsed="false">
      <c r="A2147" s="37" t="n">
        <v>501042</v>
      </c>
      <c r="B2147" s="37" t="s">
        <v>1686</v>
      </c>
      <c r="C2147" s="37" t="n">
        <v>202607</v>
      </c>
      <c r="D2147" s="37" t="s">
        <v>60</v>
      </c>
      <c r="E2147" s="37" t="s">
        <v>106</v>
      </c>
      <c r="F2147" s="37" t="s">
        <v>194</v>
      </c>
      <c r="G2147" s="37" t="s">
        <v>354</v>
      </c>
      <c r="H2147" s="37"/>
      <c r="I2147" s="37" t="s">
        <v>355</v>
      </c>
      <c r="J2147" s="37" t="s">
        <v>1687</v>
      </c>
      <c r="K2147" s="45" t="n">
        <v>321.3</v>
      </c>
      <c r="L2147" s="46" t="n">
        <v>22811.04</v>
      </c>
    </row>
    <row r="2148" customFormat="false" ht="15" hidden="false" customHeight="false" outlineLevel="0" collapsed="false">
      <c r="A2148" s="37" t="n">
        <v>501156</v>
      </c>
      <c r="B2148" s="37" t="s">
        <v>1686</v>
      </c>
      <c r="C2148" s="37" t="n">
        <v>202607</v>
      </c>
      <c r="D2148" s="37" t="s">
        <v>61</v>
      </c>
      <c r="E2148" s="37" t="s">
        <v>97</v>
      </c>
      <c r="F2148" s="37" t="s">
        <v>194</v>
      </c>
      <c r="G2148" s="37" t="s">
        <v>354</v>
      </c>
      <c r="H2148" s="37"/>
      <c r="I2148" s="37" t="s">
        <v>355</v>
      </c>
      <c r="J2148" s="37" t="s">
        <v>1687</v>
      </c>
      <c r="K2148" s="45" t="n">
        <v>90.9</v>
      </c>
      <c r="L2148" s="46" t="n">
        <v>8360.16</v>
      </c>
    </row>
    <row r="2149" customFormat="false" ht="15" hidden="false" customHeight="false" outlineLevel="0" collapsed="false">
      <c r="A2149" s="37" t="n">
        <v>501316</v>
      </c>
      <c r="B2149" s="37" t="s">
        <v>1686</v>
      </c>
      <c r="C2149" s="37" t="n">
        <v>202607</v>
      </c>
      <c r="D2149" s="37" t="s">
        <v>61</v>
      </c>
      <c r="E2149" s="37" t="s">
        <v>106</v>
      </c>
      <c r="F2149" s="37" t="s">
        <v>194</v>
      </c>
      <c r="G2149" s="37" t="s">
        <v>354</v>
      </c>
      <c r="H2149" s="37"/>
      <c r="I2149" s="37" t="s">
        <v>355</v>
      </c>
      <c r="J2149" s="37" t="s">
        <v>1687</v>
      </c>
      <c r="K2149" s="45" t="n">
        <v>10.5</v>
      </c>
      <c r="L2149" s="46" t="n">
        <v>748.48</v>
      </c>
    </row>
    <row r="2150" customFormat="false" ht="15" hidden="false" customHeight="false" outlineLevel="0" collapsed="false">
      <c r="A2150" s="37" t="n">
        <v>501417</v>
      </c>
      <c r="B2150" s="37" t="s">
        <v>1686</v>
      </c>
      <c r="C2150" s="37" t="n">
        <v>202607</v>
      </c>
      <c r="D2150" s="37" t="s">
        <v>62</v>
      </c>
      <c r="E2150" s="37" t="s">
        <v>97</v>
      </c>
      <c r="F2150" s="37" t="s">
        <v>194</v>
      </c>
      <c r="G2150" s="37" t="s">
        <v>354</v>
      </c>
      <c r="H2150" s="37"/>
      <c r="I2150" s="37" t="s">
        <v>355</v>
      </c>
      <c r="J2150" s="37" t="s">
        <v>1687</v>
      </c>
      <c r="K2150" s="45" t="n">
        <v>505.1</v>
      </c>
      <c r="L2150" s="46" t="n">
        <v>46470.43</v>
      </c>
    </row>
    <row r="2151" customFormat="false" ht="15" hidden="false" customHeight="false" outlineLevel="0" collapsed="false">
      <c r="A2151" s="37" t="n">
        <v>501583</v>
      </c>
      <c r="B2151" s="37" t="s">
        <v>1686</v>
      </c>
      <c r="C2151" s="37" t="n">
        <v>202607</v>
      </c>
      <c r="D2151" s="37" t="s">
        <v>62</v>
      </c>
      <c r="E2151" s="37" t="s">
        <v>106</v>
      </c>
      <c r="F2151" s="37" t="s">
        <v>194</v>
      </c>
      <c r="G2151" s="37" t="s">
        <v>354</v>
      </c>
      <c r="H2151" s="37"/>
      <c r="I2151" s="37" t="s">
        <v>355</v>
      </c>
      <c r="J2151" s="37" t="s">
        <v>1687</v>
      </c>
      <c r="K2151" s="45" t="n">
        <v>544.3</v>
      </c>
      <c r="L2151" s="46" t="n">
        <v>38647.97</v>
      </c>
    </row>
    <row r="2152" customFormat="false" ht="15" hidden="false" customHeight="false" outlineLevel="0" collapsed="false">
      <c r="A2152" s="37" t="n">
        <v>501663</v>
      </c>
      <c r="B2152" s="37" t="s">
        <v>1686</v>
      </c>
      <c r="C2152" s="37" t="n">
        <v>202607</v>
      </c>
      <c r="D2152" s="37" t="s">
        <v>63</v>
      </c>
      <c r="E2152" s="37" t="s">
        <v>97</v>
      </c>
      <c r="F2152" s="37" t="s">
        <v>194</v>
      </c>
      <c r="G2152" s="37" t="s">
        <v>354</v>
      </c>
      <c r="H2152" s="37"/>
      <c r="I2152" s="37" t="s">
        <v>355</v>
      </c>
      <c r="J2152" s="37" t="s">
        <v>1687</v>
      </c>
      <c r="K2152" s="45" t="n">
        <v>49.5</v>
      </c>
      <c r="L2152" s="46" t="n">
        <v>4550.26</v>
      </c>
    </row>
    <row r="2153" customFormat="false" ht="15" hidden="false" customHeight="false" outlineLevel="0" collapsed="false">
      <c r="A2153" s="37" t="n">
        <v>501813</v>
      </c>
      <c r="B2153" s="37" t="s">
        <v>1686</v>
      </c>
      <c r="C2153" s="37" t="n">
        <v>202607</v>
      </c>
      <c r="D2153" s="37" t="s">
        <v>63</v>
      </c>
      <c r="E2153" s="37" t="s">
        <v>106</v>
      </c>
      <c r="F2153" s="37" t="s">
        <v>194</v>
      </c>
      <c r="G2153" s="37" t="s">
        <v>354</v>
      </c>
      <c r="H2153" s="37"/>
      <c r="I2153" s="37" t="s">
        <v>355</v>
      </c>
      <c r="J2153" s="37" t="s">
        <v>1687</v>
      </c>
      <c r="K2153" s="45" t="n">
        <v>63.2</v>
      </c>
      <c r="L2153" s="46" t="n">
        <v>4489.44</v>
      </c>
    </row>
    <row r="2154" customFormat="false" ht="15" hidden="false" customHeight="false" outlineLevel="0" collapsed="false">
      <c r="A2154" s="37" t="n">
        <v>501897</v>
      </c>
      <c r="B2154" s="37" t="s">
        <v>1686</v>
      </c>
      <c r="C2154" s="37" t="n">
        <v>202607</v>
      </c>
      <c r="D2154" s="37" t="s">
        <v>64</v>
      </c>
      <c r="E2154" s="37" t="s">
        <v>97</v>
      </c>
      <c r="F2154" s="37" t="s">
        <v>194</v>
      </c>
      <c r="G2154" s="37" t="s">
        <v>354</v>
      </c>
      <c r="H2154" s="37"/>
      <c r="I2154" s="37" t="s">
        <v>355</v>
      </c>
      <c r="J2154" s="37" t="s">
        <v>1687</v>
      </c>
      <c r="K2154" s="45" t="n">
        <v>46</v>
      </c>
      <c r="L2154" s="46" t="n">
        <v>4228.33</v>
      </c>
    </row>
    <row r="2155" customFormat="false" ht="15" hidden="false" customHeight="false" outlineLevel="0" collapsed="false">
      <c r="A2155" s="37" t="n">
        <v>502042</v>
      </c>
      <c r="B2155" s="37" t="s">
        <v>1686</v>
      </c>
      <c r="C2155" s="37" t="n">
        <v>202607</v>
      </c>
      <c r="D2155" s="37" t="s">
        <v>64</v>
      </c>
      <c r="E2155" s="37" t="s">
        <v>106</v>
      </c>
      <c r="F2155" s="37" t="s">
        <v>194</v>
      </c>
      <c r="G2155" s="37" t="s">
        <v>354</v>
      </c>
      <c r="H2155" s="37"/>
      <c r="I2155" s="37" t="s">
        <v>355</v>
      </c>
      <c r="J2155" s="37" t="s">
        <v>1687</v>
      </c>
      <c r="K2155" s="45" t="n">
        <v>479.6</v>
      </c>
      <c r="L2155" s="46" t="n">
        <v>34054.55</v>
      </c>
    </row>
    <row r="2156" customFormat="false" ht="15" hidden="false" customHeight="false" outlineLevel="0" collapsed="false">
      <c r="A2156" s="37" t="n">
        <v>502113</v>
      </c>
      <c r="B2156" s="37" t="s">
        <v>1686</v>
      </c>
      <c r="C2156" s="37" t="n">
        <v>202607</v>
      </c>
      <c r="D2156" s="37" t="s">
        <v>65</v>
      </c>
      <c r="E2156" s="37" t="s">
        <v>97</v>
      </c>
      <c r="F2156" s="37" t="s">
        <v>194</v>
      </c>
      <c r="G2156" s="37" t="s">
        <v>354</v>
      </c>
      <c r="H2156" s="37"/>
      <c r="I2156" s="37" t="s">
        <v>355</v>
      </c>
      <c r="J2156" s="37" t="s">
        <v>1687</v>
      </c>
      <c r="K2156" s="45" t="n">
        <v>390.2</v>
      </c>
      <c r="L2156" s="46" t="n">
        <v>35897.27</v>
      </c>
    </row>
    <row r="2157" customFormat="false" ht="15" hidden="false" customHeight="false" outlineLevel="0" collapsed="false">
      <c r="A2157" s="37" t="n">
        <v>502234</v>
      </c>
      <c r="B2157" s="37" t="s">
        <v>1686</v>
      </c>
      <c r="C2157" s="37" t="n">
        <v>202607</v>
      </c>
      <c r="D2157" s="37" t="s">
        <v>65</v>
      </c>
      <c r="E2157" s="37" t="s">
        <v>106</v>
      </c>
      <c r="F2157" s="37" t="s">
        <v>194</v>
      </c>
      <c r="G2157" s="37" t="s">
        <v>354</v>
      </c>
      <c r="H2157" s="37"/>
      <c r="I2157" s="37" t="s">
        <v>355</v>
      </c>
      <c r="J2157" s="37" t="s">
        <v>1687</v>
      </c>
      <c r="K2157" s="45" t="n">
        <v>77.5</v>
      </c>
      <c r="L2157" s="46" t="n">
        <v>5499.13</v>
      </c>
    </row>
    <row r="2158" customFormat="false" ht="15" hidden="false" customHeight="false" outlineLevel="0" collapsed="false">
      <c r="A2158" s="37" t="n">
        <v>502296</v>
      </c>
      <c r="B2158" s="37" t="s">
        <v>1686</v>
      </c>
      <c r="C2158" s="37" t="n">
        <v>202607</v>
      </c>
      <c r="D2158" s="37" t="s">
        <v>66</v>
      </c>
      <c r="E2158" s="37" t="s">
        <v>97</v>
      </c>
      <c r="F2158" s="37" t="s">
        <v>194</v>
      </c>
      <c r="G2158" s="37" t="s">
        <v>354</v>
      </c>
      <c r="H2158" s="37"/>
      <c r="I2158" s="37" t="s">
        <v>355</v>
      </c>
      <c r="J2158" s="37" t="s">
        <v>1687</v>
      </c>
      <c r="K2158" s="45" t="n">
        <v>243.7</v>
      </c>
      <c r="L2158" s="46" t="n">
        <v>22417.89</v>
      </c>
    </row>
    <row r="2159" customFormat="false" ht="15" hidden="false" customHeight="false" outlineLevel="0" collapsed="false">
      <c r="A2159" s="37" t="n">
        <v>502361</v>
      </c>
      <c r="B2159" s="37" t="s">
        <v>1686</v>
      </c>
      <c r="C2159" s="37" t="n">
        <v>202607</v>
      </c>
      <c r="D2159" s="37" t="s">
        <v>66</v>
      </c>
      <c r="E2159" s="37" t="s">
        <v>101</v>
      </c>
      <c r="F2159" s="37" t="s">
        <v>194</v>
      </c>
      <c r="G2159" s="37" t="s">
        <v>354</v>
      </c>
      <c r="H2159" s="37"/>
      <c r="I2159" s="37" t="s">
        <v>355</v>
      </c>
      <c r="J2159" s="37" t="s">
        <v>1687</v>
      </c>
      <c r="K2159" s="45" t="n">
        <v>635.4</v>
      </c>
      <c r="L2159" s="46" t="n">
        <v>47019.1</v>
      </c>
    </row>
    <row r="2160" customFormat="false" ht="15" hidden="false" customHeight="false" outlineLevel="0" collapsed="false">
      <c r="A2160" s="37" t="n">
        <v>502439</v>
      </c>
      <c r="B2160" s="37" t="s">
        <v>1686</v>
      </c>
      <c r="C2160" s="37" t="n">
        <v>202607</v>
      </c>
      <c r="D2160" s="37" t="s">
        <v>67</v>
      </c>
      <c r="E2160" s="37" t="s">
        <v>97</v>
      </c>
      <c r="F2160" s="37" t="s">
        <v>194</v>
      </c>
      <c r="G2160" s="37" t="s">
        <v>354</v>
      </c>
      <c r="H2160" s="37"/>
      <c r="I2160" s="37" t="s">
        <v>355</v>
      </c>
      <c r="J2160" s="37" t="s">
        <v>1687</v>
      </c>
      <c r="K2160" s="45" t="n">
        <v>125.8</v>
      </c>
      <c r="L2160" s="46" t="n">
        <v>11575.18</v>
      </c>
    </row>
    <row r="2161" customFormat="false" ht="15" hidden="false" customHeight="false" outlineLevel="0" collapsed="false">
      <c r="A2161" s="37" t="n">
        <v>502460</v>
      </c>
      <c r="B2161" s="37" t="s">
        <v>1686</v>
      </c>
      <c r="C2161" s="37" t="n">
        <v>202607</v>
      </c>
      <c r="D2161" s="37" t="s">
        <v>67</v>
      </c>
      <c r="E2161" s="37" t="s">
        <v>98</v>
      </c>
      <c r="F2161" s="37" t="s">
        <v>196</v>
      </c>
      <c r="G2161" s="37" t="s">
        <v>358</v>
      </c>
      <c r="H2161" s="37" t="s">
        <v>359</v>
      </c>
      <c r="I2161" s="37" t="s">
        <v>360</v>
      </c>
      <c r="J2161" s="37" t="s">
        <v>1688</v>
      </c>
      <c r="K2161" s="45" t="n">
        <v>0</v>
      </c>
      <c r="L2161" s="46" t="n">
        <v>8633.44</v>
      </c>
    </row>
    <row r="2162" customFormat="false" ht="15" hidden="false" customHeight="false" outlineLevel="0" collapsed="false">
      <c r="A2162" s="37" t="n">
        <v>502493</v>
      </c>
      <c r="B2162" s="37" t="s">
        <v>1686</v>
      </c>
      <c r="C2162" s="37" t="n">
        <v>202607</v>
      </c>
      <c r="D2162" s="37" t="s">
        <v>67</v>
      </c>
      <c r="E2162" s="37" t="s">
        <v>101</v>
      </c>
      <c r="F2162" s="37" t="s">
        <v>194</v>
      </c>
      <c r="G2162" s="37" t="s">
        <v>354</v>
      </c>
      <c r="H2162" s="37"/>
      <c r="I2162" s="37" t="s">
        <v>355</v>
      </c>
      <c r="J2162" s="37" t="s">
        <v>1687</v>
      </c>
      <c r="K2162" s="45" t="n">
        <v>477.6</v>
      </c>
      <c r="L2162" s="46" t="n">
        <v>35345.77</v>
      </c>
    </row>
    <row r="2163" customFormat="false" ht="15" hidden="false" customHeight="false" outlineLevel="0" collapsed="false">
      <c r="A2163" s="37" t="n">
        <v>502555</v>
      </c>
      <c r="B2163" s="37" t="s">
        <v>1686</v>
      </c>
      <c r="C2163" s="37" t="n">
        <v>202607</v>
      </c>
      <c r="D2163" s="37" t="s">
        <v>68</v>
      </c>
      <c r="E2163" s="37" t="s">
        <v>97</v>
      </c>
      <c r="F2163" s="37" t="s">
        <v>194</v>
      </c>
      <c r="G2163" s="37" t="s">
        <v>354</v>
      </c>
      <c r="H2163" s="37"/>
      <c r="I2163" s="37" t="s">
        <v>355</v>
      </c>
      <c r="J2163" s="37" t="s">
        <v>1687</v>
      </c>
      <c r="K2163" s="45" t="n">
        <v>50.1</v>
      </c>
      <c r="L2163" s="46" t="n">
        <v>4610.18</v>
      </c>
    </row>
    <row r="2164" customFormat="false" ht="15" hidden="false" customHeight="false" outlineLevel="0" collapsed="false">
      <c r="A2164" s="37" t="n">
        <v>502592</v>
      </c>
      <c r="B2164" s="37" t="s">
        <v>1686</v>
      </c>
      <c r="C2164" s="37" t="n">
        <v>202607</v>
      </c>
      <c r="D2164" s="37" t="s">
        <v>68</v>
      </c>
      <c r="E2164" s="37" t="s">
        <v>101</v>
      </c>
      <c r="F2164" s="37" t="s">
        <v>194</v>
      </c>
      <c r="G2164" s="37" t="s">
        <v>354</v>
      </c>
      <c r="H2164" s="37"/>
      <c r="I2164" s="37" t="s">
        <v>355</v>
      </c>
      <c r="J2164" s="37" t="s">
        <v>1687</v>
      </c>
      <c r="K2164" s="45" t="n">
        <v>453.1</v>
      </c>
      <c r="L2164" s="46" t="n">
        <v>33530.93</v>
      </c>
    </row>
    <row r="2165" customFormat="false" ht="15" hidden="false" customHeight="false" outlineLevel="0" collapsed="false">
      <c r="A2165" s="37" t="n">
        <v>502634</v>
      </c>
      <c r="B2165" s="37" t="s">
        <v>1686</v>
      </c>
      <c r="C2165" s="37" t="n">
        <v>202607</v>
      </c>
      <c r="D2165" s="37" t="s">
        <v>69</v>
      </c>
      <c r="E2165" s="37" t="s">
        <v>97</v>
      </c>
      <c r="F2165" s="37" t="s">
        <v>194</v>
      </c>
      <c r="G2165" s="37" t="s">
        <v>354</v>
      </c>
      <c r="H2165" s="37"/>
      <c r="I2165" s="37" t="s">
        <v>355</v>
      </c>
      <c r="J2165" s="37" t="s">
        <v>1687</v>
      </c>
      <c r="K2165" s="45" t="n">
        <v>24.1</v>
      </c>
      <c r="L2165" s="46" t="n">
        <v>2219.56</v>
      </c>
    </row>
    <row r="2166" customFormat="false" ht="15" hidden="false" customHeight="false" outlineLevel="0" collapsed="false">
      <c r="A2166" s="37" t="n">
        <v>502644</v>
      </c>
      <c r="B2166" s="37" t="s">
        <v>1686</v>
      </c>
      <c r="C2166" s="37" t="n">
        <v>202607</v>
      </c>
      <c r="D2166" s="37" t="s">
        <v>69</v>
      </c>
      <c r="E2166" s="37" t="s">
        <v>98</v>
      </c>
      <c r="F2166" s="37" t="s">
        <v>196</v>
      </c>
      <c r="G2166" s="37" t="s">
        <v>358</v>
      </c>
      <c r="H2166" s="37" t="s">
        <v>359</v>
      </c>
      <c r="I2166" s="37" t="s">
        <v>360</v>
      </c>
      <c r="J2166" s="37" t="s">
        <v>1689</v>
      </c>
      <c r="K2166" s="45" t="n">
        <v>0</v>
      </c>
      <c r="L2166" s="46" t="n">
        <v>1201.7</v>
      </c>
    </row>
    <row r="2167" customFormat="false" ht="15" hidden="false" customHeight="false" outlineLevel="0" collapsed="false">
      <c r="A2167" s="37" t="n">
        <v>500409</v>
      </c>
      <c r="B2167" s="37" t="s">
        <v>1690</v>
      </c>
      <c r="C2167" s="37" t="n">
        <v>202607</v>
      </c>
      <c r="D2167" s="37" t="s">
        <v>58</v>
      </c>
      <c r="E2167" s="37" t="s">
        <v>109</v>
      </c>
      <c r="F2167" s="37" t="s">
        <v>201</v>
      </c>
      <c r="G2167" s="37" t="s">
        <v>358</v>
      </c>
      <c r="H2167" s="37" t="s">
        <v>928</v>
      </c>
      <c r="I2167" s="37" t="s">
        <v>929</v>
      </c>
      <c r="J2167" s="37" t="s">
        <v>1691</v>
      </c>
      <c r="K2167" s="45" t="n">
        <v>0</v>
      </c>
      <c r="L2167" s="46" t="n">
        <v>22565.27</v>
      </c>
    </row>
    <row r="2168" customFormat="false" ht="15" hidden="false" customHeight="false" outlineLevel="0" collapsed="false">
      <c r="A2168" s="37" t="n">
        <v>500427</v>
      </c>
      <c r="B2168" s="37" t="s">
        <v>1690</v>
      </c>
      <c r="C2168" s="37" t="n">
        <v>202607</v>
      </c>
      <c r="D2168" s="37" t="s">
        <v>58</v>
      </c>
      <c r="E2168" s="37" t="s">
        <v>110</v>
      </c>
      <c r="F2168" s="37" t="s">
        <v>201</v>
      </c>
      <c r="G2168" s="37" t="s">
        <v>358</v>
      </c>
      <c r="H2168" s="37" t="s">
        <v>547</v>
      </c>
      <c r="I2168" s="37" t="s">
        <v>548</v>
      </c>
      <c r="J2168" s="37" t="s">
        <v>1691</v>
      </c>
      <c r="K2168" s="45" t="n">
        <v>0</v>
      </c>
      <c r="L2168" s="46" t="n">
        <v>42066.53</v>
      </c>
    </row>
    <row r="2169" customFormat="false" ht="15" hidden="false" customHeight="false" outlineLevel="0" collapsed="false">
      <c r="A2169" s="37" t="n">
        <v>500446</v>
      </c>
      <c r="B2169" s="37" t="s">
        <v>1690</v>
      </c>
      <c r="C2169" s="37" t="n">
        <v>202607</v>
      </c>
      <c r="D2169" s="37" t="s">
        <v>58</v>
      </c>
      <c r="E2169" s="37" t="s">
        <v>111</v>
      </c>
      <c r="F2169" s="37" t="s">
        <v>201</v>
      </c>
      <c r="G2169" s="37" t="s">
        <v>358</v>
      </c>
      <c r="H2169" s="37" t="s">
        <v>549</v>
      </c>
      <c r="I2169" s="37" t="s">
        <v>550</v>
      </c>
      <c r="J2169" s="37" t="s">
        <v>1691</v>
      </c>
      <c r="K2169" s="45" t="n">
        <v>0</v>
      </c>
      <c r="L2169" s="46" t="n">
        <v>27268.08</v>
      </c>
    </row>
    <row r="2170" customFormat="false" ht="15" hidden="false" customHeight="false" outlineLevel="0" collapsed="false">
      <c r="A2170" s="37" t="n">
        <v>500756</v>
      </c>
      <c r="B2170" s="37" t="s">
        <v>1690</v>
      </c>
      <c r="C2170" s="37" t="n">
        <v>202607</v>
      </c>
      <c r="D2170" s="37" t="s">
        <v>59</v>
      </c>
      <c r="E2170" s="37" t="s">
        <v>109</v>
      </c>
      <c r="F2170" s="37" t="s">
        <v>201</v>
      </c>
      <c r="G2170" s="37" t="s">
        <v>358</v>
      </c>
      <c r="H2170" s="37" t="s">
        <v>1433</v>
      </c>
      <c r="I2170" s="37" t="s">
        <v>929</v>
      </c>
      <c r="J2170" s="37" t="s">
        <v>1691</v>
      </c>
      <c r="K2170" s="45" t="n">
        <v>0</v>
      </c>
      <c r="L2170" s="46" t="n">
        <v>167207.06</v>
      </c>
    </row>
    <row r="2171" customFormat="false" ht="15" hidden="false" customHeight="false" outlineLevel="0" collapsed="false">
      <c r="A2171" s="37" t="n">
        <v>500769</v>
      </c>
      <c r="B2171" s="37" t="s">
        <v>1690</v>
      </c>
      <c r="C2171" s="37" t="n">
        <v>202607</v>
      </c>
      <c r="D2171" s="37" t="s">
        <v>59</v>
      </c>
      <c r="E2171" s="37" t="s">
        <v>110</v>
      </c>
      <c r="F2171" s="37" t="s">
        <v>201</v>
      </c>
      <c r="G2171" s="37" t="s">
        <v>358</v>
      </c>
      <c r="H2171" s="37" t="s">
        <v>849</v>
      </c>
      <c r="I2171" s="37" t="s">
        <v>850</v>
      </c>
      <c r="J2171" s="37" t="s">
        <v>1691</v>
      </c>
      <c r="K2171" s="45" t="n">
        <v>0</v>
      </c>
      <c r="L2171" s="46" t="n">
        <v>183378.71</v>
      </c>
    </row>
    <row r="2172" customFormat="false" ht="15" hidden="false" customHeight="false" outlineLevel="0" collapsed="false">
      <c r="A2172" s="37" t="n">
        <v>500782</v>
      </c>
      <c r="B2172" s="37" t="s">
        <v>1690</v>
      </c>
      <c r="C2172" s="37" t="n">
        <v>202607</v>
      </c>
      <c r="D2172" s="37" t="s">
        <v>59</v>
      </c>
      <c r="E2172" s="37" t="s">
        <v>111</v>
      </c>
      <c r="F2172" s="37" t="s">
        <v>201</v>
      </c>
      <c r="G2172" s="37" t="s">
        <v>358</v>
      </c>
      <c r="H2172" s="37" t="s">
        <v>851</v>
      </c>
      <c r="I2172" s="37" t="s">
        <v>852</v>
      </c>
      <c r="J2172" s="37" t="s">
        <v>1691</v>
      </c>
      <c r="K2172" s="45" t="n">
        <v>0</v>
      </c>
      <c r="L2172" s="46" t="n">
        <v>255705.39</v>
      </c>
    </row>
    <row r="2173" customFormat="false" ht="15" hidden="false" customHeight="false" outlineLevel="0" collapsed="false">
      <c r="A2173" s="37" t="n">
        <v>501057</v>
      </c>
      <c r="B2173" s="37" t="s">
        <v>1690</v>
      </c>
      <c r="C2173" s="37" t="n">
        <v>202607</v>
      </c>
      <c r="D2173" s="37" t="s">
        <v>60</v>
      </c>
      <c r="E2173" s="37" t="s">
        <v>107</v>
      </c>
      <c r="F2173" s="37" t="s">
        <v>201</v>
      </c>
      <c r="G2173" s="37" t="s">
        <v>358</v>
      </c>
      <c r="H2173" s="37" t="s">
        <v>1253</v>
      </c>
      <c r="I2173" s="37" t="s">
        <v>1254</v>
      </c>
      <c r="J2173" s="37" t="s">
        <v>1691</v>
      </c>
      <c r="K2173" s="45" t="n">
        <v>0</v>
      </c>
      <c r="L2173" s="46" t="n">
        <v>69979.07</v>
      </c>
    </row>
    <row r="2174" customFormat="false" ht="15" hidden="false" customHeight="false" outlineLevel="0" collapsed="false">
      <c r="A2174" s="37" t="n">
        <v>501072</v>
      </c>
      <c r="B2174" s="37" t="s">
        <v>1690</v>
      </c>
      <c r="C2174" s="37" t="n">
        <v>202607</v>
      </c>
      <c r="D2174" s="37" t="s">
        <v>60</v>
      </c>
      <c r="E2174" s="37" t="s">
        <v>109</v>
      </c>
      <c r="F2174" s="37" t="s">
        <v>201</v>
      </c>
      <c r="G2174" s="37" t="s">
        <v>358</v>
      </c>
      <c r="H2174" s="37" t="s">
        <v>1527</v>
      </c>
      <c r="I2174" s="37" t="s">
        <v>1436</v>
      </c>
      <c r="J2174" s="37" t="s">
        <v>1691</v>
      </c>
      <c r="K2174" s="45" t="n">
        <v>0</v>
      </c>
      <c r="L2174" s="46" t="n">
        <v>258002.99</v>
      </c>
    </row>
    <row r="2175" customFormat="false" ht="15" hidden="false" customHeight="false" outlineLevel="0" collapsed="false">
      <c r="A2175" s="37" t="n">
        <v>501083</v>
      </c>
      <c r="B2175" s="37" t="s">
        <v>1690</v>
      </c>
      <c r="C2175" s="37" t="n">
        <v>202607</v>
      </c>
      <c r="D2175" s="37" t="s">
        <v>60</v>
      </c>
      <c r="E2175" s="37" t="s">
        <v>110</v>
      </c>
      <c r="F2175" s="37" t="s">
        <v>201</v>
      </c>
      <c r="G2175" s="37" t="s">
        <v>358</v>
      </c>
      <c r="H2175" s="37" t="s">
        <v>1010</v>
      </c>
      <c r="I2175" s="37" t="s">
        <v>548</v>
      </c>
      <c r="J2175" s="37" t="s">
        <v>1691</v>
      </c>
      <c r="K2175" s="45" t="n">
        <v>0</v>
      </c>
      <c r="L2175" s="46" t="n">
        <v>230066.44</v>
      </c>
    </row>
    <row r="2176" customFormat="false" ht="15" hidden="false" customHeight="false" outlineLevel="0" collapsed="false">
      <c r="A2176" s="37" t="n">
        <v>501094</v>
      </c>
      <c r="B2176" s="37" t="s">
        <v>1690</v>
      </c>
      <c r="C2176" s="37" t="n">
        <v>202607</v>
      </c>
      <c r="D2176" s="37" t="s">
        <v>60</v>
      </c>
      <c r="E2176" s="37" t="s">
        <v>111</v>
      </c>
      <c r="F2176" s="37" t="s">
        <v>201</v>
      </c>
      <c r="G2176" s="37" t="s">
        <v>358</v>
      </c>
      <c r="H2176" s="37" t="s">
        <v>1011</v>
      </c>
      <c r="I2176" s="37" t="s">
        <v>1012</v>
      </c>
      <c r="J2176" s="37" t="s">
        <v>1691</v>
      </c>
      <c r="K2176" s="45" t="n">
        <v>0</v>
      </c>
      <c r="L2176" s="46" t="n">
        <v>176989.59</v>
      </c>
    </row>
    <row r="2177" customFormat="false" ht="15" hidden="false" customHeight="false" outlineLevel="0" collapsed="false">
      <c r="A2177" s="37" t="n">
        <v>501341</v>
      </c>
      <c r="B2177" s="37" t="s">
        <v>1690</v>
      </c>
      <c r="C2177" s="37" t="n">
        <v>202607</v>
      </c>
      <c r="D2177" s="37" t="s">
        <v>61</v>
      </c>
      <c r="E2177" s="37" t="s">
        <v>109</v>
      </c>
      <c r="F2177" s="37" t="s">
        <v>201</v>
      </c>
      <c r="G2177" s="37" t="s">
        <v>358</v>
      </c>
      <c r="H2177" s="37" t="s">
        <v>1435</v>
      </c>
      <c r="I2177" s="37" t="s">
        <v>1436</v>
      </c>
      <c r="J2177" s="37" t="s">
        <v>1691</v>
      </c>
      <c r="K2177" s="45" t="n">
        <v>0</v>
      </c>
      <c r="L2177" s="46" t="n">
        <v>73609.58</v>
      </c>
    </row>
    <row r="2178" customFormat="false" ht="15" hidden="false" customHeight="false" outlineLevel="0" collapsed="false">
      <c r="A2178" s="37" t="n">
        <v>501352</v>
      </c>
      <c r="B2178" s="37" t="s">
        <v>1690</v>
      </c>
      <c r="C2178" s="37" t="n">
        <v>202607</v>
      </c>
      <c r="D2178" s="37" t="s">
        <v>61</v>
      </c>
      <c r="E2178" s="37" t="s">
        <v>110</v>
      </c>
      <c r="F2178" s="37" t="s">
        <v>201</v>
      </c>
      <c r="G2178" s="37" t="s">
        <v>358</v>
      </c>
      <c r="H2178" s="37" t="s">
        <v>1014</v>
      </c>
      <c r="I2178" s="37" t="s">
        <v>1015</v>
      </c>
      <c r="J2178" s="37" t="s">
        <v>1691</v>
      </c>
      <c r="K2178" s="45" t="n">
        <v>0</v>
      </c>
      <c r="L2178" s="46" t="n">
        <v>110784.82</v>
      </c>
    </row>
    <row r="2179" customFormat="false" ht="15" hidden="false" customHeight="false" outlineLevel="0" collapsed="false">
      <c r="A2179" s="37" t="n">
        <v>501363</v>
      </c>
      <c r="B2179" s="37" t="s">
        <v>1690</v>
      </c>
      <c r="C2179" s="37" t="n">
        <v>202607</v>
      </c>
      <c r="D2179" s="37" t="s">
        <v>61</v>
      </c>
      <c r="E2179" s="37" t="s">
        <v>111</v>
      </c>
      <c r="F2179" s="37" t="s">
        <v>201</v>
      </c>
      <c r="G2179" s="37" t="s">
        <v>358</v>
      </c>
      <c r="H2179" s="37" t="s">
        <v>1016</v>
      </c>
      <c r="I2179" s="37" t="s">
        <v>1017</v>
      </c>
      <c r="J2179" s="37" t="s">
        <v>1691</v>
      </c>
      <c r="K2179" s="45" t="n">
        <v>0</v>
      </c>
      <c r="L2179" s="46" t="n">
        <v>127317.35</v>
      </c>
    </row>
    <row r="2180" customFormat="false" ht="15" hidden="false" customHeight="false" outlineLevel="0" collapsed="false">
      <c r="A2180" s="37" t="n">
        <v>501555</v>
      </c>
      <c r="B2180" s="37" t="s">
        <v>1690</v>
      </c>
      <c r="C2180" s="37" t="n">
        <v>202607</v>
      </c>
      <c r="D2180" s="37" t="s">
        <v>62</v>
      </c>
      <c r="E2180" s="37" t="s">
        <v>104</v>
      </c>
      <c r="F2180" s="37" t="s">
        <v>201</v>
      </c>
      <c r="G2180" s="37" t="s">
        <v>358</v>
      </c>
      <c r="H2180" s="37" t="s">
        <v>1339</v>
      </c>
      <c r="I2180" s="37" t="s">
        <v>1340</v>
      </c>
      <c r="J2180" s="37" t="s">
        <v>1691</v>
      </c>
      <c r="K2180" s="45" t="n">
        <v>0</v>
      </c>
      <c r="L2180" s="46" t="n">
        <v>178770.33</v>
      </c>
    </row>
    <row r="2181" customFormat="false" ht="15" hidden="false" customHeight="false" outlineLevel="0" collapsed="false">
      <c r="A2181" s="37" t="n">
        <v>501564</v>
      </c>
      <c r="B2181" s="37" t="s">
        <v>1690</v>
      </c>
      <c r="C2181" s="37" t="n">
        <v>202607</v>
      </c>
      <c r="D2181" s="37" t="s">
        <v>62</v>
      </c>
      <c r="E2181" s="37" t="s">
        <v>105</v>
      </c>
      <c r="F2181" s="37" t="s">
        <v>201</v>
      </c>
      <c r="G2181" s="37" t="s">
        <v>358</v>
      </c>
      <c r="H2181" s="37" t="s">
        <v>1178</v>
      </c>
      <c r="I2181" s="37" t="s">
        <v>1179</v>
      </c>
      <c r="J2181" s="37" t="s">
        <v>1691</v>
      </c>
      <c r="K2181" s="45" t="n">
        <v>0</v>
      </c>
      <c r="L2181" s="46" t="n">
        <v>173827.31</v>
      </c>
    </row>
    <row r="2182" customFormat="false" ht="15" hidden="false" customHeight="false" outlineLevel="0" collapsed="false">
      <c r="A2182" s="37" t="n">
        <v>501595</v>
      </c>
      <c r="B2182" s="37" t="s">
        <v>1690</v>
      </c>
      <c r="C2182" s="37" t="n">
        <v>202607</v>
      </c>
      <c r="D2182" s="37" t="s">
        <v>62</v>
      </c>
      <c r="E2182" s="37" t="s">
        <v>107</v>
      </c>
      <c r="F2182" s="37" t="s">
        <v>201</v>
      </c>
      <c r="G2182" s="37" t="s">
        <v>358</v>
      </c>
      <c r="H2182" s="37" t="s">
        <v>1529</v>
      </c>
      <c r="I2182" s="37" t="s">
        <v>1530</v>
      </c>
      <c r="J2182" s="37" t="s">
        <v>1691</v>
      </c>
      <c r="K2182" s="45" t="n">
        <v>0</v>
      </c>
      <c r="L2182" s="46" t="n">
        <v>346203.27</v>
      </c>
    </row>
    <row r="2183" customFormat="false" ht="15" hidden="false" customHeight="false" outlineLevel="0" collapsed="false">
      <c r="A2183" s="37" t="n">
        <v>501606</v>
      </c>
      <c r="B2183" s="37" t="s">
        <v>1690</v>
      </c>
      <c r="C2183" s="37" t="n">
        <v>202607</v>
      </c>
      <c r="D2183" s="37" t="s">
        <v>62</v>
      </c>
      <c r="E2183" s="37" t="s">
        <v>110</v>
      </c>
      <c r="F2183" s="37" t="s">
        <v>201</v>
      </c>
      <c r="G2183" s="37" t="s">
        <v>358</v>
      </c>
      <c r="H2183" s="37" t="s">
        <v>1257</v>
      </c>
      <c r="I2183" s="37" t="s">
        <v>548</v>
      </c>
      <c r="J2183" s="37" t="s">
        <v>1691</v>
      </c>
      <c r="K2183" s="45" t="n">
        <v>0</v>
      </c>
      <c r="L2183" s="46" t="n">
        <v>275523.97</v>
      </c>
    </row>
    <row r="2184" customFormat="false" ht="15" hidden="false" customHeight="false" outlineLevel="0" collapsed="false">
      <c r="A2184" s="37" t="n">
        <v>501614</v>
      </c>
      <c r="B2184" s="37" t="s">
        <v>1690</v>
      </c>
      <c r="C2184" s="37" t="n">
        <v>202607</v>
      </c>
      <c r="D2184" s="37" t="s">
        <v>62</v>
      </c>
      <c r="E2184" s="37" t="s">
        <v>111</v>
      </c>
      <c r="F2184" s="37" t="s">
        <v>201</v>
      </c>
      <c r="G2184" s="37" t="s">
        <v>358</v>
      </c>
      <c r="H2184" s="37" t="s">
        <v>1258</v>
      </c>
      <c r="I2184" s="37" t="s">
        <v>1259</v>
      </c>
      <c r="J2184" s="37" t="s">
        <v>1691</v>
      </c>
      <c r="K2184" s="45" t="n">
        <v>0</v>
      </c>
      <c r="L2184" s="46" t="n">
        <v>199970.82</v>
      </c>
    </row>
    <row r="2185" customFormat="false" ht="15" hidden="false" customHeight="false" outlineLevel="0" collapsed="false">
      <c r="A2185" s="37" t="n">
        <v>501823</v>
      </c>
      <c r="B2185" s="37" t="s">
        <v>1690</v>
      </c>
      <c r="C2185" s="37" t="n">
        <v>202607</v>
      </c>
      <c r="D2185" s="37" t="s">
        <v>63</v>
      </c>
      <c r="E2185" s="37" t="s">
        <v>107</v>
      </c>
      <c r="F2185" s="37" t="s">
        <v>201</v>
      </c>
      <c r="G2185" s="37" t="s">
        <v>358</v>
      </c>
      <c r="H2185" s="37" t="s">
        <v>1341</v>
      </c>
      <c r="I2185" s="37" t="s">
        <v>1096</v>
      </c>
      <c r="J2185" s="37" t="s">
        <v>1691</v>
      </c>
      <c r="K2185" s="45" t="n">
        <v>0</v>
      </c>
      <c r="L2185" s="46" t="n">
        <v>24023.74</v>
      </c>
    </row>
    <row r="2186" customFormat="false" ht="15" hidden="false" customHeight="false" outlineLevel="0" collapsed="false">
      <c r="A2186" s="37" t="n">
        <v>501834</v>
      </c>
      <c r="B2186" s="37" t="s">
        <v>1690</v>
      </c>
      <c r="C2186" s="37" t="n">
        <v>202607</v>
      </c>
      <c r="D2186" s="37" t="s">
        <v>63</v>
      </c>
      <c r="E2186" s="37" t="s">
        <v>109</v>
      </c>
      <c r="F2186" s="37" t="s">
        <v>201</v>
      </c>
      <c r="G2186" s="37" t="s">
        <v>358</v>
      </c>
      <c r="H2186" s="37" t="s">
        <v>1613</v>
      </c>
      <c r="I2186" s="37" t="s">
        <v>1614</v>
      </c>
      <c r="J2186" s="37" t="s">
        <v>1691</v>
      </c>
      <c r="K2186" s="45" t="n">
        <v>0</v>
      </c>
      <c r="L2186" s="46" t="n">
        <v>192225.69</v>
      </c>
    </row>
    <row r="2187" customFormat="false" ht="15" hidden="false" customHeight="false" outlineLevel="0" collapsed="false">
      <c r="A2187" s="37" t="n">
        <v>501843</v>
      </c>
      <c r="B2187" s="37" t="s">
        <v>1690</v>
      </c>
      <c r="C2187" s="37" t="n">
        <v>202607</v>
      </c>
      <c r="D2187" s="37" t="s">
        <v>63</v>
      </c>
      <c r="E2187" s="37" t="s">
        <v>110</v>
      </c>
      <c r="F2187" s="37" t="s">
        <v>201</v>
      </c>
      <c r="G2187" s="37" t="s">
        <v>358</v>
      </c>
      <c r="H2187" s="37" t="s">
        <v>1180</v>
      </c>
      <c r="I2187" s="37" t="s">
        <v>1181</v>
      </c>
      <c r="J2187" s="37" t="s">
        <v>1691</v>
      </c>
      <c r="K2187" s="45" t="n">
        <v>0</v>
      </c>
      <c r="L2187" s="46" t="n">
        <v>187468.78</v>
      </c>
    </row>
    <row r="2188" customFormat="false" ht="15" hidden="false" customHeight="false" outlineLevel="0" collapsed="false">
      <c r="A2188" s="37" t="n">
        <v>501852</v>
      </c>
      <c r="B2188" s="37" t="s">
        <v>1690</v>
      </c>
      <c r="C2188" s="37" t="n">
        <v>202607</v>
      </c>
      <c r="D2188" s="37" t="s">
        <v>63</v>
      </c>
      <c r="E2188" s="37" t="s">
        <v>111</v>
      </c>
      <c r="F2188" s="37" t="s">
        <v>201</v>
      </c>
      <c r="G2188" s="37" t="s">
        <v>358</v>
      </c>
      <c r="H2188" s="37" t="s">
        <v>1182</v>
      </c>
      <c r="I2188" s="37" t="s">
        <v>852</v>
      </c>
      <c r="J2188" s="37" t="s">
        <v>1691</v>
      </c>
      <c r="K2188" s="45" t="n">
        <v>0</v>
      </c>
      <c r="L2188" s="46" t="n">
        <v>169734.77</v>
      </c>
    </row>
    <row r="2189" customFormat="false" ht="15" hidden="false" customHeight="false" outlineLevel="0" collapsed="false">
      <c r="A2189" s="37" t="n">
        <v>502021</v>
      </c>
      <c r="B2189" s="37" t="s">
        <v>1690</v>
      </c>
      <c r="C2189" s="37" t="n">
        <v>202607</v>
      </c>
      <c r="D2189" s="37" t="s">
        <v>64</v>
      </c>
      <c r="E2189" s="37" t="s">
        <v>104</v>
      </c>
      <c r="F2189" s="37" t="s">
        <v>201</v>
      </c>
      <c r="G2189" s="37" t="s">
        <v>358</v>
      </c>
      <c r="H2189" s="37" t="s">
        <v>1439</v>
      </c>
      <c r="I2189" s="37" t="s">
        <v>1340</v>
      </c>
      <c r="J2189" s="37" t="s">
        <v>1691</v>
      </c>
      <c r="K2189" s="45" t="n">
        <v>0</v>
      </c>
      <c r="L2189" s="46" t="n">
        <v>255325.99</v>
      </c>
    </row>
    <row r="2190" customFormat="false" ht="15" hidden="false" customHeight="false" outlineLevel="0" collapsed="false">
      <c r="A2190" s="37" t="n">
        <v>502029</v>
      </c>
      <c r="B2190" s="37" t="s">
        <v>1690</v>
      </c>
      <c r="C2190" s="37" t="n">
        <v>202607</v>
      </c>
      <c r="D2190" s="37" t="s">
        <v>64</v>
      </c>
      <c r="E2190" s="37" t="s">
        <v>105</v>
      </c>
      <c r="F2190" s="37" t="s">
        <v>201</v>
      </c>
      <c r="G2190" s="37" t="s">
        <v>358</v>
      </c>
      <c r="H2190" s="37" t="s">
        <v>1262</v>
      </c>
      <c r="I2190" s="37" t="s">
        <v>796</v>
      </c>
      <c r="J2190" s="37" t="s">
        <v>1691</v>
      </c>
      <c r="K2190" s="45" t="n">
        <v>0</v>
      </c>
      <c r="L2190" s="46" t="n">
        <v>51077.09</v>
      </c>
    </row>
    <row r="2191" customFormat="false" ht="15" hidden="false" customHeight="false" outlineLevel="0" collapsed="false">
      <c r="A2191" s="37" t="n">
        <v>502053</v>
      </c>
      <c r="B2191" s="37" t="s">
        <v>1690</v>
      </c>
      <c r="C2191" s="37" t="n">
        <v>202607</v>
      </c>
      <c r="D2191" s="37" t="s">
        <v>64</v>
      </c>
      <c r="E2191" s="37" t="s">
        <v>107</v>
      </c>
      <c r="F2191" s="37" t="s">
        <v>201</v>
      </c>
      <c r="G2191" s="37" t="s">
        <v>358</v>
      </c>
      <c r="H2191" s="37" t="s">
        <v>1615</v>
      </c>
      <c r="I2191" s="37" t="s">
        <v>685</v>
      </c>
      <c r="J2191" s="37" t="s">
        <v>1691</v>
      </c>
      <c r="K2191" s="45" t="n">
        <v>0</v>
      </c>
      <c r="L2191" s="46" t="n">
        <v>178243.12</v>
      </c>
    </row>
    <row r="2192" customFormat="false" ht="15" hidden="false" customHeight="false" outlineLevel="0" collapsed="false">
      <c r="A2192" s="37" t="n">
        <v>502066</v>
      </c>
      <c r="B2192" s="37" t="s">
        <v>1690</v>
      </c>
      <c r="C2192" s="37" t="n">
        <v>202607</v>
      </c>
      <c r="D2192" s="37" t="s">
        <v>64</v>
      </c>
      <c r="E2192" s="37" t="s">
        <v>110</v>
      </c>
      <c r="F2192" s="37" t="s">
        <v>201</v>
      </c>
      <c r="G2192" s="37" t="s">
        <v>358</v>
      </c>
      <c r="H2192" s="37" t="s">
        <v>1342</v>
      </c>
      <c r="I2192" s="37" t="s">
        <v>1343</v>
      </c>
      <c r="J2192" s="37" t="s">
        <v>1691</v>
      </c>
      <c r="K2192" s="45" t="n">
        <v>0</v>
      </c>
      <c r="L2192" s="46" t="n">
        <v>223408</v>
      </c>
    </row>
    <row r="2193" customFormat="false" ht="15" hidden="false" customHeight="false" outlineLevel="0" collapsed="false">
      <c r="A2193" s="37" t="n">
        <v>502073</v>
      </c>
      <c r="B2193" s="37" t="s">
        <v>1690</v>
      </c>
      <c r="C2193" s="37" t="n">
        <v>202607</v>
      </c>
      <c r="D2193" s="37" t="s">
        <v>64</v>
      </c>
      <c r="E2193" s="37" t="s">
        <v>111</v>
      </c>
      <c r="F2193" s="37" t="s">
        <v>201</v>
      </c>
      <c r="G2193" s="37" t="s">
        <v>358</v>
      </c>
      <c r="H2193" s="37" t="s">
        <v>1344</v>
      </c>
      <c r="I2193" s="37" t="s">
        <v>1345</v>
      </c>
      <c r="J2193" s="37" t="s">
        <v>1691</v>
      </c>
      <c r="K2193" s="45" t="n">
        <v>0</v>
      </c>
      <c r="L2193" s="46" t="n">
        <v>122208.2</v>
      </c>
    </row>
    <row r="2194" customFormat="false" ht="15" hidden="false" customHeight="false" outlineLevel="0" collapsed="false">
      <c r="A2194" s="37" t="n">
        <v>502220</v>
      </c>
      <c r="B2194" s="37" t="s">
        <v>1690</v>
      </c>
      <c r="C2194" s="37" t="n">
        <v>202607</v>
      </c>
      <c r="D2194" s="37" t="s">
        <v>65</v>
      </c>
      <c r="E2194" s="37" t="s">
        <v>105</v>
      </c>
      <c r="F2194" s="37" t="s">
        <v>201</v>
      </c>
      <c r="G2194" s="37" t="s">
        <v>358</v>
      </c>
      <c r="H2194" s="37" t="s">
        <v>1346</v>
      </c>
      <c r="I2194" s="37" t="s">
        <v>934</v>
      </c>
      <c r="J2194" s="37" t="s">
        <v>1691</v>
      </c>
      <c r="K2194" s="45" t="n">
        <v>0</v>
      </c>
      <c r="L2194" s="46" t="n">
        <v>172858.49</v>
      </c>
    </row>
    <row r="2195" customFormat="false" ht="15" hidden="false" customHeight="false" outlineLevel="0" collapsed="false">
      <c r="A2195" s="37" t="n">
        <v>502245</v>
      </c>
      <c r="B2195" s="37" t="s">
        <v>1690</v>
      </c>
      <c r="C2195" s="37" t="n">
        <v>202607</v>
      </c>
      <c r="D2195" s="37" t="s">
        <v>65</v>
      </c>
      <c r="E2195" s="37" t="s">
        <v>107</v>
      </c>
      <c r="F2195" s="37" t="s">
        <v>201</v>
      </c>
      <c r="G2195" s="37" t="s">
        <v>358</v>
      </c>
      <c r="H2195" s="37" t="s">
        <v>1616</v>
      </c>
      <c r="I2195" s="37" t="s">
        <v>1096</v>
      </c>
      <c r="J2195" s="37" t="s">
        <v>1691</v>
      </c>
      <c r="K2195" s="45" t="n">
        <v>0</v>
      </c>
      <c r="L2195" s="46" t="n">
        <v>340901.87</v>
      </c>
    </row>
    <row r="2196" customFormat="false" ht="15" hidden="false" customHeight="false" outlineLevel="0" collapsed="false">
      <c r="A2196" s="37" t="n">
        <v>502257</v>
      </c>
      <c r="B2196" s="37" t="s">
        <v>1690</v>
      </c>
      <c r="C2196" s="37" t="n">
        <v>202607</v>
      </c>
      <c r="D2196" s="37" t="s">
        <v>65</v>
      </c>
      <c r="E2196" s="37" t="s">
        <v>110</v>
      </c>
      <c r="F2196" s="37" t="s">
        <v>201</v>
      </c>
      <c r="G2196" s="37" t="s">
        <v>358</v>
      </c>
      <c r="H2196" s="37" t="s">
        <v>1347</v>
      </c>
      <c r="I2196" s="37" t="s">
        <v>1181</v>
      </c>
      <c r="J2196" s="37" t="s">
        <v>1691</v>
      </c>
      <c r="K2196" s="45" t="n">
        <v>0</v>
      </c>
      <c r="L2196" s="46" t="n">
        <v>370646.76</v>
      </c>
    </row>
    <row r="2197" customFormat="false" ht="15" hidden="false" customHeight="false" outlineLevel="0" collapsed="false">
      <c r="A2197" s="37" t="n">
        <v>502264</v>
      </c>
      <c r="B2197" s="37" t="s">
        <v>1690</v>
      </c>
      <c r="C2197" s="37" t="n">
        <v>202607</v>
      </c>
      <c r="D2197" s="37" t="s">
        <v>65</v>
      </c>
      <c r="E2197" s="37" t="s">
        <v>111</v>
      </c>
      <c r="F2197" s="37" t="s">
        <v>201</v>
      </c>
      <c r="G2197" s="37" t="s">
        <v>358</v>
      </c>
      <c r="H2197" s="37" t="s">
        <v>1348</v>
      </c>
      <c r="I2197" s="37" t="s">
        <v>1017</v>
      </c>
      <c r="J2197" s="37" t="s">
        <v>1691</v>
      </c>
      <c r="K2197" s="45" t="n">
        <v>0</v>
      </c>
      <c r="L2197" s="46" t="n">
        <v>250358.74</v>
      </c>
    </row>
    <row r="2198" customFormat="false" ht="15" hidden="false" customHeight="false" outlineLevel="0" collapsed="false">
      <c r="A2198" s="37" t="n">
        <v>502406</v>
      </c>
      <c r="B2198" s="37" t="s">
        <v>1690</v>
      </c>
      <c r="C2198" s="37" t="n">
        <v>202607</v>
      </c>
      <c r="D2198" s="37" t="s">
        <v>66</v>
      </c>
      <c r="E2198" s="37" t="s">
        <v>105</v>
      </c>
      <c r="F2198" s="37" t="s">
        <v>201</v>
      </c>
      <c r="G2198" s="37" t="s">
        <v>358</v>
      </c>
      <c r="H2198" s="37" t="s">
        <v>1617</v>
      </c>
      <c r="I2198" s="37" t="s">
        <v>1101</v>
      </c>
      <c r="J2198" s="37" t="s">
        <v>1691</v>
      </c>
      <c r="K2198" s="45" t="n">
        <v>0</v>
      </c>
      <c r="L2198" s="46" t="n">
        <v>103965.66</v>
      </c>
    </row>
    <row r="2199" customFormat="false" ht="15" hidden="false" customHeight="false" outlineLevel="0" collapsed="false">
      <c r="A2199" s="37" t="n">
        <v>502413</v>
      </c>
      <c r="B2199" s="37" t="s">
        <v>1690</v>
      </c>
      <c r="C2199" s="37" t="n">
        <v>202607</v>
      </c>
      <c r="D2199" s="37" t="s">
        <v>66</v>
      </c>
      <c r="E2199" s="37" t="s">
        <v>110</v>
      </c>
      <c r="F2199" s="37" t="s">
        <v>201</v>
      </c>
      <c r="G2199" s="37" t="s">
        <v>358</v>
      </c>
      <c r="H2199" s="37" t="s">
        <v>1692</v>
      </c>
      <c r="I2199" s="37" t="s">
        <v>1181</v>
      </c>
      <c r="J2199" s="37" t="s">
        <v>1691</v>
      </c>
      <c r="K2199" s="45" t="n">
        <v>0</v>
      </c>
      <c r="L2199" s="46" t="n">
        <v>43373.94</v>
      </c>
    </row>
    <row r="2200" customFormat="false" ht="15" hidden="false" customHeight="false" outlineLevel="0" collapsed="false">
      <c r="A2200" s="37" t="n">
        <v>502416</v>
      </c>
      <c r="B2200" s="37" t="s">
        <v>1690</v>
      </c>
      <c r="C2200" s="37" t="n">
        <v>202607</v>
      </c>
      <c r="D2200" s="37" t="s">
        <v>66</v>
      </c>
      <c r="E2200" s="37" t="s">
        <v>111</v>
      </c>
      <c r="F2200" s="37" t="s">
        <v>201</v>
      </c>
      <c r="G2200" s="37" t="s">
        <v>358</v>
      </c>
      <c r="H2200" s="37" t="s">
        <v>1693</v>
      </c>
      <c r="I2200" s="37" t="s">
        <v>1012</v>
      </c>
      <c r="J2200" s="37" t="s">
        <v>1691</v>
      </c>
      <c r="K2200" s="45" t="n">
        <v>0</v>
      </c>
      <c r="L2200" s="46" t="n">
        <v>47329.71</v>
      </c>
    </row>
    <row r="2201" customFormat="false" ht="15" hidden="false" customHeight="false" outlineLevel="0" collapsed="false">
      <c r="A2201" s="37" t="n">
        <v>502530</v>
      </c>
      <c r="B2201" s="37" t="s">
        <v>1690</v>
      </c>
      <c r="C2201" s="37" t="n">
        <v>202607</v>
      </c>
      <c r="D2201" s="37" t="s">
        <v>67</v>
      </c>
      <c r="E2201" s="37" t="s">
        <v>105</v>
      </c>
      <c r="F2201" s="37" t="s">
        <v>201</v>
      </c>
      <c r="G2201" s="37" t="s">
        <v>358</v>
      </c>
      <c r="H2201" s="37" t="s">
        <v>1694</v>
      </c>
      <c r="I2201" s="37" t="s">
        <v>796</v>
      </c>
      <c r="J2201" s="37" t="s">
        <v>1691</v>
      </c>
      <c r="K2201" s="45" t="n">
        <v>0</v>
      </c>
      <c r="L2201" s="46" t="n">
        <v>167380.07</v>
      </c>
    </row>
    <row r="2202" customFormat="false" ht="15" hidden="false" customHeight="false" outlineLevel="0" collapsed="false">
      <c r="A2202" s="37" t="n">
        <v>502537</v>
      </c>
      <c r="B2202" s="37" t="s">
        <v>1690</v>
      </c>
      <c r="C2202" s="37" t="n">
        <v>202607</v>
      </c>
      <c r="D2202" s="37" t="s">
        <v>67</v>
      </c>
      <c r="E2202" s="37" t="s">
        <v>110</v>
      </c>
      <c r="F2202" s="37" t="s">
        <v>201</v>
      </c>
      <c r="G2202" s="37" t="s">
        <v>358</v>
      </c>
      <c r="H2202" s="37" t="s">
        <v>1695</v>
      </c>
      <c r="I2202" s="37" t="s">
        <v>1343</v>
      </c>
      <c r="J2202" s="37" t="s">
        <v>1691</v>
      </c>
      <c r="K2202" s="45" t="n">
        <v>0</v>
      </c>
      <c r="L2202" s="46" t="n">
        <v>11444.1</v>
      </c>
    </row>
    <row r="2203" customFormat="false" ht="15" hidden="false" customHeight="false" outlineLevel="0" collapsed="false">
      <c r="A2203" s="37" t="n">
        <v>502540</v>
      </c>
      <c r="B2203" s="37" t="s">
        <v>1690</v>
      </c>
      <c r="C2203" s="37" t="n">
        <v>202607</v>
      </c>
      <c r="D2203" s="37" t="s">
        <v>67</v>
      </c>
      <c r="E2203" s="37" t="s">
        <v>111</v>
      </c>
      <c r="F2203" s="37" t="s">
        <v>201</v>
      </c>
      <c r="G2203" s="37" t="s">
        <v>358</v>
      </c>
      <c r="H2203" s="37" t="s">
        <v>1696</v>
      </c>
      <c r="I2203" s="37" t="s">
        <v>550</v>
      </c>
      <c r="J2203" s="37" t="s">
        <v>1691</v>
      </c>
      <c r="K2203" s="45" t="n">
        <v>0</v>
      </c>
      <c r="L2203" s="46" t="n">
        <v>9955.35</v>
      </c>
    </row>
    <row r="2204" customFormat="false" ht="15" hidden="false" customHeight="false" outlineLevel="0" collapsed="false">
      <c r="A2204" s="37" t="n">
        <v>502582</v>
      </c>
      <c r="B2204" s="37" t="s">
        <v>1690</v>
      </c>
      <c r="C2204" s="37" t="n">
        <v>202607</v>
      </c>
      <c r="D2204" s="37" t="s">
        <v>68</v>
      </c>
      <c r="E2204" s="37" t="s">
        <v>100</v>
      </c>
      <c r="F2204" s="37" t="s">
        <v>201</v>
      </c>
      <c r="G2204" s="37" t="s">
        <v>358</v>
      </c>
      <c r="H2204" s="37" t="s">
        <v>1531</v>
      </c>
      <c r="I2204" s="37" t="s">
        <v>370</v>
      </c>
      <c r="J2204" s="37" t="s">
        <v>1691</v>
      </c>
      <c r="K2204" s="45" t="n">
        <v>0</v>
      </c>
      <c r="L2204" s="46" t="n">
        <v>89469.39</v>
      </c>
    </row>
    <row r="2205" customFormat="false" ht="15" hidden="false" customHeight="false" outlineLevel="0" collapsed="false">
      <c r="A2205" s="37" t="n">
        <v>502653</v>
      </c>
      <c r="B2205" s="37" t="s">
        <v>1690</v>
      </c>
      <c r="C2205" s="37" t="n">
        <v>202607</v>
      </c>
      <c r="D2205" s="37" t="s">
        <v>69</v>
      </c>
      <c r="E2205" s="37" t="s">
        <v>100</v>
      </c>
      <c r="F2205" s="37" t="s">
        <v>201</v>
      </c>
      <c r="G2205" s="37" t="s">
        <v>358</v>
      </c>
      <c r="H2205" s="37" t="s">
        <v>1697</v>
      </c>
      <c r="I2205" s="37" t="s">
        <v>854</v>
      </c>
      <c r="J2205" s="37" t="s">
        <v>1691</v>
      </c>
      <c r="K2205" s="45" t="n">
        <v>0</v>
      </c>
      <c r="L2205" s="46" t="n">
        <v>25762.74</v>
      </c>
    </row>
    <row r="2206" customFormat="false" ht="15" hidden="false" customHeight="false" outlineLevel="0" collapsed="false">
      <c r="A2206" s="37" t="n">
        <v>502382</v>
      </c>
      <c r="B2206" s="37" t="s">
        <v>1698</v>
      </c>
      <c r="C2206" s="37" t="n">
        <v>202607</v>
      </c>
      <c r="D2206" s="37" t="s">
        <v>66</v>
      </c>
      <c r="E2206" s="37" t="s">
        <v>102</v>
      </c>
      <c r="F2206" s="37" t="s">
        <v>205</v>
      </c>
      <c r="G2206" s="37" t="s">
        <v>358</v>
      </c>
      <c r="H2206" s="37" t="s">
        <v>1323</v>
      </c>
      <c r="I2206" s="37" t="s">
        <v>715</v>
      </c>
      <c r="J2206" s="37" t="s">
        <v>1699</v>
      </c>
      <c r="K2206" s="45" t="n">
        <v>0</v>
      </c>
      <c r="L2206" s="46" t="n">
        <v>84429.03</v>
      </c>
    </row>
    <row r="2207" customFormat="false" ht="15" hidden="false" customHeight="false" outlineLevel="0" collapsed="false">
      <c r="A2207" s="37" t="n">
        <v>502136</v>
      </c>
      <c r="B2207" s="37" t="s">
        <v>1700</v>
      </c>
      <c r="C2207" s="37" t="n">
        <v>202607</v>
      </c>
      <c r="D2207" s="37" t="s">
        <v>65</v>
      </c>
      <c r="E2207" s="37" t="s">
        <v>98</v>
      </c>
      <c r="F2207" s="37" t="s">
        <v>196</v>
      </c>
      <c r="G2207" s="37" t="s">
        <v>358</v>
      </c>
      <c r="H2207" s="37" t="s">
        <v>359</v>
      </c>
      <c r="I2207" s="37" t="s">
        <v>360</v>
      </c>
      <c r="J2207" s="37" t="s">
        <v>1701</v>
      </c>
      <c r="K2207" s="45" t="n">
        <v>0</v>
      </c>
      <c r="L2207" s="46" t="n">
        <v>55436.45</v>
      </c>
    </row>
    <row r="2208" customFormat="false" ht="15" hidden="false" customHeight="false" outlineLevel="0" collapsed="false">
      <c r="A2208" s="37" t="n">
        <v>502613</v>
      </c>
      <c r="B2208" s="37" t="s">
        <v>1700</v>
      </c>
      <c r="C2208" s="37" t="n">
        <v>202607</v>
      </c>
      <c r="D2208" s="37" t="s">
        <v>68</v>
      </c>
      <c r="E2208" s="37" t="s">
        <v>103</v>
      </c>
      <c r="F2208" s="37" t="s">
        <v>205</v>
      </c>
      <c r="G2208" s="37" t="s">
        <v>358</v>
      </c>
      <c r="H2208" s="37" t="s">
        <v>1596</v>
      </c>
      <c r="I2208" s="37" t="s">
        <v>898</v>
      </c>
      <c r="J2208" s="37" t="s">
        <v>1702</v>
      </c>
      <c r="K2208" s="45" t="n">
        <v>0</v>
      </c>
      <c r="L2208" s="46" t="n">
        <v>6828.77</v>
      </c>
    </row>
    <row r="2209" customFormat="false" ht="15" hidden="false" customHeight="false" outlineLevel="0" collapsed="false">
      <c r="A2209" s="37" t="n">
        <v>500113</v>
      </c>
      <c r="B2209" s="37" t="s">
        <v>1703</v>
      </c>
      <c r="C2209" s="37" t="n">
        <v>202607</v>
      </c>
      <c r="D2209" s="37" t="s">
        <v>58</v>
      </c>
      <c r="E2209" s="37" t="s">
        <v>97</v>
      </c>
      <c r="F2209" s="37" t="s">
        <v>194</v>
      </c>
      <c r="G2209" s="37" t="s">
        <v>354</v>
      </c>
      <c r="H2209" s="37"/>
      <c r="I2209" s="37" t="s">
        <v>355</v>
      </c>
      <c r="J2209" s="37" t="s">
        <v>1704</v>
      </c>
      <c r="K2209" s="45" t="n">
        <v>58.2</v>
      </c>
      <c r="L2209" s="46" t="n">
        <v>5353.6</v>
      </c>
    </row>
    <row r="2210" customFormat="false" ht="15" hidden="false" customHeight="false" outlineLevel="0" collapsed="false">
      <c r="A2210" s="37" t="n">
        <v>500521</v>
      </c>
      <c r="B2210" s="37" t="s">
        <v>1703</v>
      </c>
      <c r="C2210" s="37" t="n">
        <v>202607</v>
      </c>
      <c r="D2210" s="37" t="s">
        <v>59</v>
      </c>
      <c r="E2210" s="37" t="s">
        <v>97</v>
      </c>
      <c r="F2210" s="37" t="s">
        <v>194</v>
      </c>
      <c r="G2210" s="37" t="s">
        <v>354</v>
      </c>
      <c r="H2210" s="37"/>
      <c r="I2210" s="37" t="s">
        <v>355</v>
      </c>
      <c r="J2210" s="37" t="s">
        <v>1704</v>
      </c>
      <c r="K2210" s="45" t="n">
        <v>122.2</v>
      </c>
      <c r="L2210" s="46" t="n">
        <v>11238.82</v>
      </c>
    </row>
    <row r="2211" customFormat="false" ht="15" hidden="false" customHeight="false" outlineLevel="0" collapsed="false">
      <c r="A2211" s="37" t="n">
        <v>500586</v>
      </c>
      <c r="B2211" s="37" t="s">
        <v>1703</v>
      </c>
      <c r="C2211" s="37" t="n">
        <v>202607</v>
      </c>
      <c r="D2211" s="37" t="s">
        <v>59</v>
      </c>
      <c r="E2211" s="37" t="s">
        <v>99</v>
      </c>
      <c r="F2211" s="37" t="s">
        <v>198</v>
      </c>
      <c r="G2211" s="37" t="s">
        <v>375</v>
      </c>
      <c r="H2211" s="37"/>
      <c r="I2211" s="37" t="s">
        <v>376</v>
      </c>
      <c r="J2211" s="37" t="s">
        <v>377</v>
      </c>
      <c r="K2211" s="45" t="n">
        <v>0</v>
      </c>
      <c r="L2211" s="46" t="n">
        <v>22525.86</v>
      </c>
    </row>
    <row r="2212" customFormat="false" ht="15" hidden="false" customHeight="false" outlineLevel="0" collapsed="false">
      <c r="A2212" s="37" t="n">
        <v>500723</v>
      </c>
      <c r="B2212" s="37" t="s">
        <v>1703</v>
      </c>
      <c r="C2212" s="37" t="n">
        <v>202607</v>
      </c>
      <c r="D2212" s="37" t="s">
        <v>59</v>
      </c>
      <c r="E2212" s="37" t="s">
        <v>106</v>
      </c>
      <c r="F2212" s="37" t="s">
        <v>194</v>
      </c>
      <c r="G2212" s="37" t="s">
        <v>354</v>
      </c>
      <c r="H2212" s="37"/>
      <c r="I2212" s="37" t="s">
        <v>355</v>
      </c>
      <c r="J2212" s="37" t="s">
        <v>1704</v>
      </c>
      <c r="K2212" s="45" t="n">
        <v>43.2</v>
      </c>
      <c r="L2212" s="46" t="n">
        <v>3065.36</v>
      </c>
    </row>
    <row r="2213" customFormat="false" ht="15" hidden="false" customHeight="false" outlineLevel="0" collapsed="false">
      <c r="A2213" s="37" t="n">
        <v>500850</v>
      </c>
      <c r="B2213" s="37" t="s">
        <v>1703</v>
      </c>
      <c r="C2213" s="37" t="n">
        <v>202607</v>
      </c>
      <c r="D2213" s="37" t="s">
        <v>60</v>
      </c>
      <c r="E2213" s="37" t="s">
        <v>97</v>
      </c>
      <c r="F2213" s="37" t="s">
        <v>194</v>
      </c>
      <c r="G2213" s="37" t="s">
        <v>354</v>
      </c>
      <c r="H2213" s="37"/>
      <c r="I2213" s="37" t="s">
        <v>355</v>
      </c>
      <c r="J2213" s="37" t="s">
        <v>1704</v>
      </c>
      <c r="K2213" s="45" t="n">
        <v>285.8</v>
      </c>
      <c r="L2213" s="46" t="n">
        <v>26289.29</v>
      </c>
    </row>
    <row r="2214" customFormat="false" ht="15" hidden="false" customHeight="false" outlineLevel="0" collapsed="false">
      <c r="A2214" s="37" t="n">
        <v>500908</v>
      </c>
      <c r="B2214" s="37" t="s">
        <v>1703</v>
      </c>
      <c r="C2214" s="37" t="n">
        <v>202607</v>
      </c>
      <c r="D2214" s="37" t="s">
        <v>60</v>
      </c>
      <c r="E2214" s="37" t="s">
        <v>99</v>
      </c>
      <c r="F2214" s="37" t="s">
        <v>198</v>
      </c>
      <c r="G2214" s="37" t="s">
        <v>375</v>
      </c>
      <c r="H2214" s="37"/>
      <c r="I2214" s="37" t="s">
        <v>376</v>
      </c>
      <c r="J2214" s="37" t="s">
        <v>377</v>
      </c>
      <c r="K2214" s="45" t="n">
        <v>0</v>
      </c>
      <c r="L2214" s="46" t="n">
        <v>15448.02</v>
      </c>
    </row>
    <row r="2215" customFormat="false" ht="15" hidden="false" customHeight="false" outlineLevel="0" collapsed="false">
      <c r="A2215" s="37" t="n">
        <v>501043</v>
      </c>
      <c r="B2215" s="37" t="s">
        <v>1703</v>
      </c>
      <c r="C2215" s="37" t="n">
        <v>202607</v>
      </c>
      <c r="D2215" s="37" t="s">
        <v>60</v>
      </c>
      <c r="E2215" s="37" t="s">
        <v>106</v>
      </c>
      <c r="F2215" s="37" t="s">
        <v>194</v>
      </c>
      <c r="G2215" s="37" t="s">
        <v>354</v>
      </c>
      <c r="H2215" s="37"/>
      <c r="I2215" s="37" t="s">
        <v>355</v>
      </c>
      <c r="J2215" s="37" t="s">
        <v>1704</v>
      </c>
      <c r="K2215" s="45" t="n">
        <v>201</v>
      </c>
      <c r="L2215" s="46" t="n">
        <v>14268.42</v>
      </c>
    </row>
    <row r="2216" customFormat="false" ht="15" hidden="false" customHeight="false" outlineLevel="0" collapsed="false">
      <c r="A2216" s="37" t="n">
        <v>501157</v>
      </c>
      <c r="B2216" s="37" t="s">
        <v>1703</v>
      </c>
      <c r="C2216" s="37" t="n">
        <v>202607</v>
      </c>
      <c r="D2216" s="37" t="s">
        <v>61</v>
      </c>
      <c r="E2216" s="37" t="s">
        <v>97</v>
      </c>
      <c r="F2216" s="37" t="s">
        <v>194</v>
      </c>
      <c r="G2216" s="37" t="s">
        <v>354</v>
      </c>
      <c r="H2216" s="37"/>
      <c r="I2216" s="37" t="s">
        <v>355</v>
      </c>
      <c r="J2216" s="37" t="s">
        <v>1704</v>
      </c>
      <c r="K2216" s="45" t="n">
        <v>62.3</v>
      </c>
      <c r="L2216" s="46" t="n">
        <v>5728.81</v>
      </c>
    </row>
    <row r="2217" customFormat="false" ht="15" hidden="false" customHeight="false" outlineLevel="0" collapsed="false">
      <c r="A2217" s="37" t="n">
        <v>501208</v>
      </c>
      <c r="B2217" s="37" t="s">
        <v>1703</v>
      </c>
      <c r="C2217" s="37" t="n">
        <v>202607</v>
      </c>
      <c r="D2217" s="37" t="s">
        <v>61</v>
      </c>
      <c r="E2217" s="37" t="s">
        <v>99</v>
      </c>
      <c r="F2217" s="37" t="s">
        <v>198</v>
      </c>
      <c r="G2217" s="37" t="s">
        <v>375</v>
      </c>
      <c r="H2217" s="37"/>
      <c r="I2217" s="37" t="s">
        <v>376</v>
      </c>
      <c r="J2217" s="37" t="s">
        <v>377</v>
      </c>
      <c r="K2217" s="45" t="n">
        <v>0</v>
      </c>
      <c r="L2217" s="46" t="n">
        <v>9170.52</v>
      </c>
    </row>
    <row r="2218" customFormat="false" ht="15" hidden="false" customHeight="false" outlineLevel="0" collapsed="false">
      <c r="A2218" s="37" t="n">
        <v>501317</v>
      </c>
      <c r="B2218" s="37" t="s">
        <v>1703</v>
      </c>
      <c r="C2218" s="37" t="n">
        <v>202607</v>
      </c>
      <c r="D2218" s="37" t="s">
        <v>61</v>
      </c>
      <c r="E2218" s="37" t="s">
        <v>106</v>
      </c>
      <c r="F2218" s="37" t="s">
        <v>194</v>
      </c>
      <c r="G2218" s="37" t="s">
        <v>354</v>
      </c>
      <c r="H2218" s="37"/>
      <c r="I2218" s="37" t="s">
        <v>355</v>
      </c>
      <c r="J2218" s="37" t="s">
        <v>1704</v>
      </c>
      <c r="K2218" s="45" t="n">
        <v>15.6</v>
      </c>
      <c r="L2218" s="46" t="n">
        <v>1108.12</v>
      </c>
    </row>
    <row r="2219" customFormat="false" ht="15" hidden="false" customHeight="false" outlineLevel="0" collapsed="false">
      <c r="A2219" s="37" t="n">
        <v>501418</v>
      </c>
      <c r="B2219" s="37" t="s">
        <v>1703</v>
      </c>
      <c r="C2219" s="37" t="n">
        <v>202607</v>
      </c>
      <c r="D2219" s="37" t="s">
        <v>62</v>
      </c>
      <c r="E2219" s="37" t="s">
        <v>97</v>
      </c>
      <c r="F2219" s="37" t="s">
        <v>194</v>
      </c>
      <c r="G2219" s="37" t="s">
        <v>354</v>
      </c>
      <c r="H2219" s="37"/>
      <c r="I2219" s="37" t="s">
        <v>355</v>
      </c>
      <c r="J2219" s="37" t="s">
        <v>1704</v>
      </c>
      <c r="K2219" s="45" t="n">
        <v>452.5</v>
      </c>
      <c r="L2219" s="46" t="n">
        <v>41630.51</v>
      </c>
    </row>
    <row r="2220" customFormat="false" ht="15" hidden="false" customHeight="false" outlineLevel="0" collapsed="false">
      <c r="A2220" s="37" t="n">
        <v>501466</v>
      </c>
      <c r="B2220" s="37" t="s">
        <v>1703</v>
      </c>
      <c r="C2220" s="37" t="n">
        <v>202607</v>
      </c>
      <c r="D2220" s="37" t="s">
        <v>62</v>
      </c>
      <c r="E2220" s="37" t="s">
        <v>99</v>
      </c>
      <c r="F2220" s="37" t="s">
        <v>198</v>
      </c>
      <c r="G2220" s="37" t="s">
        <v>375</v>
      </c>
      <c r="H2220" s="37"/>
      <c r="I2220" s="37" t="s">
        <v>376</v>
      </c>
      <c r="J2220" s="37" t="s">
        <v>377</v>
      </c>
      <c r="K2220" s="45" t="n">
        <v>0</v>
      </c>
      <c r="L2220" s="46" t="n">
        <v>53130.22</v>
      </c>
    </row>
    <row r="2221" customFormat="false" ht="15" hidden="false" customHeight="false" outlineLevel="0" collapsed="false">
      <c r="A2221" s="37" t="n">
        <v>501584</v>
      </c>
      <c r="B2221" s="37" t="s">
        <v>1703</v>
      </c>
      <c r="C2221" s="37" t="n">
        <v>202607</v>
      </c>
      <c r="D2221" s="37" t="s">
        <v>62</v>
      </c>
      <c r="E2221" s="37" t="s">
        <v>106</v>
      </c>
      <c r="F2221" s="37" t="s">
        <v>194</v>
      </c>
      <c r="G2221" s="37" t="s">
        <v>354</v>
      </c>
      <c r="H2221" s="37"/>
      <c r="I2221" s="37" t="s">
        <v>355</v>
      </c>
      <c r="J2221" s="37" t="s">
        <v>1704</v>
      </c>
      <c r="K2221" s="45" t="n">
        <v>331.4</v>
      </c>
      <c r="L2221" s="46" t="n">
        <v>23531.14</v>
      </c>
    </row>
    <row r="2222" customFormat="false" ht="15" hidden="false" customHeight="false" outlineLevel="0" collapsed="false">
      <c r="A2222" s="37" t="n">
        <v>501664</v>
      </c>
      <c r="B2222" s="37" t="s">
        <v>1703</v>
      </c>
      <c r="C2222" s="37" t="n">
        <v>202607</v>
      </c>
      <c r="D2222" s="37" t="s">
        <v>63</v>
      </c>
      <c r="E2222" s="37" t="s">
        <v>97</v>
      </c>
      <c r="F2222" s="37" t="s">
        <v>194</v>
      </c>
      <c r="G2222" s="37" t="s">
        <v>354</v>
      </c>
      <c r="H2222" s="37"/>
      <c r="I2222" s="37" t="s">
        <v>355</v>
      </c>
      <c r="J2222" s="37" t="s">
        <v>1704</v>
      </c>
      <c r="K2222" s="45" t="n">
        <v>180.3</v>
      </c>
      <c r="L2222" s="46" t="n">
        <v>16587.47</v>
      </c>
    </row>
    <row r="2223" customFormat="false" ht="15" hidden="false" customHeight="false" outlineLevel="0" collapsed="false">
      <c r="A2223" s="37" t="n">
        <v>501717</v>
      </c>
      <c r="B2223" s="37" t="s">
        <v>1703</v>
      </c>
      <c r="C2223" s="37" t="n">
        <v>202607</v>
      </c>
      <c r="D2223" s="37" t="s">
        <v>63</v>
      </c>
      <c r="E2223" s="37" t="s">
        <v>99</v>
      </c>
      <c r="F2223" s="37" t="s">
        <v>198</v>
      </c>
      <c r="G2223" s="37" t="s">
        <v>375</v>
      </c>
      <c r="H2223" s="37"/>
      <c r="I2223" s="37" t="s">
        <v>376</v>
      </c>
      <c r="J2223" s="37" t="s">
        <v>377</v>
      </c>
      <c r="K2223" s="45" t="n">
        <v>0</v>
      </c>
      <c r="L2223" s="46" t="n">
        <v>18235.51</v>
      </c>
    </row>
    <row r="2224" customFormat="false" ht="15" hidden="false" customHeight="false" outlineLevel="0" collapsed="false">
      <c r="A2224" s="37" t="n">
        <v>501814</v>
      </c>
      <c r="B2224" s="37" t="s">
        <v>1703</v>
      </c>
      <c r="C2224" s="37" t="n">
        <v>202607</v>
      </c>
      <c r="D2224" s="37" t="s">
        <v>63</v>
      </c>
      <c r="E2224" s="37" t="s">
        <v>106</v>
      </c>
      <c r="F2224" s="37" t="s">
        <v>194</v>
      </c>
      <c r="G2224" s="37" t="s">
        <v>354</v>
      </c>
      <c r="H2224" s="37"/>
      <c r="I2224" s="37" t="s">
        <v>355</v>
      </c>
      <c r="J2224" s="37" t="s">
        <v>1704</v>
      </c>
      <c r="K2224" s="45" t="n">
        <v>100.1</v>
      </c>
      <c r="L2224" s="46" t="n">
        <v>7106.73</v>
      </c>
    </row>
    <row r="2225" customFormat="false" ht="15" hidden="false" customHeight="false" outlineLevel="0" collapsed="false">
      <c r="A2225" s="37" t="n">
        <v>501898</v>
      </c>
      <c r="B2225" s="37" t="s">
        <v>1703</v>
      </c>
      <c r="C2225" s="37" t="n">
        <v>202607</v>
      </c>
      <c r="D2225" s="37" t="s">
        <v>64</v>
      </c>
      <c r="E2225" s="37" t="s">
        <v>97</v>
      </c>
      <c r="F2225" s="37" t="s">
        <v>194</v>
      </c>
      <c r="G2225" s="37" t="s">
        <v>354</v>
      </c>
      <c r="H2225" s="37"/>
      <c r="I2225" s="37" t="s">
        <v>355</v>
      </c>
      <c r="J2225" s="37" t="s">
        <v>1704</v>
      </c>
      <c r="K2225" s="45" t="n">
        <v>223.5</v>
      </c>
      <c r="L2225" s="46" t="n">
        <v>20558.8</v>
      </c>
    </row>
    <row r="2226" customFormat="false" ht="15" hidden="false" customHeight="false" outlineLevel="0" collapsed="false">
      <c r="A2226" s="37" t="n">
        <v>501942</v>
      </c>
      <c r="B2226" s="37" t="s">
        <v>1703</v>
      </c>
      <c r="C2226" s="37" t="n">
        <v>202607</v>
      </c>
      <c r="D2226" s="37" t="s">
        <v>64</v>
      </c>
      <c r="E2226" s="37" t="s">
        <v>99</v>
      </c>
      <c r="F2226" s="37" t="s">
        <v>198</v>
      </c>
      <c r="G2226" s="37" t="s">
        <v>375</v>
      </c>
      <c r="H2226" s="37"/>
      <c r="I2226" s="37" t="s">
        <v>376</v>
      </c>
      <c r="J2226" s="37" t="s">
        <v>377</v>
      </c>
      <c r="K2226" s="45" t="n">
        <v>0</v>
      </c>
      <c r="L2226" s="46" t="n">
        <v>32431.93</v>
      </c>
    </row>
    <row r="2227" customFormat="false" ht="15" hidden="false" customHeight="false" outlineLevel="0" collapsed="false">
      <c r="A2227" s="37" t="n">
        <v>502043</v>
      </c>
      <c r="B2227" s="37" t="s">
        <v>1703</v>
      </c>
      <c r="C2227" s="37" t="n">
        <v>202607</v>
      </c>
      <c r="D2227" s="37" t="s">
        <v>64</v>
      </c>
      <c r="E2227" s="37" t="s">
        <v>106</v>
      </c>
      <c r="F2227" s="37" t="s">
        <v>194</v>
      </c>
      <c r="G2227" s="37" t="s">
        <v>354</v>
      </c>
      <c r="H2227" s="37"/>
      <c r="I2227" s="37" t="s">
        <v>355</v>
      </c>
      <c r="J2227" s="37" t="s">
        <v>1704</v>
      </c>
      <c r="K2227" s="45" t="n">
        <v>147.3</v>
      </c>
      <c r="L2227" s="46" t="n">
        <v>10459.38</v>
      </c>
    </row>
    <row r="2228" customFormat="false" ht="15" hidden="false" customHeight="false" outlineLevel="0" collapsed="false">
      <c r="A2228" s="37" t="n">
        <v>502114</v>
      </c>
      <c r="B2228" s="37" t="s">
        <v>1703</v>
      </c>
      <c r="C2228" s="37" t="n">
        <v>202607</v>
      </c>
      <c r="D2228" s="37" t="s">
        <v>65</v>
      </c>
      <c r="E2228" s="37" t="s">
        <v>97</v>
      </c>
      <c r="F2228" s="37" t="s">
        <v>194</v>
      </c>
      <c r="G2228" s="37" t="s">
        <v>354</v>
      </c>
      <c r="H2228" s="37"/>
      <c r="I2228" s="37" t="s">
        <v>355</v>
      </c>
      <c r="J2228" s="37" t="s">
        <v>1704</v>
      </c>
      <c r="K2228" s="45" t="n">
        <v>160.5</v>
      </c>
      <c r="L2228" s="46" t="n">
        <v>14762.88</v>
      </c>
    </row>
    <row r="2229" customFormat="false" ht="15" hidden="false" customHeight="false" outlineLevel="0" collapsed="false">
      <c r="A2229" s="37" t="n">
        <v>502151</v>
      </c>
      <c r="B2229" s="37" t="s">
        <v>1703</v>
      </c>
      <c r="C2229" s="37" t="n">
        <v>202607</v>
      </c>
      <c r="D2229" s="37" t="s">
        <v>65</v>
      </c>
      <c r="E2229" s="37" t="s">
        <v>99</v>
      </c>
      <c r="F2229" s="37" t="s">
        <v>198</v>
      </c>
      <c r="G2229" s="37" t="s">
        <v>375</v>
      </c>
      <c r="H2229" s="37"/>
      <c r="I2229" s="37" t="s">
        <v>376</v>
      </c>
      <c r="J2229" s="37" t="s">
        <v>377</v>
      </c>
      <c r="K2229" s="45" t="n">
        <v>0</v>
      </c>
      <c r="L2229" s="46" t="n">
        <v>72507.89</v>
      </c>
    </row>
    <row r="2230" customFormat="false" ht="15" hidden="false" customHeight="false" outlineLevel="0" collapsed="false">
      <c r="A2230" s="37" t="n">
        <v>502235</v>
      </c>
      <c r="B2230" s="37" t="s">
        <v>1703</v>
      </c>
      <c r="C2230" s="37" t="n">
        <v>202607</v>
      </c>
      <c r="D2230" s="37" t="s">
        <v>65</v>
      </c>
      <c r="E2230" s="37" t="s">
        <v>106</v>
      </c>
      <c r="F2230" s="37" t="s">
        <v>194</v>
      </c>
      <c r="G2230" s="37" t="s">
        <v>354</v>
      </c>
      <c r="H2230" s="37"/>
      <c r="I2230" s="37" t="s">
        <v>355</v>
      </c>
      <c r="J2230" s="37" t="s">
        <v>1704</v>
      </c>
      <c r="K2230" s="45" t="n">
        <v>102.4</v>
      </c>
      <c r="L2230" s="46" t="n">
        <v>7267.48</v>
      </c>
    </row>
    <row r="2231" customFormat="false" ht="15" hidden="false" customHeight="false" outlineLevel="0" collapsed="false">
      <c r="A2231" s="37" t="n">
        <v>502297</v>
      </c>
      <c r="B2231" s="37" t="s">
        <v>1703</v>
      </c>
      <c r="C2231" s="37" t="n">
        <v>202607</v>
      </c>
      <c r="D2231" s="37" t="s">
        <v>66</v>
      </c>
      <c r="E2231" s="37" t="s">
        <v>97</v>
      </c>
      <c r="F2231" s="37" t="s">
        <v>194</v>
      </c>
      <c r="G2231" s="37" t="s">
        <v>354</v>
      </c>
      <c r="H2231" s="37"/>
      <c r="I2231" s="37" t="s">
        <v>355</v>
      </c>
      <c r="J2231" s="37" t="s">
        <v>1704</v>
      </c>
      <c r="K2231" s="45" t="n">
        <v>134.6</v>
      </c>
      <c r="L2231" s="46" t="n">
        <v>12386.15</v>
      </c>
    </row>
    <row r="2232" customFormat="false" ht="15" hidden="false" customHeight="false" outlineLevel="0" collapsed="false">
      <c r="A2232" s="37" t="n">
        <v>502332</v>
      </c>
      <c r="B2232" s="37" t="s">
        <v>1703</v>
      </c>
      <c r="C2232" s="37" t="n">
        <v>202607</v>
      </c>
      <c r="D2232" s="37" t="s">
        <v>66</v>
      </c>
      <c r="E2232" s="37" t="s">
        <v>99</v>
      </c>
      <c r="F2232" s="37" t="s">
        <v>198</v>
      </c>
      <c r="G2232" s="37" t="s">
        <v>375</v>
      </c>
      <c r="H2232" s="37"/>
      <c r="I2232" s="37" t="s">
        <v>376</v>
      </c>
      <c r="J2232" s="37" t="s">
        <v>377</v>
      </c>
      <c r="K2232" s="45" t="n">
        <v>0</v>
      </c>
      <c r="L2232" s="46" t="n">
        <v>59086.23</v>
      </c>
    </row>
    <row r="2233" customFormat="false" ht="15" hidden="false" customHeight="false" outlineLevel="0" collapsed="false">
      <c r="A2233" s="37" t="n">
        <v>502362</v>
      </c>
      <c r="B2233" s="37" t="s">
        <v>1703</v>
      </c>
      <c r="C2233" s="37" t="n">
        <v>202607</v>
      </c>
      <c r="D2233" s="37" t="s">
        <v>66</v>
      </c>
      <c r="E2233" s="37" t="s">
        <v>101</v>
      </c>
      <c r="F2233" s="37" t="s">
        <v>194</v>
      </c>
      <c r="G2233" s="37" t="s">
        <v>354</v>
      </c>
      <c r="H2233" s="37"/>
      <c r="I2233" s="37" t="s">
        <v>355</v>
      </c>
      <c r="J2233" s="37" t="s">
        <v>1704</v>
      </c>
      <c r="K2233" s="45" t="n">
        <v>601.1</v>
      </c>
      <c r="L2233" s="46" t="n">
        <v>44478.25</v>
      </c>
    </row>
    <row r="2234" customFormat="false" ht="15" hidden="false" customHeight="false" outlineLevel="0" collapsed="false">
      <c r="A2234" s="37" t="n">
        <v>502440</v>
      </c>
      <c r="B2234" s="37" t="s">
        <v>1703</v>
      </c>
      <c r="C2234" s="37" t="n">
        <v>202607</v>
      </c>
      <c r="D2234" s="37" t="s">
        <v>67</v>
      </c>
      <c r="E2234" s="37" t="s">
        <v>97</v>
      </c>
      <c r="F2234" s="37" t="s">
        <v>194</v>
      </c>
      <c r="G2234" s="37" t="s">
        <v>354</v>
      </c>
      <c r="H2234" s="37"/>
      <c r="I2234" s="37" t="s">
        <v>355</v>
      </c>
      <c r="J2234" s="37" t="s">
        <v>1704</v>
      </c>
      <c r="K2234" s="45" t="n">
        <v>236.6</v>
      </c>
      <c r="L2234" s="46" t="n">
        <v>21769.86</v>
      </c>
    </row>
    <row r="2235" customFormat="false" ht="15" hidden="false" customHeight="false" outlineLevel="0" collapsed="false">
      <c r="A2235" s="37" t="n">
        <v>502469</v>
      </c>
      <c r="B2235" s="37" t="s">
        <v>1703</v>
      </c>
      <c r="C2235" s="37" t="n">
        <v>202607</v>
      </c>
      <c r="D2235" s="37" t="s">
        <v>67</v>
      </c>
      <c r="E2235" s="37" t="s">
        <v>99</v>
      </c>
      <c r="F2235" s="37" t="s">
        <v>198</v>
      </c>
      <c r="G2235" s="37" t="s">
        <v>375</v>
      </c>
      <c r="H2235" s="37"/>
      <c r="I2235" s="37" t="s">
        <v>376</v>
      </c>
      <c r="J2235" s="37" t="s">
        <v>377</v>
      </c>
      <c r="K2235" s="45" t="n">
        <v>0</v>
      </c>
      <c r="L2235" s="46" t="n">
        <v>62060.68</v>
      </c>
    </row>
    <row r="2236" customFormat="false" ht="15" hidden="false" customHeight="false" outlineLevel="0" collapsed="false">
      <c r="A2236" s="37" t="n">
        <v>502494</v>
      </c>
      <c r="B2236" s="37" t="s">
        <v>1703</v>
      </c>
      <c r="C2236" s="37" t="n">
        <v>202607</v>
      </c>
      <c r="D2236" s="37" t="s">
        <v>67</v>
      </c>
      <c r="E2236" s="37" t="s">
        <v>101</v>
      </c>
      <c r="F2236" s="37" t="s">
        <v>194</v>
      </c>
      <c r="G2236" s="37" t="s">
        <v>354</v>
      </c>
      <c r="H2236" s="37"/>
      <c r="I2236" s="37" t="s">
        <v>355</v>
      </c>
      <c r="J2236" s="37" t="s">
        <v>1704</v>
      </c>
      <c r="K2236" s="45" t="n">
        <v>631.4</v>
      </c>
      <c r="L2236" s="46" t="n">
        <v>46724.71</v>
      </c>
    </row>
    <row r="2237" customFormat="false" ht="15" hidden="false" customHeight="false" outlineLevel="0" collapsed="false">
      <c r="A2237" s="37" t="n">
        <v>502556</v>
      </c>
      <c r="B2237" s="37" t="s">
        <v>1703</v>
      </c>
      <c r="C2237" s="37" t="n">
        <v>202607</v>
      </c>
      <c r="D2237" s="37" t="s">
        <v>68</v>
      </c>
      <c r="E2237" s="37" t="s">
        <v>97</v>
      </c>
      <c r="F2237" s="37" t="s">
        <v>194</v>
      </c>
      <c r="G2237" s="37" t="s">
        <v>354</v>
      </c>
      <c r="H2237" s="37"/>
      <c r="I2237" s="37" t="s">
        <v>355</v>
      </c>
      <c r="J2237" s="37" t="s">
        <v>1704</v>
      </c>
      <c r="K2237" s="45" t="n">
        <v>42.2</v>
      </c>
      <c r="L2237" s="46" t="n">
        <v>3885.12</v>
      </c>
    </row>
    <row r="2238" customFormat="false" ht="15" hidden="false" customHeight="false" outlineLevel="0" collapsed="false">
      <c r="A2238" s="37" t="n">
        <v>502577</v>
      </c>
      <c r="B2238" s="37" t="s">
        <v>1703</v>
      </c>
      <c r="C2238" s="37" t="n">
        <v>202607</v>
      </c>
      <c r="D2238" s="37" t="s">
        <v>68</v>
      </c>
      <c r="E2238" s="37" t="s">
        <v>99</v>
      </c>
      <c r="F2238" s="37" t="s">
        <v>198</v>
      </c>
      <c r="G2238" s="37" t="s">
        <v>375</v>
      </c>
      <c r="H2238" s="37"/>
      <c r="I2238" s="37" t="s">
        <v>376</v>
      </c>
      <c r="J2238" s="37" t="s">
        <v>377</v>
      </c>
      <c r="K2238" s="45" t="n">
        <v>0</v>
      </c>
      <c r="L2238" s="46" t="n">
        <v>20199.5</v>
      </c>
    </row>
    <row r="2239" customFormat="false" ht="15" hidden="false" customHeight="false" outlineLevel="0" collapsed="false">
      <c r="A2239" s="37" t="n">
        <v>502593</v>
      </c>
      <c r="B2239" s="37" t="s">
        <v>1703</v>
      </c>
      <c r="C2239" s="37" t="n">
        <v>202607</v>
      </c>
      <c r="D2239" s="37" t="s">
        <v>68</v>
      </c>
      <c r="E2239" s="37" t="s">
        <v>101</v>
      </c>
      <c r="F2239" s="37" t="s">
        <v>194</v>
      </c>
      <c r="G2239" s="37" t="s">
        <v>354</v>
      </c>
      <c r="H2239" s="37"/>
      <c r="I2239" s="37" t="s">
        <v>355</v>
      </c>
      <c r="J2239" s="37" t="s">
        <v>1704</v>
      </c>
      <c r="K2239" s="45" t="n">
        <v>268</v>
      </c>
      <c r="L2239" s="46" t="n">
        <v>19833.32</v>
      </c>
    </row>
    <row r="2240" customFormat="false" ht="15" hidden="false" customHeight="false" outlineLevel="0" collapsed="false">
      <c r="A2240" s="37" t="n">
        <v>502635</v>
      </c>
      <c r="B2240" s="37" t="s">
        <v>1703</v>
      </c>
      <c r="C2240" s="37" t="n">
        <v>202607</v>
      </c>
      <c r="D2240" s="37" t="s">
        <v>69</v>
      </c>
      <c r="E2240" s="37" t="s">
        <v>97</v>
      </c>
      <c r="F2240" s="37" t="s">
        <v>194</v>
      </c>
      <c r="G2240" s="37" t="s">
        <v>354</v>
      </c>
      <c r="H2240" s="37"/>
      <c r="I2240" s="37" t="s">
        <v>355</v>
      </c>
      <c r="J2240" s="37" t="s">
        <v>1704</v>
      </c>
      <c r="K2240" s="45" t="n">
        <v>27.9</v>
      </c>
      <c r="L2240" s="46" t="n">
        <v>2569.44</v>
      </c>
    </row>
    <row r="2241" customFormat="false" ht="15" hidden="false" customHeight="false" outlineLevel="0" collapsed="false">
      <c r="A2241" s="37" t="n">
        <v>502650</v>
      </c>
      <c r="B2241" s="37" t="s">
        <v>1703</v>
      </c>
      <c r="C2241" s="37" t="n">
        <v>202607</v>
      </c>
      <c r="D2241" s="37" t="s">
        <v>69</v>
      </c>
      <c r="E2241" s="37" t="s">
        <v>99</v>
      </c>
      <c r="F2241" s="37" t="s">
        <v>198</v>
      </c>
      <c r="G2241" s="37" t="s">
        <v>375</v>
      </c>
      <c r="H2241" s="37"/>
      <c r="I2241" s="37" t="s">
        <v>376</v>
      </c>
      <c r="J2241" s="37" t="s">
        <v>377</v>
      </c>
      <c r="K2241" s="45" t="n">
        <v>0</v>
      </c>
      <c r="L2241" s="46" t="n">
        <v>2241</v>
      </c>
    </row>
    <row r="2242" customFormat="false" ht="15" hidden="false" customHeight="false" outlineLevel="0" collapsed="false">
      <c r="A2242" s="37" t="n">
        <v>502137</v>
      </c>
      <c r="B2242" s="37" t="s">
        <v>1705</v>
      </c>
      <c r="C2242" s="37" t="n">
        <v>202608</v>
      </c>
      <c r="D2242" s="37" t="s">
        <v>65</v>
      </c>
      <c r="E2242" s="37" t="s">
        <v>98</v>
      </c>
      <c r="F2242" s="37" t="s">
        <v>196</v>
      </c>
      <c r="G2242" s="37" t="s">
        <v>358</v>
      </c>
      <c r="H2242" s="37" t="s">
        <v>359</v>
      </c>
      <c r="I2242" s="37" t="s">
        <v>360</v>
      </c>
      <c r="J2242" s="37" t="s">
        <v>1706</v>
      </c>
      <c r="K2242" s="45" t="n">
        <v>0</v>
      </c>
      <c r="L2242" s="46" t="n">
        <v>17558.11</v>
      </c>
    </row>
    <row r="2243" customFormat="false" ht="15" hidden="false" customHeight="false" outlineLevel="0" collapsed="false">
      <c r="A2243" s="37" t="n">
        <v>500748</v>
      </c>
      <c r="B2243" s="37" t="s">
        <v>1707</v>
      </c>
      <c r="C2243" s="37" t="n">
        <v>202608</v>
      </c>
      <c r="D2243" s="37" t="s">
        <v>59</v>
      </c>
      <c r="E2243" s="37" t="s">
        <v>108</v>
      </c>
      <c r="F2243" s="37" t="s">
        <v>205</v>
      </c>
      <c r="G2243" s="37" t="s">
        <v>358</v>
      </c>
      <c r="H2243" s="37" t="s">
        <v>1385</v>
      </c>
      <c r="I2243" s="37" t="s">
        <v>1386</v>
      </c>
      <c r="J2243" s="37" t="s">
        <v>1708</v>
      </c>
      <c r="K2243" s="45" t="n">
        <v>0</v>
      </c>
      <c r="L2243" s="46" t="n">
        <v>18458.42</v>
      </c>
    </row>
    <row r="2244" customFormat="false" ht="15" hidden="false" customHeight="false" outlineLevel="0" collapsed="false">
      <c r="A2244" s="37" t="n">
        <v>500747</v>
      </c>
      <c r="B2244" s="37" t="s">
        <v>1709</v>
      </c>
      <c r="C2244" s="37" t="n">
        <v>202608</v>
      </c>
      <c r="D2244" s="37" t="s">
        <v>59</v>
      </c>
      <c r="E2244" s="37" t="s">
        <v>108</v>
      </c>
      <c r="F2244" s="37" t="s">
        <v>205</v>
      </c>
      <c r="G2244" s="37" t="s">
        <v>358</v>
      </c>
      <c r="H2244" s="37" t="s">
        <v>1385</v>
      </c>
      <c r="I2244" s="37" t="s">
        <v>1386</v>
      </c>
      <c r="J2244" s="37" t="s">
        <v>1710</v>
      </c>
      <c r="K2244" s="45" t="n">
        <v>0</v>
      </c>
      <c r="L2244" s="46" t="n">
        <v>31528.77</v>
      </c>
    </row>
    <row r="2245" customFormat="false" ht="15" hidden="false" customHeight="false" outlineLevel="0" collapsed="false">
      <c r="A2245" s="37" t="n">
        <v>501929</v>
      </c>
      <c r="B2245" s="37" t="s">
        <v>1709</v>
      </c>
      <c r="C2245" s="37" t="n">
        <v>202608</v>
      </c>
      <c r="D2245" s="37" t="s">
        <v>64</v>
      </c>
      <c r="E2245" s="37" t="s">
        <v>98</v>
      </c>
      <c r="F2245" s="37" t="s">
        <v>196</v>
      </c>
      <c r="G2245" s="37" t="s">
        <v>358</v>
      </c>
      <c r="H2245" s="37" t="s">
        <v>359</v>
      </c>
      <c r="I2245" s="37" t="s">
        <v>360</v>
      </c>
      <c r="J2245" s="37" t="s">
        <v>1711</v>
      </c>
      <c r="K2245" s="45" t="n">
        <v>0</v>
      </c>
      <c r="L2245" s="46" t="n">
        <v>36394.53</v>
      </c>
    </row>
    <row r="2246" customFormat="false" ht="15" hidden="false" customHeight="false" outlineLevel="0" collapsed="false">
      <c r="A2246" s="37" t="n">
        <v>502385</v>
      </c>
      <c r="B2246" s="37" t="s">
        <v>1709</v>
      </c>
      <c r="C2246" s="37" t="n">
        <v>202608</v>
      </c>
      <c r="D2246" s="37" t="s">
        <v>66</v>
      </c>
      <c r="E2246" s="37" t="s">
        <v>102</v>
      </c>
      <c r="F2246" s="37" t="s">
        <v>205</v>
      </c>
      <c r="G2246" s="37" t="s">
        <v>358</v>
      </c>
      <c r="H2246" s="37" t="s">
        <v>1323</v>
      </c>
      <c r="I2246" s="37" t="s">
        <v>715</v>
      </c>
      <c r="J2246" s="37" t="s">
        <v>1712</v>
      </c>
      <c r="K2246" s="45" t="n">
        <v>0</v>
      </c>
      <c r="L2246" s="46" t="n">
        <v>20556.1</v>
      </c>
    </row>
    <row r="2247" customFormat="false" ht="15" hidden="false" customHeight="false" outlineLevel="0" collapsed="false">
      <c r="A2247" s="37" t="n">
        <v>502526</v>
      </c>
      <c r="B2247" s="37" t="s">
        <v>1709</v>
      </c>
      <c r="C2247" s="37" t="n">
        <v>202608</v>
      </c>
      <c r="D2247" s="37" t="s">
        <v>67</v>
      </c>
      <c r="E2247" s="37" t="s">
        <v>103</v>
      </c>
      <c r="F2247" s="37" t="s">
        <v>205</v>
      </c>
      <c r="G2247" s="37" t="s">
        <v>358</v>
      </c>
      <c r="H2247" s="37" t="s">
        <v>1368</v>
      </c>
      <c r="I2247" s="37" t="s">
        <v>1369</v>
      </c>
      <c r="J2247" s="37" t="s">
        <v>1713</v>
      </c>
      <c r="K2247" s="45" t="n">
        <v>0</v>
      </c>
      <c r="L2247" s="46" t="n">
        <v>51105.97</v>
      </c>
    </row>
    <row r="2248" customFormat="false" ht="15" hidden="false" customHeight="false" outlineLevel="0" collapsed="false">
      <c r="A2248" s="37" t="n">
        <v>502647</v>
      </c>
      <c r="B2248" s="37" t="s">
        <v>1709</v>
      </c>
      <c r="C2248" s="37" t="n">
        <v>202608</v>
      </c>
      <c r="D2248" s="37" t="s">
        <v>69</v>
      </c>
      <c r="E2248" s="37" t="s">
        <v>98</v>
      </c>
      <c r="F2248" s="37" t="s">
        <v>196</v>
      </c>
      <c r="G2248" s="37" t="s">
        <v>358</v>
      </c>
      <c r="H2248" s="37" t="s">
        <v>359</v>
      </c>
      <c r="I2248" s="37" t="s">
        <v>360</v>
      </c>
      <c r="J2248" s="37" t="s">
        <v>1714</v>
      </c>
      <c r="K2248" s="45" t="n">
        <v>0</v>
      </c>
      <c r="L2248" s="46" t="n">
        <v>758.57</v>
      </c>
    </row>
    <row r="2249" customFormat="false" ht="15" hidden="false" customHeight="false" outlineLevel="0" collapsed="false">
      <c r="A2249" s="37" t="n">
        <v>502665</v>
      </c>
      <c r="B2249" s="37" t="s">
        <v>1709</v>
      </c>
      <c r="C2249" s="37" t="n">
        <v>202608</v>
      </c>
      <c r="D2249" s="37" t="s">
        <v>69</v>
      </c>
      <c r="E2249" s="37" t="s">
        <v>102</v>
      </c>
      <c r="F2249" s="37" t="s">
        <v>205</v>
      </c>
      <c r="G2249" s="37" t="s">
        <v>358</v>
      </c>
      <c r="H2249" s="37" t="s">
        <v>1715</v>
      </c>
      <c r="I2249" s="37" t="s">
        <v>715</v>
      </c>
      <c r="J2249" s="37" t="s">
        <v>1716</v>
      </c>
      <c r="K2249" s="45" t="n">
        <v>0</v>
      </c>
      <c r="L2249" s="46" t="n">
        <v>2874.74</v>
      </c>
    </row>
    <row r="2250" customFormat="false" ht="15" hidden="false" customHeight="false" outlineLevel="0" collapsed="false">
      <c r="A2250" s="37" t="n">
        <v>500114</v>
      </c>
      <c r="B2250" s="37" t="s">
        <v>1717</v>
      </c>
      <c r="C2250" s="37" t="n">
        <v>202608</v>
      </c>
      <c r="D2250" s="37" t="s">
        <v>58</v>
      </c>
      <c r="E2250" s="37" t="s">
        <v>97</v>
      </c>
      <c r="F2250" s="37" t="s">
        <v>194</v>
      </c>
      <c r="G2250" s="37" t="s">
        <v>354</v>
      </c>
      <c r="H2250" s="37"/>
      <c r="I2250" s="37" t="s">
        <v>355</v>
      </c>
      <c r="J2250" s="37" t="s">
        <v>1718</v>
      </c>
      <c r="K2250" s="45" t="n">
        <v>26.3</v>
      </c>
      <c r="L2250" s="46" t="n">
        <v>2420.97</v>
      </c>
    </row>
    <row r="2251" customFormat="false" ht="15" hidden="false" customHeight="false" outlineLevel="0" collapsed="false">
      <c r="A2251" s="37" t="n">
        <v>500522</v>
      </c>
      <c r="B2251" s="37" t="s">
        <v>1717</v>
      </c>
      <c r="C2251" s="37" t="n">
        <v>202608</v>
      </c>
      <c r="D2251" s="37" t="s">
        <v>59</v>
      </c>
      <c r="E2251" s="37" t="s">
        <v>97</v>
      </c>
      <c r="F2251" s="37" t="s">
        <v>194</v>
      </c>
      <c r="G2251" s="37" t="s">
        <v>354</v>
      </c>
      <c r="H2251" s="37"/>
      <c r="I2251" s="37" t="s">
        <v>355</v>
      </c>
      <c r="J2251" s="37" t="s">
        <v>1718</v>
      </c>
      <c r="K2251" s="45" t="n">
        <v>151.5</v>
      </c>
      <c r="L2251" s="46" t="n">
        <v>13941.88</v>
      </c>
    </row>
    <row r="2252" customFormat="false" ht="15" hidden="false" customHeight="false" outlineLevel="0" collapsed="false">
      <c r="A2252" s="37" t="n">
        <v>500724</v>
      </c>
      <c r="B2252" s="37" t="s">
        <v>1717</v>
      </c>
      <c r="C2252" s="37" t="n">
        <v>202608</v>
      </c>
      <c r="D2252" s="37" t="s">
        <v>59</v>
      </c>
      <c r="E2252" s="37" t="s">
        <v>106</v>
      </c>
      <c r="F2252" s="37" t="s">
        <v>194</v>
      </c>
      <c r="G2252" s="37" t="s">
        <v>354</v>
      </c>
      <c r="H2252" s="37"/>
      <c r="I2252" s="37" t="s">
        <v>355</v>
      </c>
      <c r="J2252" s="37" t="s">
        <v>1718</v>
      </c>
      <c r="K2252" s="45" t="n">
        <v>14.8</v>
      </c>
      <c r="L2252" s="46" t="n">
        <v>1053.23</v>
      </c>
    </row>
    <row r="2253" customFormat="false" ht="15" hidden="false" customHeight="false" outlineLevel="0" collapsed="false">
      <c r="A2253" s="37" t="n">
        <v>500851</v>
      </c>
      <c r="B2253" s="37" t="s">
        <v>1717</v>
      </c>
      <c r="C2253" s="37" t="n">
        <v>202608</v>
      </c>
      <c r="D2253" s="37" t="s">
        <v>60</v>
      </c>
      <c r="E2253" s="37" t="s">
        <v>97</v>
      </c>
      <c r="F2253" s="37" t="s">
        <v>194</v>
      </c>
      <c r="G2253" s="37" t="s">
        <v>354</v>
      </c>
      <c r="H2253" s="37"/>
      <c r="I2253" s="37" t="s">
        <v>355</v>
      </c>
      <c r="J2253" s="37" t="s">
        <v>1718</v>
      </c>
      <c r="K2253" s="45" t="n">
        <v>250</v>
      </c>
      <c r="L2253" s="46" t="n">
        <v>23002.97</v>
      </c>
    </row>
    <row r="2254" customFormat="false" ht="15" hidden="false" customHeight="false" outlineLevel="0" collapsed="false">
      <c r="A2254" s="37" t="n">
        <v>501044</v>
      </c>
      <c r="B2254" s="37" t="s">
        <v>1717</v>
      </c>
      <c r="C2254" s="37" t="n">
        <v>202608</v>
      </c>
      <c r="D2254" s="37" t="s">
        <v>60</v>
      </c>
      <c r="E2254" s="37" t="s">
        <v>106</v>
      </c>
      <c r="F2254" s="37" t="s">
        <v>194</v>
      </c>
      <c r="G2254" s="37" t="s">
        <v>354</v>
      </c>
      <c r="H2254" s="37"/>
      <c r="I2254" s="37" t="s">
        <v>355</v>
      </c>
      <c r="J2254" s="37" t="s">
        <v>1718</v>
      </c>
      <c r="K2254" s="45" t="n">
        <v>212.1</v>
      </c>
      <c r="L2254" s="46" t="n">
        <v>15062.64</v>
      </c>
    </row>
    <row r="2255" customFormat="false" ht="15" hidden="false" customHeight="false" outlineLevel="0" collapsed="false">
      <c r="A2255" s="37" t="n">
        <v>501158</v>
      </c>
      <c r="B2255" s="37" t="s">
        <v>1717</v>
      </c>
      <c r="C2255" s="37" t="n">
        <v>202608</v>
      </c>
      <c r="D2255" s="37" t="s">
        <v>61</v>
      </c>
      <c r="E2255" s="37" t="s">
        <v>97</v>
      </c>
      <c r="F2255" s="37" t="s">
        <v>194</v>
      </c>
      <c r="G2255" s="37" t="s">
        <v>354</v>
      </c>
      <c r="H2255" s="37"/>
      <c r="I2255" s="37" t="s">
        <v>355</v>
      </c>
      <c r="J2255" s="37" t="s">
        <v>1718</v>
      </c>
      <c r="K2255" s="45" t="n">
        <v>100.9</v>
      </c>
      <c r="L2255" s="46" t="n">
        <v>9279.26</v>
      </c>
    </row>
    <row r="2256" customFormat="false" ht="15" hidden="false" customHeight="false" outlineLevel="0" collapsed="false">
      <c r="A2256" s="37" t="n">
        <v>501419</v>
      </c>
      <c r="B2256" s="37" t="s">
        <v>1717</v>
      </c>
      <c r="C2256" s="37" t="n">
        <v>202608</v>
      </c>
      <c r="D2256" s="37" t="s">
        <v>62</v>
      </c>
      <c r="E2256" s="37" t="s">
        <v>97</v>
      </c>
      <c r="F2256" s="37" t="s">
        <v>194</v>
      </c>
      <c r="G2256" s="37" t="s">
        <v>354</v>
      </c>
      <c r="H2256" s="37"/>
      <c r="I2256" s="37" t="s">
        <v>355</v>
      </c>
      <c r="J2256" s="37" t="s">
        <v>1718</v>
      </c>
      <c r="K2256" s="45" t="n">
        <v>241.6</v>
      </c>
      <c r="L2256" s="46" t="n">
        <v>22225.27</v>
      </c>
    </row>
    <row r="2257" customFormat="false" ht="15" hidden="false" customHeight="false" outlineLevel="0" collapsed="false">
      <c r="A2257" s="37" t="n">
        <v>501585</v>
      </c>
      <c r="B2257" s="37" t="s">
        <v>1717</v>
      </c>
      <c r="C2257" s="37" t="n">
        <v>202608</v>
      </c>
      <c r="D2257" s="37" t="s">
        <v>62</v>
      </c>
      <c r="E2257" s="37" t="s">
        <v>106</v>
      </c>
      <c r="F2257" s="37" t="s">
        <v>194</v>
      </c>
      <c r="G2257" s="37" t="s">
        <v>354</v>
      </c>
      <c r="H2257" s="37"/>
      <c r="I2257" s="37" t="s">
        <v>355</v>
      </c>
      <c r="J2257" s="37" t="s">
        <v>1718</v>
      </c>
      <c r="K2257" s="45" t="n">
        <v>718</v>
      </c>
      <c r="L2257" s="46" t="n">
        <v>50978.07</v>
      </c>
    </row>
    <row r="2258" customFormat="false" ht="15" hidden="false" customHeight="false" outlineLevel="0" collapsed="false">
      <c r="A2258" s="37" t="n">
        <v>501665</v>
      </c>
      <c r="B2258" s="37" t="s">
        <v>1717</v>
      </c>
      <c r="C2258" s="37" t="n">
        <v>202608</v>
      </c>
      <c r="D2258" s="37" t="s">
        <v>63</v>
      </c>
      <c r="E2258" s="37" t="s">
        <v>97</v>
      </c>
      <c r="F2258" s="37" t="s">
        <v>194</v>
      </c>
      <c r="G2258" s="37" t="s">
        <v>354</v>
      </c>
      <c r="H2258" s="37"/>
      <c r="I2258" s="37" t="s">
        <v>355</v>
      </c>
      <c r="J2258" s="37" t="s">
        <v>1718</v>
      </c>
      <c r="K2258" s="45" t="n">
        <v>127.3</v>
      </c>
      <c r="L2258" s="46" t="n">
        <v>11716.08</v>
      </c>
    </row>
    <row r="2259" customFormat="false" ht="15" hidden="false" customHeight="false" outlineLevel="0" collapsed="false">
      <c r="A2259" s="37" t="n">
        <v>501815</v>
      </c>
      <c r="B2259" s="37" t="s">
        <v>1717</v>
      </c>
      <c r="C2259" s="37" t="n">
        <v>202608</v>
      </c>
      <c r="D2259" s="37" t="s">
        <v>63</v>
      </c>
      <c r="E2259" s="37" t="s">
        <v>106</v>
      </c>
      <c r="F2259" s="37" t="s">
        <v>194</v>
      </c>
      <c r="G2259" s="37" t="s">
        <v>354</v>
      </c>
      <c r="H2259" s="37"/>
      <c r="I2259" s="37" t="s">
        <v>355</v>
      </c>
      <c r="J2259" s="37" t="s">
        <v>1718</v>
      </c>
      <c r="K2259" s="45" t="n">
        <v>97.4</v>
      </c>
      <c r="L2259" s="46" t="n">
        <v>6914.64</v>
      </c>
    </row>
    <row r="2260" customFormat="false" ht="15" hidden="false" customHeight="false" outlineLevel="0" collapsed="false">
      <c r="A2260" s="37" t="n">
        <v>501829</v>
      </c>
      <c r="B2260" s="37" t="s">
        <v>1717</v>
      </c>
      <c r="C2260" s="37" t="n">
        <v>202608</v>
      </c>
      <c r="D2260" s="37" t="s">
        <v>63</v>
      </c>
      <c r="E2260" s="37" t="s">
        <v>108</v>
      </c>
      <c r="F2260" s="37" t="s">
        <v>205</v>
      </c>
      <c r="G2260" s="37" t="s">
        <v>358</v>
      </c>
      <c r="H2260" s="37" t="s">
        <v>1542</v>
      </c>
      <c r="I2260" s="37" t="s">
        <v>1489</v>
      </c>
      <c r="J2260" s="37" t="s">
        <v>1719</v>
      </c>
      <c r="K2260" s="45" t="n">
        <v>0</v>
      </c>
      <c r="L2260" s="46" t="n">
        <v>79168.55</v>
      </c>
    </row>
    <row r="2261" customFormat="false" ht="15" hidden="false" customHeight="false" outlineLevel="0" collapsed="false">
      <c r="A2261" s="37" t="n">
        <v>501899</v>
      </c>
      <c r="B2261" s="37" t="s">
        <v>1717</v>
      </c>
      <c r="C2261" s="37" t="n">
        <v>202608</v>
      </c>
      <c r="D2261" s="37" t="s">
        <v>64</v>
      </c>
      <c r="E2261" s="37" t="s">
        <v>97</v>
      </c>
      <c r="F2261" s="37" t="s">
        <v>194</v>
      </c>
      <c r="G2261" s="37" t="s">
        <v>354</v>
      </c>
      <c r="H2261" s="37"/>
      <c r="I2261" s="37" t="s">
        <v>355</v>
      </c>
      <c r="J2261" s="37" t="s">
        <v>1718</v>
      </c>
      <c r="K2261" s="45" t="n">
        <v>121.7</v>
      </c>
      <c r="L2261" s="46" t="n">
        <v>11199.42</v>
      </c>
    </row>
    <row r="2262" customFormat="false" ht="15" hidden="false" customHeight="false" outlineLevel="0" collapsed="false">
      <c r="A2262" s="37" t="n">
        <v>502044</v>
      </c>
      <c r="B2262" s="37" t="s">
        <v>1717</v>
      </c>
      <c r="C2262" s="37" t="n">
        <v>202608</v>
      </c>
      <c r="D2262" s="37" t="s">
        <v>64</v>
      </c>
      <c r="E2262" s="37" t="s">
        <v>106</v>
      </c>
      <c r="F2262" s="37" t="s">
        <v>194</v>
      </c>
      <c r="G2262" s="37" t="s">
        <v>354</v>
      </c>
      <c r="H2262" s="37"/>
      <c r="I2262" s="37" t="s">
        <v>355</v>
      </c>
      <c r="J2262" s="37" t="s">
        <v>1718</v>
      </c>
      <c r="K2262" s="45" t="n">
        <v>165</v>
      </c>
      <c r="L2262" s="46" t="n">
        <v>11716.23</v>
      </c>
    </row>
    <row r="2263" customFormat="false" ht="15" hidden="false" customHeight="false" outlineLevel="0" collapsed="false">
      <c r="A2263" s="37" t="n">
        <v>502057</v>
      </c>
      <c r="B2263" s="37" t="s">
        <v>1717</v>
      </c>
      <c r="C2263" s="37" t="n">
        <v>202608</v>
      </c>
      <c r="D2263" s="37" t="s">
        <v>64</v>
      </c>
      <c r="E2263" s="37" t="s">
        <v>108</v>
      </c>
      <c r="F2263" s="37" t="s">
        <v>205</v>
      </c>
      <c r="G2263" s="37" t="s">
        <v>358</v>
      </c>
      <c r="H2263" s="37" t="s">
        <v>1720</v>
      </c>
      <c r="I2263" s="37" t="s">
        <v>1405</v>
      </c>
      <c r="J2263" s="37" t="s">
        <v>1721</v>
      </c>
      <c r="K2263" s="45" t="n">
        <v>0</v>
      </c>
      <c r="L2263" s="46" t="n">
        <v>2209.86</v>
      </c>
    </row>
    <row r="2264" customFormat="false" ht="15" hidden="false" customHeight="false" outlineLevel="0" collapsed="false">
      <c r="A2264" s="37" t="n">
        <v>502115</v>
      </c>
      <c r="B2264" s="37" t="s">
        <v>1717</v>
      </c>
      <c r="C2264" s="37" t="n">
        <v>202608</v>
      </c>
      <c r="D2264" s="37" t="s">
        <v>65</v>
      </c>
      <c r="E2264" s="37" t="s">
        <v>97</v>
      </c>
      <c r="F2264" s="37" t="s">
        <v>194</v>
      </c>
      <c r="G2264" s="37" t="s">
        <v>354</v>
      </c>
      <c r="H2264" s="37"/>
      <c r="I2264" s="37" t="s">
        <v>355</v>
      </c>
      <c r="J2264" s="37" t="s">
        <v>1718</v>
      </c>
      <c r="K2264" s="45" t="n">
        <v>355.6</v>
      </c>
      <c r="L2264" s="46" t="n">
        <v>32711.2</v>
      </c>
    </row>
    <row r="2265" customFormat="false" ht="15" hidden="false" customHeight="false" outlineLevel="0" collapsed="false">
      <c r="A2265" s="37" t="n">
        <v>502236</v>
      </c>
      <c r="B2265" s="37" t="s">
        <v>1717</v>
      </c>
      <c r="C2265" s="37" t="n">
        <v>202608</v>
      </c>
      <c r="D2265" s="37" t="s">
        <v>65</v>
      </c>
      <c r="E2265" s="37" t="s">
        <v>106</v>
      </c>
      <c r="F2265" s="37" t="s">
        <v>194</v>
      </c>
      <c r="G2265" s="37" t="s">
        <v>354</v>
      </c>
      <c r="H2265" s="37"/>
      <c r="I2265" s="37" t="s">
        <v>355</v>
      </c>
      <c r="J2265" s="37" t="s">
        <v>1718</v>
      </c>
      <c r="K2265" s="45" t="n">
        <v>250.2</v>
      </c>
      <c r="L2265" s="46" t="n">
        <v>17763.15</v>
      </c>
    </row>
    <row r="2266" customFormat="false" ht="15" hidden="false" customHeight="false" outlineLevel="0" collapsed="false">
      <c r="A2266" s="37" t="n">
        <v>502298</v>
      </c>
      <c r="B2266" s="37" t="s">
        <v>1717</v>
      </c>
      <c r="C2266" s="37" t="n">
        <v>202608</v>
      </c>
      <c r="D2266" s="37" t="s">
        <v>66</v>
      </c>
      <c r="E2266" s="37" t="s">
        <v>97</v>
      </c>
      <c r="F2266" s="37" t="s">
        <v>194</v>
      </c>
      <c r="G2266" s="37" t="s">
        <v>354</v>
      </c>
      <c r="H2266" s="37"/>
      <c r="I2266" s="37" t="s">
        <v>355</v>
      </c>
      <c r="J2266" s="37" t="s">
        <v>1718</v>
      </c>
      <c r="K2266" s="45" t="n">
        <v>336.7</v>
      </c>
      <c r="L2266" s="46" t="n">
        <v>30978.52</v>
      </c>
    </row>
    <row r="2267" customFormat="false" ht="15" hidden="false" customHeight="false" outlineLevel="0" collapsed="false">
      <c r="A2267" s="37" t="n">
        <v>502363</v>
      </c>
      <c r="B2267" s="37" t="s">
        <v>1717</v>
      </c>
      <c r="C2267" s="37" t="n">
        <v>202608</v>
      </c>
      <c r="D2267" s="37" t="s">
        <v>66</v>
      </c>
      <c r="E2267" s="37" t="s">
        <v>101</v>
      </c>
      <c r="F2267" s="37" t="s">
        <v>194</v>
      </c>
      <c r="G2267" s="37" t="s">
        <v>354</v>
      </c>
      <c r="H2267" s="37"/>
      <c r="I2267" s="37" t="s">
        <v>355</v>
      </c>
      <c r="J2267" s="37" t="s">
        <v>1718</v>
      </c>
      <c r="K2267" s="45" t="n">
        <v>153.8</v>
      </c>
      <c r="L2267" s="46" t="n">
        <v>11379.04</v>
      </c>
    </row>
    <row r="2268" customFormat="false" ht="15" hidden="false" customHeight="false" outlineLevel="0" collapsed="false">
      <c r="A2268" s="37" t="n">
        <v>502441</v>
      </c>
      <c r="B2268" s="37" t="s">
        <v>1717</v>
      </c>
      <c r="C2268" s="37" t="n">
        <v>202608</v>
      </c>
      <c r="D2268" s="37" t="s">
        <v>67</v>
      </c>
      <c r="E2268" s="37" t="s">
        <v>97</v>
      </c>
      <c r="F2268" s="37" t="s">
        <v>194</v>
      </c>
      <c r="G2268" s="37" t="s">
        <v>354</v>
      </c>
      <c r="H2268" s="37"/>
      <c r="I2268" s="37" t="s">
        <v>355</v>
      </c>
      <c r="J2268" s="37" t="s">
        <v>1718</v>
      </c>
      <c r="K2268" s="45" t="n">
        <v>232.5</v>
      </c>
      <c r="L2268" s="46" t="n">
        <v>21389.24</v>
      </c>
    </row>
    <row r="2269" customFormat="false" ht="15" hidden="false" customHeight="false" outlineLevel="0" collapsed="false">
      <c r="A2269" s="37" t="n">
        <v>502495</v>
      </c>
      <c r="B2269" s="37" t="s">
        <v>1717</v>
      </c>
      <c r="C2269" s="37" t="n">
        <v>202608</v>
      </c>
      <c r="D2269" s="37" t="s">
        <v>67</v>
      </c>
      <c r="E2269" s="37" t="s">
        <v>101</v>
      </c>
      <c r="F2269" s="37" t="s">
        <v>194</v>
      </c>
      <c r="G2269" s="37" t="s">
        <v>354</v>
      </c>
      <c r="H2269" s="37"/>
      <c r="I2269" s="37" t="s">
        <v>355</v>
      </c>
      <c r="J2269" s="37" t="s">
        <v>1718</v>
      </c>
      <c r="K2269" s="45" t="n">
        <v>282.5</v>
      </c>
      <c r="L2269" s="46" t="n">
        <v>20903.72</v>
      </c>
    </row>
    <row r="2270" customFormat="false" ht="15" hidden="false" customHeight="false" outlineLevel="0" collapsed="false">
      <c r="A2270" s="37" t="n">
        <v>502557</v>
      </c>
      <c r="B2270" s="37" t="s">
        <v>1717</v>
      </c>
      <c r="C2270" s="37" t="n">
        <v>202608</v>
      </c>
      <c r="D2270" s="37" t="s">
        <v>68</v>
      </c>
      <c r="E2270" s="37" t="s">
        <v>97</v>
      </c>
      <c r="F2270" s="37" t="s">
        <v>194</v>
      </c>
      <c r="G2270" s="37" t="s">
        <v>354</v>
      </c>
      <c r="H2270" s="37"/>
      <c r="I2270" s="37" t="s">
        <v>355</v>
      </c>
      <c r="J2270" s="37" t="s">
        <v>1718</v>
      </c>
      <c r="K2270" s="45" t="n">
        <v>232.5</v>
      </c>
      <c r="L2270" s="46" t="n">
        <v>21389.06</v>
      </c>
    </row>
    <row r="2271" customFormat="false" ht="15" hidden="false" customHeight="false" outlineLevel="0" collapsed="false">
      <c r="A2271" s="37" t="n">
        <v>502594</v>
      </c>
      <c r="B2271" s="37" t="s">
        <v>1717</v>
      </c>
      <c r="C2271" s="37" t="n">
        <v>202608</v>
      </c>
      <c r="D2271" s="37" t="s">
        <v>68</v>
      </c>
      <c r="E2271" s="37" t="s">
        <v>101</v>
      </c>
      <c r="F2271" s="37" t="s">
        <v>194</v>
      </c>
      <c r="G2271" s="37" t="s">
        <v>354</v>
      </c>
      <c r="H2271" s="37"/>
      <c r="I2271" s="37" t="s">
        <v>355</v>
      </c>
      <c r="J2271" s="37" t="s">
        <v>1718</v>
      </c>
      <c r="K2271" s="45" t="n">
        <v>307.6</v>
      </c>
      <c r="L2271" s="46" t="n">
        <v>22764.39</v>
      </c>
    </row>
    <row r="2272" customFormat="false" ht="15" hidden="false" customHeight="false" outlineLevel="0" collapsed="false">
      <c r="A2272" s="37" t="n">
        <v>502636</v>
      </c>
      <c r="B2272" s="37" t="s">
        <v>1717</v>
      </c>
      <c r="C2272" s="37" t="n">
        <v>202608</v>
      </c>
      <c r="D2272" s="37" t="s">
        <v>69</v>
      </c>
      <c r="E2272" s="37" t="s">
        <v>97</v>
      </c>
      <c r="F2272" s="37" t="s">
        <v>194</v>
      </c>
      <c r="G2272" s="37" t="s">
        <v>354</v>
      </c>
      <c r="H2272" s="37"/>
      <c r="I2272" s="37" t="s">
        <v>355</v>
      </c>
      <c r="J2272" s="37" t="s">
        <v>1718</v>
      </c>
      <c r="K2272" s="45" t="n">
        <v>89.8</v>
      </c>
      <c r="L2272" s="46" t="n">
        <v>8263.67</v>
      </c>
    </row>
    <row r="2273" customFormat="false" ht="15" hidden="false" customHeight="false" outlineLevel="0" collapsed="false">
      <c r="A2273" s="37" t="n">
        <v>502656</v>
      </c>
      <c r="B2273" s="37" t="s">
        <v>1717</v>
      </c>
      <c r="C2273" s="37" t="n">
        <v>202608</v>
      </c>
      <c r="D2273" s="37" t="s">
        <v>69</v>
      </c>
      <c r="E2273" s="37" t="s">
        <v>101</v>
      </c>
      <c r="F2273" s="37" t="s">
        <v>194</v>
      </c>
      <c r="G2273" s="37" t="s">
        <v>354</v>
      </c>
      <c r="H2273" s="37"/>
      <c r="I2273" s="37" t="s">
        <v>355</v>
      </c>
      <c r="J2273" s="37" t="s">
        <v>1718</v>
      </c>
      <c r="K2273" s="45" t="n">
        <v>95.3</v>
      </c>
      <c r="L2273" s="46" t="n">
        <v>7051.48</v>
      </c>
    </row>
    <row r="2274" customFormat="false" ht="15" hidden="false" customHeight="false" outlineLevel="0" collapsed="false">
      <c r="A2274" s="37" t="n">
        <v>502058</v>
      </c>
      <c r="B2274" s="37" t="s">
        <v>1722</v>
      </c>
      <c r="C2274" s="37" t="n">
        <v>202608</v>
      </c>
      <c r="D2274" s="37" t="s">
        <v>64</v>
      </c>
      <c r="E2274" s="37" t="s">
        <v>108</v>
      </c>
      <c r="F2274" s="37" t="s">
        <v>205</v>
      </c>
      <c r="G2274" s="37" t="s">
        <v>358</v>
      </c>
      <c r="H2274" s="37" t="s">
        <v>1720</v>
      </c>
      <c r="I2274" s="37" t="s">
        <v>1405</v>
      </c>
      <c r="J2274" s="37" t="s">
        <v>1723</v>
      </c>
      <c r="K2274" s="45" t="n">
        <v>0</v>
      </c>
      <c r="L2274" s="46" t="n">
        <v>2247.55</v>
      </c>
    </row>
    <row r="2275" customFormat="false" ht="15" hidden="false" customHeight="false" outlineLevel="0" collapsed="false">
      <c r="A2275" s="37" t="n">
        <v>502139</v>
      </c>
      <c r="B2275" s="37" t="s">
        <v>1722</v>
      </c>
      <c r="C2275" s="37" t="n">
        <v>202608</v>
      </c>
      <c r="D2275" s="37" t="s">
        <v>65</v>
      </c>
      <c r="E2275" s="37" t="s">
        <v>98</v>
      </c>
      <c r="F2275" s="37" t="s">
        <v>196</v>
      </c>
      <c r="G2275" s="37" t="s">
        <v>358</v>
      </c>
      <c r="H2275" s="37" t="s">
        <v>359</v>
      </c>
      <c r="I2275" s="37" t="s">
        <v>360</v>
      </c>
      <c r="J2275" s="37" t="s">
        <v>1724</v>
      </c>
      <c r="K2275" s="45" t="n">
        <v>0</v>
      </c>
      <c r="L2275" s="46" t="n">
        <v>25325.3</v>
      </c>
    </row>
    <row r="2276" customFormat="false" ht="15" hidden="false" customHeight="false" outlineLevel="0" collapsed="false">
      <c r="A2276" s="37" t="n">
        <v>502248</v>
      </c>
      <c r="B2276" s="37" t="s">
        <v>1722</v>
      </c>
      <c r="C2276" s="37" t="n">
        <v>202608</v>
      </c>
      <c r="D2276" s="37" t="s">
        <v>65</v>
      </c>
      <c r="E2276" s="37" t="s">
        <v>108</v>
      </c>
      <c r="F2276" s="37" t="s">
        <v>205</v>
      </c>
      <c r="G2276" s="37" t="s">
        <v>358</v>
      </c>
      <c r="H2276" s="37" t="s">
        <v>1725</v>
      </c>
      <c r="I2276" s="37" t="s">
        <v>1405</v>
      </c>
      <c r="J2276" s="37" t="s">
        <v>1726</v>
      </c>
      <c r="K2276" s="45" t="n">
        <v>0</v>
      </c>
      <c r="L2276" s="46" t="n">
        <v>8741.2</v>
      </c>
    </row>
    <row r="2277" customFormat="false" ht="15" hidden="false" customHeight="false" outlineLevel="0" collapsed="false">
      <c r="A2277" s="37" t="n">
        <v>502397</v>
      </c>
      <c r="B2277" s="37" t="s">
        <v>1722</v>
      </c>
      <c r="C2277" s="37" t="n">
        <v>202608</v>
      </c>
      <c r="D2277" s="37" t="s">
        <v>66</v>
      </c>
      <c r="E2277" s="37" t="s">
        <v>103</v>
      </c>
      <c r="F2277" s="37" t="s">
        <v>205</v>
      </c>
      <c r="G2277" s="37" t="s">
        <v>358</v>
      </c>
      <c r="H2277" s="37" t="s">
        <v>1296</v>
      </c>
      <c r="I2277" s="37" t="s">
        <v>1297</v>
      </c>
      <c r="J2277" s="37" t="s">
        <v>1727</v>
      </c>
      <c r="K2277" s="45" t="n">
        <v>0</v>
      </c>
      <c r="L2277" s="46" t="n">
        <v>43371.99</v>
      </c>
    </row>
    <row r="2278" customFormat="false" ht="15" hidden="false" customHeight="false" outlineLevel="0" collapsed="false">
      <c r="A2278" s="37" t="n">
        <v>502383</v>
      </c>
      <c r="B2278" s="37" t="s">
        <v>1728</v>
      </c>
      <c r="C2278" s="37" t="n">
        <v>202608</v>
      </c>
      <c r="D2278" s="37" t="s">
        <v>66</v>
      </c>
      <c r="E2278" s="37" t="s">
        <v>102</v>
      </c>
      <c r="F2278" s="37" t="s">
        <v>205</v>
      </c>
      <c r="G2278" s="37" t="s">
        <v>358</v>
      </c>
      <c r="H2278" s="37" t="s">
        <v>1323</v>
      </c>
      <c r="I2278" s="37" t="s">
        <v>715</v>
      </c>
      <c r="J2278" s="37" t="s">
        <v>1729</v>
      </c>
      <c r="K2278" s="45" t="n">
        <v>0</v>
      </c>
      <c r="L2278" s="46" t="n">
        <v>6299.52</v>
      </c>
    </row>
    <row r="2279" customFormat="false" ht="15" hidden="false" customHeight="false" outlineLevel="0" collapsed="false">
      <c r="A2279" s="37" t="n">
        <v>502461</v>
      </c>
      <c r="B2279" s="37" t="s">
        <v>1728</v>
      </c>
      <c r="C2279" s="37" t="n">
        <v>202608</v>
      </c>
      <c r="D2279" s="37" t="s">
        <v>67</v>
      </c>
      <c r="E2279" s="37" t="s">
        <v>98</v>
      </c>
      <c r="F2279" s="37" t="s">
        <v>196</v>
      </c>
      <c r="G2279" s="37" t="s">
        <v>358</v>
      </c>
      <c r="H2279" s="37" t="s">
        <v>359</v>
      </c>
      <c r="I2279" s="37" t="s">
        <v>360</v>
      </c>
      <c r="J2279" s="37" t="s">
        <v>1730</v>
      </c>
      <c r="K2279" s="45" t="n">
        <v>0</v>
      </c>
      <c r="L2279" s="46" t="n">
        <v>12773</v>
      </c>
    </row>
    <row r="2280" customFormat="false" ht="15" hidden="false" customHeight="false" outlineLevel="0" collapsed="false">
      <c r="A2280" s="37" t="n">
        <v>502463</v>
      </c>
      <c r="B2280" s="37" t="s">
        <v>1728</v>
      </c>
      <c r="C2280" s="37" t="n">
        <v>202608</v>
      </c>
      <c r="D2280" s="37" t="s">
        <v>67</v>
      </c>
      <c r="E2280" s="37" t="s">
        <v>98</v>
      </c>
      <c r="F2280" s="37" t="s">
        <v>196</v>
      </c>
      <c r="G2280" s="37" t="s">
        <v>358</v>
      </c>
      <c r="H2280" s="37" t="s">
        <v>359</v>
      </c>
      <c r="I2280" s="37" t="s">
        <v>360</v>
      </c>
      <c r="J2280" s="37" t="s">
        <v>1731</v>
      </c>
      <c r="K2280" s="45" t="n">
        <v>0</v>
      </c>
      <c r="L2280" s="46" t="n">
        <v>7879.16</v>
      </c>
    </row>
    <row r="2281" customFormat="false" ht="15" hidden="false" customHeight="false" outlineLevel="0" collapsed="false">
      <c r="A2281" s="37" t="n">
        <v>501191</v>
      </c>
      <c r="B2281" s="37" t="s">
        <v>1732</v>
      </c>
      <c r="C2281" s="37" t="n">
        <v>202608</v>
      </c>
      <c r="D2281" s="37" t="s">
        <v>61</v>
      </c>
      <c r="E2281" s="37" t="s">
        <v>98</v>
      </c>
      <c r="F2281" s="37" t="s">
        <v>196</v>
      </c>
      <c r="G2281" s="37" t="s">
        <v>358</v>
      </c>
      <c r="H2281" s="37" t="s">
        <v>359</v>
      </c>
      <c r="I2281" s="37" t="s">
        <v>360</v>
      </c>
      <c r="J2281" s="37" t="s">
        <v>1733</v>
      </c>
      <c r="K2281" s="45" t="n">
        <v>0</v>
      </c>
      <c r="L2281" s="46" t="n">
        <v>1589.76</v>
      </c>
    </row>
    <row r="2282" customFormat="false" ht="15" hidden="false" customHeight="false" outlineLevel="0" collapsed="false">
      <c r="A2282" s="37" t="n">
        <v>502515</v>
      </c>
      <c r="B2282" s="37" t="s">
        <v>1732</v>
      </c>
      <c r="C2282" s="37" t="n">
        <v>202608</v>
      </c>
      <c r="D2282" s="37" t="s">
        <v>67</v>
      </c>
      <c r="E2282" s="37" t="s">
        <v>102</v>
      </c>
      <c r="F2282" s="37" t="s">
        <v>205</v>
      </c>
      <c r="G2282" s="37" t="s">
        <v>358</v>
      </c>
      <c r="H2282" s="37" t="s">
        <v>1375</v>
      </c>
      <c r="I2282" s="37" t="s">
        <v>892</v>
      </c>
      <c r="J2282" s="37" t="s">
        <v>1734</v>
      </c>
      <c r="K2282" s="45" t="n">
        <v>0</v>
      </c>
      <c r="L2282" s="46" t="n">
        <v>63605.74</v>
      </c>
    </row>
    <row r="2283" customFormat="false" ht="15" hidden="false" customHeight="false" outlineLevel="0" collapsed="false">
      <c r="A2283" s="37" t="n">
        <v>502668</v>
      </c>
      <c r="B2283" s="37" t="s">
        <v>1732</v>
      </c>
      <c r="C2283" s="37" t="n">
        <v>202608</v>
      </c>
      <c r="D2283" s="37" t="s">
        <v>69</v>
      </c>
      <c r="E2283" s="37" t="s">
        <v>103</v>
      </c>
      <c r="F2283" s="37" t="s">
        <v>205</v>
      </c>
      <c r="G2283" s="37" t="s">
        <v>358</v>
      </c>
      <c r="H2283" s="37" t="s">
        <v>1735</v>
      </c>
      <c r="I2283" s="37" t="s">
        <v>1369</v>
      </c>
      <c r="J2283" s="37" t="s">
        <v>1736</v>
      </c>
      <c r="K2283" s="45" t="n">
        <v>0</v>
      </c>
      <c r="L2283" s="46" t="n">
        <v>16752.22</v>
      </c>
    </row>
    <row r="2284" customFormat="false" ht="15" hidden="false" customHeight="false" outlineLevel="0" collapsed="false">
      <c r="A2284" s="37" t="n">
        <v>502322</v>
      </c>
      <c r="B2284" s="37" t="s">
        <v>1737</v>
      </c>
      <c r="C2284" s="37" t="n">
        <v>202608</v>
      </c>
      <c r="D2284" s="37" t="s">
        <v>66</v>
      </c>
      <c r="E2284" s="37" t="s">
        <v>98</v>
      </c>
      <c r="F2284" s="37" t="s">
        <v>196</v>
      </c>
      <c r="G2284" s="37" t="s">
        <v>358</v>
      </c>
      <c r="H2284" s="37" t="s">
        <v>359</v>
      </c>
      <c r="I2284" s="37" t="s">
        <v>360</v>
      </c>
      <c r="J2284" s="37" t="s">
        <v>1738</v>
      </c>
      <c r="K2284" s="45" t="n">
        <v>0</v>
      </c>
      <c r="L2284" s="46" t="n">
        <v>17284.21</v>
      </c>
    </row>
    <row r="2285" customFormat="false" ht="15" hidden="false" customHeight="false" outlineLevel="0" collapsed="false">
      <c r="A2285" s="37" t="n">
        <v>502572</v>
      </c>
      <c r="B2285" s="37" t="s">
        <v>1737</v>
      </c>
      <c r="C2285" s="37" t="n">
        <v>202608</v>
      </c>
      <c r="D2285" s="37" t="s">
        <v>68</v>
      </c>
      <c r="E2285" s="37" t="s">
        <v>98</v>
      </c>
      <c r="F2285" s="37" t="s">
        <v>196</v>
      </c>
      <c r="G2285" s="37" t="s">
        <v>358</v>
      </c>
      <c r="H2285" s="37" t="s">
        <v>359</v>
      </c>
      <c r="I2285" s="37" t="s">
        <v>360</v>
      </c>
      <c r="J2285" s="37" t="s">
        <v>1739</v>
      </c>
      <c r="K2285" s="45" t="n">
        <v>0</v>
      </c>
      <c r="L2285" s="46" t="n">
        <v>10174.27</v>
      </c>
    </row>
    <row r="2286" customFormat="false" ht="15" hidden="false" customHeight="false" outlineLevel="0" collapsed="false">
      <c r="A2286" s="37" t="n">
        <v>502664</v>
      </c>
      <c r="B2286" s="37" t="s">
        <v>1737</v>
      </c>
      <c r="C2286" s="37" t="n">
        <v>202608</v>
      </c>
      <c r="D2286" s="37" t="s">
        <v>69</v>
      </c>
      <c r="E2286" s="37" t="s">
        <v>102</v>
      </c>
      <c r="F2286" s="37" t="s">
        <v>205</v>
      </c>
      <c r="G2286" s="37" t="s">
        <v>358</v>
      </c>
      <c r="H2286" s="37" t="s">
        <v>1715</v>
      </c>
      <c r="I2286" s="37" t="s">
        <v>715</v>
      </c>
      <c r="J2286" s="37" t="s">
        <v>1740</v>
      </c>
      <c r="K2286" s="45" t="n">
        <v>0</v>
      </c>
      <c r="L2286" s="46" t="n">
        <v>17786.85</v>
      </c>
    </row>
    <row r="2287" customFormat="false" ht="15" hidden="false" customHeight="false" outlineLevel="0" collapsed="false">
      <c r="A2287" s="37" t="n">
        <v>500115</v>
      </c>
      <c r="B2287" s="37" t="s">
        <v>1741</v>
      </c>
      <c r="C2287" s="37" t="n">
        <v>202608</v>
      </c>
      <c r="D2287" s="37" t="s">
        <v>58</v>
      </c>
      <c r="E2287" s="37" t="s">
        <v>97</v>
      </c>
      <c r="F2287" s="37" t="s">
        <v>194</v>
      </c>
      <c r="G2287" s="37" t="s">
        <v>354</v>
      </c>
      <c r="H2287" s="37"/>
      <c r="I2287" s="37" t="s">
        <v>355</v>
      </c>
      <c r="J2287" s="37" t="s">
        <v>1742</v>
      </c>
      <c r="K2287" s="45" t="n">
        <v>15.9</v>
      </c>
      <c r="L2287" s="46" t="n">
        <v>1458.68</v>
      </c>
    </row>
    <row r="2288" customFormat="false" ht="15" hidden="false" customHeight="false" outlineLevel="0" collapsed="false">
      <c r="A2288" s="37" t="n">
        <v>500523</v>
      </c>
      <c r="B2288" s="37" t="s">
        <v>1741</v>
      </c>
      <c r="C2288" s="37" t="n">
        <v>202608</v>
      </c>
      <c r="D2288" s="37" t="s">
        <v>59</v>
      </c>
      <c r="E2288" s="37" t="s">
        <v>97</v>
      </c>
      <c r="F2288" s="37" t="s">
        <v>194</v>
      </c>
      <c r="G2288" s="37" t="s">
        <v>354</v>
      </c>
      <c r="H2288" s="37"/>
      <c r="I2288" s="37" t="s">
        <v>355</v>
      </c>
      <c r="J2288" s="37" t="s">
        <v>1742</v>
      </c>
      <c r="K2288" s="45" t="n">
        <v>132.3</v>
      </c>
      <c r="L2288" s="46" t="n">
        <v>12167.59</v>
      </c>
    </row>
    <row r="2289" customFormat="false" ht="15" hidden="false" customHeight="false" outlineLevel="0" collapsed="false">
      <c r="A2289" s="37" t="n">
        <v>500725</v>
      </c>
      <c r="B2289" s="37" t="s">
        <v>1741</v>
      </c>
      <c r="C2289" s="37" t="n">
        <v>202608</v>
      </c>
      <c r="D2289" s="37" t="s">
        <v>59</v>
      </c>
      <c r="E2289" s="37" t="s">
        <v>106</v>
      </c>
      <c r="F2289" s="37" t="s">
        <v>194</v>
      </c>
      <c r="G2289" s="37" t="s">
        <v>354</v>
      </c>
      <c r="H2289" s="37"/>
      <c r="I2289" s="37" t="s">
        <v>355</v>
      </c>
      <c r="J2289" s="37" t="s">
        <v>1742</v>
      </c>
      <c r="K2289" s="45" t="n">
        <v>12.3</v>
      </c>
      <c r="L2289" s="46" t="n">
        <v>872.76</v>
      </c>
    </row>
    <row r="2290" customFormat="false" ht="15" hidden="false" customHeight="false" outlineLevel="0" collapsed="false">
      <c r="A2290" s="37" t="n">
        <v>500852</v>
      </c>
      <c r="B2290" s="37" t="s">
        <v>1741</v>
      </c>
      <c r="C2290" s="37" t="n">
        <v>202608</v>
      </c>
      <c r="D2290" s="37" t="s">
        <v>60</v>
      </c>
      <c r="E2290" s="37" t="s">
        <v>97</v>
      </c>
      <c r="F2290" s="37" t="s">
        <v>194</v>
      </c>
      <c r="G2290" s="37" t="s">
        <v>354</v>
      </c>
      <c r="H2290" s="37"/>
      <c r="I2290" s="37" t="s">
        <v>355</v>
      </c>
      <c r="J2290" s="37" t="s">
        <v>1742</v>
      </c>
      <c r="K2290" s="45" t="n">
        <v>284.1</v>
      </c>
      <c r="L2290" s="46" t="n">
        <v>26140.27</v>
      </c>
    </row>
    <row r="2291" customFormat="false" ht="15" hidden="false" customHeight="false" outlineLevel="0" collapsed="false">
      <c r="A2291" s="37" t="n">
        <v>501045</v>
      </c>
      <c r="B2291" s="37" t="s">
        <v>1741</v>
      </c>
      <c r="C2291" s="37" t="n">
        <v>202608</v>
      </c>
      <c r="D2291" s="37" t="s">
        <v>60</v>
      </c>
      <c r="E2291" s="37" t="s">
        <v>106</v>
      </c>
      <c r="F2291" s="37" t="s">
        <v>194</v>
      </c>
      <c r="G2291" s="37" t="s">
        <v>354</v>
      </c>
      <c r="H2291" s="37"/>
      <c r="I2291" s="37" t="s">
        <v>355</v>
      </c>
      <c r="J2291" s="37" t="s">
        <v>1742</v>
      </c>
      <c r="K2291" s="45" t="n">
        <v>71.4</v>
      </c>
      <c r="L2291" s="46" t="n">
        <v>5071.53</v>
      </c>
    </row>
    <row r="2292" customFormat="false" ht="15" hidden="false" customHeight="false" outlineLevel="0" collapsed="false">
      <c r="A2292" s="37" t="n">
        <v>501159</v>
      </c>
      <c r="B2292" s="37" t="s">
        <v>1741</v>
      </c>
      <c r="C2292" s="37" t="n">
        <v>202608</v>
      </c>
      <c r="D2292" s="37" t="s">
        <v>61</v>
      </c>
      <c r="E2292" s="37" t="s">
        <v>97</v>
      </c>
      <c r="F2292" s="37" t="s">
        <v>194</v>
      </c>
      <c r="G2292" s="37" t="s">
        <v>354</v>
      </c>
      <c r="H2292" s="37"/>
      <c r="I2292" s="37" t="s">
        <v>355</v>
      </c>
      <c r="J2292" s="37" t="s">
        <v>1742</v>
      </c>
      <c r="K2292" s="45" t="n">
        <v>92.8</v>
      </c>
      <c r="L2292" s="46" t="n">
        <v>8534.29</v>
      </c>
    </row>
    <row r="2293" customFormat="false" ht="15" hidden="false" customHeight="false" outlineLevel="0" collapsed="false">
      <c r="A2293" s="37" t="n">
        <v>501420</v>
      </c>
      <c r="B2293" s="37" t="s">
        <v>1741</v>
      </c>
      <c r="C2293" s="37" t="n">
        <v>202608</v>
      </c>
      <c r="D2293" s="37" t="s">
        <v>62</v>
      </c>
      <c r="E2293" s="37" t="s">
        <v>97</v>
      </c>
      <c r="F2293" s="37" t="s">
        <v>194</v>
      </c>
      <c r="G2293" s="37" t="s">
        <v>354</v>
      </c>
      <c r="H2293" s="37"/>
      <c r="I2293" s="37" t="s">
        <v>355</v>
      </c>
      <c r="J2293" s="37" t="s">
        <v>1742</v>
      </c>
      <c r="K2293" s="45" t="n">
        <v>304.7</v>
      </c>
      <c r="L2293" s="46" t="n">
        <v>28032.27</v>
      </c>
    </row>
    <row r="2294" customFormat="false" ht="15" hidden="false" customHeight="false" outlineLevel="0" collapsed="false">
      <c r="A2294" s="37" t="n">
        <v>501586</v>
      </c>
      <c r="B2294" s="37" t="s">
        <v>1741</v>
      </c>
      <c r="C2294" s="37" t="n">
        <v>202608</v>
      </c>
      <c r="D2294" s="37" t="s">
        <v>62</v>
      </c>
      <c r="E2294" s="37" t="s">
        <v>106</v>
      </c>
      <c r="F2294" s="37" t="s">
        <v>194</v>
      </c>
      <c r="G2294" s="37" t="s">
        <v>354</v>
      </c>
      <c r="H2294" s="37"/>
      <c r="I2294" s="37" t="s">
        <v>355</v>
      </c>
      <c r="J2294" s="37" t="s">
        <v>1742</v>
      </c>
      <c r="K2294" s="45" t="n">
        <v>319.7</v>
      </c>
      <c r="L2294" s="46" t="n">
        <v>22698.39</v>
      </c>
    </row>
    <row r="2295" customFormat="false" ht="15" hidden="false" customHeight="false" outlineLevel="0" collapsed="false">
      <c r="A2295" s="37" t="n">
        <v>501666</v>
      </c>
      <c r="B2295" s="37" t="s">
        <v>1741</v>
      </c>
      <c r="C2295" s="37" t="n">
        <v>202608</v>
      </c>
      <c r="D2295" s="37" t="s">
        <v>63</v>
      </c>
      <c r="E2295" s="37" t="s">
        <v>97</v>
      </c>
      <c r="F2295" s="37" t="s">
        <v>194</v>
      </c>
      <c r="G2295" s="37" t="s">
        <v>354</v>
      </c>
      <c r="H2295" s="37"/>
      <c r="I2295" s="37" t="s">
        <v>355</v>
      </c>
      <c r="J2295" s="37" t="s">
        <v>1742</v>
      </c>
      <c r="K2295" s="45" t="n">
        <v>187.3</v>
      </c>
      <c r="L2295" s="46" t="n">
        <v>17234.61</v>
      </c>
    </row>
    <row r="2296" customFormat="false" ht="15" hidden="false" customHeight="false" outlineLevel="0" collapsed="false">
      <c r="A2296" s="37" t="n">
        <v>501816</v>
      </c>
      <c r="B2296" s="37" t="s">
        <v>1741</v>
      </c>
      <c r="C2296" s="37" t="n">
        <v>202608</v>
      </c>
      <c r="D2296" s="37" t="s">
        <v>63</v>
      </c>
      <c r="E2296" s="37" t="s">
        <v>106</v>
      </c>
      <c r="F2296" s="37" t="s">
        <v>194</v>
      </c>
      <c r="G2296" s="37" t="s">
        <v>354</v>
      </c>
      <c r="H2296" s="37"/>
      <c r="I2296" s="37" t="s">
        <v>355</v>
      </c>
      <c r="J2296" s="37" t="s">
        <v>1742</v>
      </c>
      <c r="K2296" s="45" t="n">
        <v>83.3</v>
      </c>
      <c r="L2296" s="46" t="n">
        <v>5914.94</v>
      </c>
    </row>
    <row r="2297" customFormat="false" ht="15" hidden="false" customHeight="false" outlineLevel="0" collapsed="false">
      <c r="A2297" s="37" t="n">
        <v>501900</v>
      </c>
      <c r="B2297" s="37" t="s">
        <v>1741</v>
      </c>
      <c r="C2297" s="37" t="n">
        <v>202608</v>
      </c>
      <c r="D2297" s="37" t="s">
        <v>64</v>
      </c>
      <c r="E2297" s="37" t="s">
        <v>97</v>
      </c>
      <c r="F2297" s="37" t="s">
        <v>194</v>
      </c>
      <c r="G2297" s="37" t="s">
        <v>354</v>
      </c>
      <c r="H2297" s="37"/>
      <c r="I2297" s="37" t="s">
        <v>355</v>
      </c>
      <c r="J2297" s="37" t="s">
        <v>1742</v>
      </c>
      <c r="K2297" s="45" t="n">
        <v>354.1</v>
      </c>
      <c r="L2297" s="46" t="n">
        <v>32573.37</v>
      </c>
    </row>
    <row r="2298" customFormat="false" ht="15" hidden="false" customHeight="false" outlineLevel="0" collapsed="false">
      <c r="A2298" s="37" t="n">
        <v>502045</v>
      </c>
      <c r="B2298" s="37" t="s">
        <v>1741</v>
      </c>
      <c r="C2298" s="37" t="n">
        <v>202608</v>
      </c>
      <c r="D2298" s="37" t="s">
        <v>64</v>
      </c>
      <c r="E2298" s="37" t="s">
        <v>106</v>
      </c>
      <c r="F2298" s="37" t="s">
        <v>194</v>
      </c>
      <c r="G2298" s="37" t="s">
        <v>354</v>
      </c>
      <c r="H2298" s="37"/>
      <c r="I2298" s="37" t="s">
        <v>355</v>
      </c>
      <c r="J2298" s="37" t="s">
        <v>1742</v>
      </c>
      <c r="K2298" s="45" t="n">
        <v>623.1</v>
      </c>
      <c r="L2298" s="46" t="n">
        <v>44237.12</v>
      </c>
    </row>
    <row r="2299" customFormat="false" ht="15" hidden="false" customHeight="false" outlineLevel="0" collapsed="false">
      <c r="A2299" s="37" t="n">
        <v>502116</v>
      </c>
      <c r="B2299" s="37" t="s">
        <v>1741</v>
      </c>
      <c r="C2299" s="37" t="n">
        <v>202608</v>
      </c>
      <c r="D2299" s="37" t="s">
        <v>65</v>
      </c>
      <c r="E2299" s="37" t="s">
        <v>97</v>
      </c>
      <c r="F2299" s="37" t="s">
        <v>194</v>
      </c>
      <c r="G2299" s="37" t="s">
        <v>354</v>
      </c>
      <c r="H2299" s="37"/>
      <c r="I2299" s="37" t="s">
        <v>355</v>
      </c>
      <c r="J2299" s="37" t="s">
        <v>1742</v>
      </c>
      <c r="K2299" s="45" t="n">
        <v>395.6</v>
      </c>
      <c r="L2299" s="46" t="n">
        <v>36396.38</v>
      </c>
    </row>
    <row r="2300" customFormat="false" ht="15" hidden="false" customHeight="false" outlineLevel="0" collapsed="false">
      <c r="A2300" s="37" t="n">
        <v>502237</v>
      </c>
      <c r="B2300" s="37" t="s">
        <v>1741</v>
      </c>
      <c r="C2300" s="37" t="n">
        <v>202608</v>
      </c>
      <c r="D2300" s="37" t="s">
        <v>65</v>
      </c>
      <c r="E2300" s="37" t="s">
        <v>106</v>
      </c>
      <c r="F2300" s="37" t="s">
        <v>194</v>
      </c>
      <c r="G2300" s="37" t="s">
        <v>354</v>
      </c>
      <c r="H2300" s="37"/>
      <c r="I2300" s="37" t="s">
        <v>355</v>
      </c>
      <c r="J2300" s="37" t="s">
        <v>1742</v>
      </c>
      <c r="K2300" s="45" t="n">
        <v>447.2</v>
      </c>
      <c r="L2300" s="46" t="n">
        <v>31750.98</v>
      </c>
    </row>
    <row r="2301" customFormat="false" ht="15" hidden="false" customHeight="false" outlineLevel="0" collapsed="false">
      <c r="A2301" s="37" t="n">
        <v>502299</v>
      </c>
      <c r="B2301" s="37" t="s">
        <v>1741</v>
      </c>
      <c r="C2301" s="37" t="n">
        <v>202608</v>
      </c>
      <c r="D2301" s="37" t="s">
        <v>66</v>
      </c>
      <c r="E2301" s="37" t="s">
        <v>97</v>
      </c>
      <c r="F2301" s="37" t="s">
        <v>194</v>
      </c>
      <c r="G2301" s="37" t="s">
        <v>354</v>
      </c>
      <c r="H2301" s="37"/>
      <c r="I2301" s="37" t="s">
        <v>355</v>
      </c>
      <c r="J2301" s="37" t="s">
        <v>1742</v>
      </c>
      <c r="K2301" s="45" t="n">
        <v>379.7</v>
      </c>
      <c r="L2301" s="46" t="n">
        <v>34932.29</v>
      </c>
    </row>
    <row r="2302" customFormat="false" ht="15" hidden="false" customHeight="false" outlineLevel="0" collapsed="false">
      <c r="A2302" s="37" t="n">
        <v>502364</v>
      </c>
      <c r="B2302" s="37" t="s">
        <v>1741</v>
      </c>
      <c r="C2302" s="37" t="n">
        <v>202608</v>
      </c>
      <c r="D2302" s="37" t="s">
        <v>66</v>
      </c>
      <c r="E2302" s="37" t="s">
        <v>101</v>
      </c>
      <c r="F2302" s="37" t="s">
        <v>194</v>
      </c>
      <c r="G2302" s="37" t="s">
        <v>354</v>
      </c>
      <c r="H2302" s="37"/>
      <c r="I2302" s="37" t="s">
        <v>355</v>
      </c>
      <c r="J2302" s="37" t="s">
        <v>1742</v>
      </c>
      <c r="K2302" s="45" t="n">
        <v>153.4</v>
      </c>
      <c r="L2302" s="46" t="n">
        <v>11349.86</v>
      </c>
    </row>
    <row r="2303" customFormat="false" ht="15" hidden="false" customHeight="false" outlineLevel="0" collapsed="false">
      <c r="A2303" s="37" t="n">
        <v>502442</v>
      </c>
      <c r="B2303" s="37" t="s">
        <v>1741</v>
      </c>
      <c r="C2303" s="37" t="n">
        <v>202608</v>
      </c>
      <c r="D2303" s="37" t="s">
        <v>67</v>
      </c>
      <c r="E2303" s="37" t="s">
        <v>97</v>
      </c>
      <c r="F2303" s="37" t="s">
        <v>194</v>
      </c>
      <c r="G2303" s="37" t="s">
        <v>354</v>
      </c>
      <c r="H2303" s="37"/>
      <c r="I2303" s="37" t="s">
        <v>355</v>
      </c>
      <c r="J2303" s="37" t="s">
        <v>1742</v>
      </c>
      <c r="K2303" s="45" t="n">
        <v>290.7</v>
      </c>
      <c r="L2303" s="46" t="n">
        <v>26742.33</v>
      </c>
    </row>
    <row r="2304" customFormat="false" ht="15" hidden="false" customHeight="false" outlineLevel="0" collapsed="false">
      <c r="A2304" s="37" t="n">
        <v>502496</v>
      </c>
      <c r="B2304" s="37" t="s">
        <v>1741</v>
      </c>
      <c r="C2304" s="37" t="n">
        <v>202608</v>
      </c>
      <c r="D2304" s="37" t="s">
        <v>67</v>
      </c>
      <c r="E2304" s="37" t="s">
        <v>101</v>
      </c>
      <c r="F2304" s="37" t="s">
        <v>194</v>
      </c>
      <c r="G2304" s="37" t="s">
        <v>354</v>
      </c>
      <c r="H2304" s="37"/>
      <c r="I2304" s="37" t="s">
        <v>355</v>
      </c>
      <c r="J2304" s="37" t="s">
        <v>1742</v>
      </c>
      <c r="K2304" s="45" t="n">
        <v>600.7</v>
      </c>
      <c r="L2304" s="46" t="n">
        <v>44454.8</v>
      </c>
    </row>
    <row r="2305" customFormat="false" ht="15" hidden="false" customHeight="false" outlineLevel="0" collapsed="false">
      <c r="A2305" s="37" t="n">
        <v>502513</v>
      </c>
      <c r="B2305" s="37" t="s">
        <v>1741</v>
      </c>
      <c r="C2305" s="37" t="n">
        <v>202608</v>
      </c>
      <c r="D2305" s="37" t="s">
        <v>67</v>
      </c>
      <c r="E2305" s="37" t="s">
        <v>102</v>
      </c>
      <c r="F2305" s="37" t="s">
        <v>205</v>
      </c>
      <c r="G2305" s="37" t="s">
        <v>358</v>
      </c>
      <c r="H2305" s="37" t="s">
        <v>1375</v>
      </c>
      <c r="I2305" s="37" t="s">
        <v>892</v>
      </c>
      <c r="J2305" s="37" t="s">
        <v>1743</v>
      </c>
      <c r="K2305" s="45" t="n">
        <v>0</v>
      </c>
      <c r="L2305" s="46" t="n">
        <v>47120.31</v>
      </c>
    </row>
    <row r="2306" customFormat="false" ht="15" hidden="false" customHeight="false" outlineLevel="0" collapsed="false">
      <c r="A2306" s="37" t="n">
        <v>502558</v>
      </c>
      <c r="B2306" s="37" t="s">
        <v>1741</v>
      </c>
      <c r="C2306" s="37" t="n">
        <v>202608</v>
      </c>
      <c r="D2306" s="37" t="s">
        <v>68</v>
      </c>
      <c r="E2306" s="37" t="s">
        <v>97</v>
      </c>
      <c r="F2306" s="37" t="s">
        <v>194</v>
      </c>
      <c r="G2306" s="37" t="s">
        <v>354</v>
      </c>
      <c r="H2306" s="37"/>
      <c r="I2306" s="37" t="s">
        <v>355</v>
      </c>
      <c r="J2306" s="37" t="s">
        <v>1742</v>
      </c>
      <c r="K2306" s="45" t="n">
        <v>180.7</v>
      </c>
      <c r="L2306" s="46" t="n">
        <v>16625.34</v>
      </c>
    </row>
    <row r="2307" customFormat="false" ht="15" hidden="false" customHeight="false" outlineLevel="0" collapsed="false">
      <c r="A2307" s="37" t="n">
        <v>502595</v>
      </c>
      <c r="B2307" s="37" t="s">
        <v>1741</v>
      </c>
      <c r="C2307" s="37" t="n">
        <v>202608</v>
      </c>
      <c r="D2307" s="37" t="s">
        <v>68</v>
      </c>
      <c r="E2307" s="37" t="s">
        <v>101</v>
      </c>
      <c r="F2307" s="37" t="s">
        <v>194</v>
      </c>
      <c r="G2307" s="37" t="s">
        <v>354</v>
      </c>
      <c r="H2307" s="37"/>
      <c r="I2307" s="37" t="s">
        <v>355</v>
      </c>
      <c r="J2307" s="37" t="s">
        <v>1742</v>
      </c>
      <c r="K2307" s="45" t="n">
        <v>639.6</v>
      </c>
      <c r="L2307" s="46" t="n">
        <v>47331.81</v>
      </c>
    </row>
    <row r="2308" customFormat="false" ht="15" hidden="false" customHeight="false" outlineLevel="0" collapsed="false">
      <c r="A2308" s="37" t="n">
        <v>502637</v>
      </c>
      <c r="B2308" s="37" t="s">
        <v>1741</v>
      </c>
      <c r="C2308" s="37" t="n">
        <v>202608</v>
      </c>
      <c r="D2308" s="37" t="s">
        <v>69</v>
      </c>
      <c r="E2308" s="37" t="s">
        <v>97</v>
      </c>
      <c r="F2308" s="37" t="s">
        <v>194</v>
      </c>
      <c r="G2308" s="37" t="s">
        <v>354</v>
      </c>
      <c r="H2308" s="37"/>
      <c r="I2308" s="37" t="s">
        <v>355</v>
      </c>
      <c r="J2308" s="37" t="s">
        <v>1742</v>
      </c>
      <c r="K2308" s="45" t="n">
        <v>54.5</v>
      </c>
      <c r="L2308" s="46" t="n">
        <v>5016.26</v>
      </c>
    </row>
    <row r="2309" customFormat="false" ht="15" hidden="false" customHeight="false" outlineLevel="0" collapsed="false">
      <c r="A2309" s="37" t="n">
        <v>502657</v>
      </c>
      <c r="B2309" s="37" t="s">
        <v>1741</v>
      </c>
      <c r="C2309" s="37" t="n">
        <v>202608</v>
      </c>
      <c r="D2309" s="37" t="s">
        <v>69</v>
      </c>
      <c r="E2309" s="37" t="s">
        <v>101</v>
      </c>
      <c r="F2309" s="37" t="s">
        <v>194</v>
      </c>
      <c r="G2309" s="37" t="s">
        <v>354</v>
      </c>
      <c r="H2309" s="37"/>
      <c r="I2309" s="37" t="s">
        <v>355</v>
      </c>
      <c r="J2309" s="37" t="s">
        <v>1742</v>
      </c>
      <c r="K2309" s="45" t="n">
        <v>30.7</v>
      </c>
      <c r="L2309" s="46" t="n">
        <v>2272</v>
      </c>
    </row>
    <row r="2310" customFormat="false" ht="15" hidden="false" customHeight="false" outlineLevel="0" collapsed="false">
      <c r="A2310" s="37" t="n">
        <v>500892</v>
      </c>
      <c r="B2310" s="37" t="s">
        <v>1744</v>
      </c>
      <c r="C2310" s="37" t="n">
        <v>202608</v>
      </c>
      <c r="D2310" s="37" t="s">
        <v>60</v>
      </c>
      <c r="E2310" s="37" t="s">
        <v>98</v>
      </c>
      <c r="F2310" s="37" t="s">
        <v>196</v>
      </c>
      <c r="G2310" s="37" t="s">
        <v>358</v>
      </c>
      <c r="H2310" s="37" t="s">
        <v>359</v>
      </c>
      <c r="I2310" s="37" t="s">
        <v>360</v>
      </c>
      <c r="J2310" s="37" t="s">
        <v>1745</v>
      </c>
      <c r="K2310" s="45" t="n">
        <v>0</v>
      </c>
      <c r="L2310" s="46" t="n">
        <v>12242.32</v>
      </c>
    </row>
    <row r="2311" customFormat="false" ht="15" hidden="false" customHeight="false" outlineLevel="0" collapsed="false">
      <c r="A2311" s="37" t="n">
        <v>501189</v>
      </c>
      <c r="B2311" s="37" t="s">
        <v>1744</v>
      </c>
      <c r="C2311" s="37" t="n">
        <v>202608</v>
      </c>
      <c r="D2311" s="37" t="s">
        <v>61</v>
      </c>
      <c r="E2311" s="37" t="s">
        <v>98</v>
      </c>
      <c r="F2311" s="37" t="s">
        <v>196</v>
      </c>
      <c r="G2311" s="37" t="s">
        <v>358</v>
      </c>
      <c r="H2311" s="37" t="s">
        <v>359</v>
      </c>
      <c r="I2311" s="37" t="s">
        <v>360</v>
      </c>
      <c r="J2311" s="37" t="s">
        <v>1746</v>
      </c>
      <c r="K2311" s="45" t="n">
        <v>0</v>
      </c>
      <c r="L2311" s="46" t="n">
        <v>2405.46</v>
      </c>
    </row>
    <row r="2312" customFormat="false" ht="15" hidden="false" customHeight="false" outlineLevel="0" collapsed="false">
      <c r="A2312" s="37" t="n">
        <v>501451</v>
      </c>
      <c r="B2312" s="37" t="s">
        <v>1744</v>
      </c>
      <c r="C2312" s="37" t="n">
        <v>202608</v>
      </c>
      <c r="D2312" s="37" t="s">
        <v>62</v>
      </c>
      <c r="E2312" s="37" t="s">
        <v>98</v>
      </c>
      <c r="F2312" s="37" t="s">
        <v>196</v>
      </c>
      <c r="G2312" s="37" t="s">
        <v>358</v>
      </c>
      <c r="H2312" s="37" t="s">
        <v>359</v>
      </c>
      <c r="I2312" s="37" t="s">
        <v>360</v>
      </c>
      <c r="J2312" s="37" t="s">
        <v>1747</v>
      </c>
      <c r="K2312" s="45" t="n">
        <v>0</v>
      </c>
      <c r="L2312" s="46" t="n">
        <v>60199.63</v>
      </c>
    </row>
    <row r="2313" customFormat="false" ht="15" hidden="false" customHeight="false" outlineLevel="0" collapsed="false">
      <c r="A2313" s="37" t="n">
        <v>502573</v>
      </c>
      <c r="B2313" s="37" t="s">
        <v>1744</v>
      </c>
      <c r="C2313" s="37" t="n">
        <v>202608</v>
      </c>
      <c r="D2313" s="37" t="s">
        <v>68</v>
      </c>
      <c r="E2313" s="37" t="s">
        <v>98</v>
      </c>
      <c r="F2313" s="37" t="s">
        <v>196</v>
      </c>
      <c r="G2313" s="37" t="s">
        <v>358</v>
      </c>
      <c r="H2313" s="37" t="s">
        <v>359</v>
      </c>
      <c r="I2313" s="37" t="s">
        <v>360</v>
      </c>
      <c r="J2313" s="37" t="s">
        <v>1748</v>
      </c>
      <c r="K2313" s="45" t="n">
        <v>0</v>
      </c>
      <c r="L2313" s="46" t="n">
        <v>5822.05</v>
      </c>
    </row>
    <row r="2314" customFormat="false" ht="15" hidden="false" customHeight="false" outlineLevel="0" collapsed="false">
      <c r="A2314" s="37" t="n">
        <v>502056</v>
      </c>
      <c r="B2314" s="37" t="s">
        <v>1749</v>
      </c>
      <c r="C2314" s="37" t="n">
        <v>202608</v>
      </c>
      <c r="D2314" s="37" t="s">
        <v>64</v>
      </c>
      <c r="E2314" s="37" t="s">
        <v>108</v>
      </c>
      <c r="F2314" s="37" t="s">
        <v>205</v>
      </c>
      <c r="G2314" s="37" t="s">
        <v>358</v>
      </c>
      <c r="H2314" s="37" t="s">
        <v>1720</v>
      </c>
      <c r="I2314" s="37" t="s">
        <v>1405</v>
      </c>
      <c r="J2314" s="37" t="s">
        <v>1750</v>
      </c>
      <c r="K2314" s="45" t="n">
        <v>0</v>
      </c>
      <c r="L2314" s="46" t="n">
        <v>982.25</v>
      </c>
    </row>
    <row r="2315" customFormat="false" ht="15" hidden="false" customHeight="false" outlineLevel="0" collapsed="false">
      <c r="A2315" s="37" t="n">
        <v>502527</v>
      </c>
      <c r="B2315" s="37" t="s">
        <v>1749</v>
      </c>
      <c r="C2315" s="37" t="n">
        <v>202608</v>
      </c>
      <c r="D2315" s="37" t="s">
        <v>67</v>
      </c>
      <c r="E2315" s="37" t="s">
        <v>103</v>
      </c>
      <c r="F2315" s="37" t="s">
        <v>205</v>
      </c>
      <c r="G2315" s="37" t="s">
        <v>358</v>
      </c>
      <c r="H2315" s="37" t="s">
        <v>1368</v>
      </c>
      <c r="I2315" s="37" t="s">
        <v>1369</v>
      </c>
      <c r="J2315" s="37" t="s">
        <v>1751</v>
      </c>
      <c r="K2315" s="45" t="n">
        <v>0</v>
      </c>
      <c r="L2315" s="46" t="n">
        <v>116454.55</v>
      </c>
    </row>
    <row r="2316" customFormat="false" ht="15" hidden="false" customHeight="false" outlineLevel="0" collapsed="false">
      <c r="A2316" s="37" t="n">
        <v>502607</v>
      </c>
      <c r="B2316" s="37" t="s">
        <v>1749</v>
      </c>
      <c r="C2316" s="37" t="n">
        <v>202608</v>
      </c>
      <c r="D2316" s="37" t="s">
        <v>68</v>
      </c>
      <c r="E2316" s="37" t="s">
        <v>102</v>
      </c>
      <c r="F2316" s="37" t="s">
        <v>205</v>
      </c>
      <c r="G2316" s="37" t="s">
        <v>358</v>
      </c>
      <c r="H2316" s="37" t="s">
        <v>1566</v>
      </c>
      <c r="I2316" s="37" t="s">
        <v>715</v>
      </c>
      <c r="J2316" s="37" t="s">
        <v>1752</v>
      </c>
      <c r="K2316" s="45" t="n">
        <v>0</v>
      </c>
      <c r="L2316" s="46" t="n">
        <v>18226.11</v>
      </c>
    </row>
    <row r="2317" customFormat="false" ht="15" hidden="false" customHeight="false" outlineLevel="0" collapsed="false">
      <c r="A2317" s="37" t="n">
        <v>500171</v>
      </c>
      <c r="B2317" s="37" t="s">
        <v>1753</v>
      </c>
      <c r="C2317" s="37" t="n">
        <v>202608</v>
      </c>
      <c r="D2317" s="37" t="s">
        <v>58</v>
      </c>
      <c r="E2317" s="37" t="s">
        <v>98</v>
      </c>
      <c r="F2317" s="37" t="s">
        <v>196</v>
      </c>
      <c r="G2317" s="37" t="s">
        <v>358</v>
      </c>
      <c r="H2317" s="37" t="s">
        <v>359</v>
      </c>
      <c r="I2317" s="37" t="s">
        <v>360</v>
      </c>
      <c r="J2317" s="37" t="s">
        <v>1754</v>
      </c>
      <c r="K2317" s="45" t="n">
        <v>0</v>
      </c>
      <c r="L2317" s="46" t="n">
        <v>817</v>
      </c>
    </row>
    <row r="2318" customFormat="false" ht="15" hidden="false" customHeight="false" outlineLevel="0" collapsed="false">
      <c r="A2318" s="37" t="n">
        <v>501190</v>
      </c>
      <c r="B2318" s="37" t="s">
        <v>1753</v>
      </c>
      <c r="C2318" s="37" t="n">
        <v>202608</v>
      </c>
      <c r="D2318" s="37" t="s">
        <v>61</v>
      </c>
      <c r="E2318" s="37" t="s">
        <v>98</v>
      </c>
      <c r="F2318" s="37" t="s">
        <v>196</v>
      </c>
      <c r="G2318" s="37" t="s">
        <v>358</v>
      </c>
      <c r="H2318" s="37" t="s">
        <v>359</v>
      </c>
      <c r="I2318" s="37" t="s">
        <v>360</v>
      </c>
      <c r="J2318" s="37" t="s">
        <v>1755</v>
      </c>
      <c r="K2318" s="45" t="n">
        <v>0</v>
      </c>
      <c r="L2318" s="46" t="n">
        <v>3398.87</v>
      </c>
    </row>
    <row r="2319" customFormat="false" ht="15" hidden="false" customHeight="false" outlineLevel="0" collapsed="false">
      <c r="A2319" s="37" t="n">
        <v>502606</v>
      </c>
      <c r="B2319" s="37" t="s">
        <v>1753</v>
      </c>
      <c r="C2319" s="37" t="n">
        <v>202608</v>
      </c>
      <c r="D2319" s="37" t="s">
        <v>68</v>
      </c>
      <c r="E2319" s="37" t="s">
        <v>102</v>
      </c>
      <c r="F2319" s="37" t="s">
        <v>205</v>
      </c>
      <c r="G2319" s="37" t="s">
        <v>358</v>
      </c>
      <c r="H2319" s="37" t="s">
        <v>1566</v>
      </c>
      <c r="I2319" s="37" t="s">
        <v>715</v>
      </c>
      <c r="J2319" s="37" t="s">
        <v>1756</v>
      </c>
      <c r="K2319" s="45" t="n">
        <v>0</v>
      </c>
      <c r="L2319" s="46" t="n">
        <v>53600.82</v>
      </c>
    </row>
    <row r="2320" customFormat="false" ht="15" hidden="false" customHeight="false" outlineLevel="0" collapsed="false">
      <c r="A2320" s="37" t="n">
        <v>502608</v>
      </c>
      <c r="B2320" s="37" t="s">
        <v>1753</v>
      </c>
      <c r="C2320" s="37" t="n">
        <v>202608</v>
      </c>
      <c r="D2320" s="37" t="s">
        <v>68</v>
      </c>
      <c r="E2320" s="37" t="s">
        <v>102</v>
      </c>
      <c r="F2320" s="37" t="s">
        <v>205</v>
      </c>
      <c r="G2320" s="37" t="s">
        <v>358</v>
      </c>
      <c r="H2320" s="37" t="s">
        <v>1566</v>
      </c>
      <c r="I2320" s="37" t="s">
        <v>715</v>
      </c>
      <c r="J2320" s="37" t="s">
        <v>1757</v>
      </c>
      <c r="K2320" s="45" t="n">
        <v>0</v>
      </c>
      <c r="L2320" s="46" t="n">
        <v>18679.99</v>
      </c>
    </row>
    <row r="2321" customFormat="false" ht="15" hidden="false" customHeight="false" outlineLevel="0" collapsed="false">
      <c r="A2321" s="37" t="n">
        <v>500567</v>
      </c>
      <c r="B2321" s="37" t="s">
        <v>1758</v>
      </c>
      <c r="C2321" s="37" t="n">
        <v>202608</v>
      </c>
      <c r="D2321" s="37" t="s">
        <v>59</v>
      </c>
      <c r="E2321" s="37" t="s">
        <v>98</v>
      </c>
      <c r="F2321" s="37" t="s">
        <v>196</v>
      </c>
      <c r="G2321" s="37" t="s">
        <v>358</v>
      </c>
      <c r="H2321" s="37" t="s">
        <v>359</v>
      </c>
      <c r="I2321" s="37" t="s">
        <v>360</v>
      </c>
      <c r="J2321" s="37" t="s">
        <v>1759</v>
      </c>
      <c r="K2321" s="45" t="n">
        <v>0</v>
      </c>
      <c r="L2321" s="46" t="n">
        <v>7762.2</v>
      </c>
    </row>
    <row r="2322" customFormat="false" ht="15" hidden="false" customHeight="false" outlineLevel="0" collapsed="false">
      <c r="A2322" s="37" t="n">
        <v>501334</v>
      </c>
      <c r="B2322" s="37" t="s">
        <v>1758</v>
      </c>
      <c r="C2322" s="37" t="n">
        <v>202608</v>
      </c>
      <c r="D2322" s="37" t="s">
        <v>61</v>
      </c>
      <c r="E2322" s="37" t="s">
        <v>108</v>
      </c>
      <c r="F2322" s="37" t="s">
        <v>205</v>
      </c>
      <c r="G2322" s="37" t="s">
        <v>358</v>
      </c>
      <c r="H2322" s="37" t="s">
        <v>1404</v>
      </c>
      <c r="I2322" s="37" t="s">
        <v>1405</v>
      </c>
      <c r="J2322" s="37" t="s">
        <v>1760</v>
      </c>
      <c r="K2322" s="45" t="n">
        <v>0</v>
      </c>
      <c r="L2322" s="46" t="n">
        <v>9668</v>
      </c>
    </row>
    <row r="2323" customFormat="false" ht="15" hidden="false" customHeight="false" outlineLevel="0" collapsed="false">
      <c r="A2323" s="37" t="n">
        <v>502399</v>
      </c>
      <c r="B2323" s="37" t="s">
        <v>1758</v>
      </c>
      <c r="C2323" s="37" t="n">
        <v>202608</v>
      </c>
      <c r="D2323" s="37" t="s">
        <v>66</v>
      </c>
      <c r="E2323" s="37" t="s">
        <v>103</v>
      </c>
      <c r="F2323" s="37" t="s">
        <v>205</v>
      </c>
      <c r="G2323" s="37" t="s">
        <v>358</v>
      </c>
      <c r="H2323" s="37" t="s">
        <v>1296</v>
      </c>
      <c r="I2323" s="37" t="s">
        <v>1297</v>
      </c>
      <c r="J2323" s="37" t="s">
        <v>1761</v>
      </c>
      <c r="K2323" s="45" t="n">
        <v>0</v>
      </c>
      <c r="L2323" s="46" t="n">
        <v>86804.15</v>
      </c>
    </row>
    <row r="2324" customFormat="false" ht="15" hidden="false" customHeight="false" outlineLevel="0" collapsed="false">
      <c r="A2324" s="37" t="n">
        <v>502514</v>
      </c>
      <c r="B2324" s="37" t="s">
        <v>1758</v>
      </c>
      <c r="C2324" s="37" t="n">
        <v>202608</v>
      </c>
      <c r="D2324" s="37" t="s">
        <v>67</v>
      </c>
      <c r="E2324" s="37" t="s">
        <v>102</v>
      </c>
      <c r="F2324" s="37" t="s">
        <v>205</v>
      </c>
      <c r="G2324" s="37" t="s">
        <v>358</v>
      </c>
      <c r="H2324" s="37" t="s">
        <v>1375</v>
      </c>
      <c r="I2324" s="37" t="s">
        <v>892</v>
      </c>
      <c r="J2324" s="37" t="s">
        <v>1762</v>
      </c>
      <c r="K2324" s="45" t="n">
        <v>0</v>
      </c>
      <c r="L2324" s="46" t="n">
        <v>11784.22</v>
      </c>
    </row>
    <row r="2325" customFormat="false" ht="15" hidden="false" customHeight="false" outlineLevel="0" collapsed="false">
      <c r="A2325" s="37" t="n">
        <v>501066</v>
      </c>
      <c r="B2325" s="37" t="s">
        <v>1763</v>
      </c>
      <c r="C2325" s="37" t="n">
        <v>202608</v>
      </c>
      <c r="D2325" s="37" t="s">
        <v>60</v>
      </c>
      <c r="E2325" s="37" t="s">
        <v>108</v>
      </c>
      <c r="F2325" s="37" t="s">
        <v>205</v>
      </c>
      <c r="G2325" s="37" t="s">
        <v>358</v>
      </c>
      <c r="H2325" s="37" t="s">
        <v>1488</v>
      </c>
      <c r="I2325" s="37" t="s">
        <v>1489</v>
      </c>
      <c r="J2325" s="37" t="s">
        <v>1764</v>
      </c>
      <c r="K2325" s="45" t="n">
        <v>0</v>
      </c>
      <c r="L2325" s="46" t="n">
        <v>154770.26</v>
      </c>
    </row>
    <row r="2326" customFormat="false" ht="15" hidden="false" customHeight="false" outlineLevel="0" collapsed="false">
      <c r="A2326" s="37" t="n">
        <v>502646</v>
      </c>
      <c r="B2326" s="37" t="s">
        <v>1763</v>
      </c>
      <c r="C2326" s="37" t="n">
        <v>202608</v>
      </c>
      <c r="D2326" s="37" t="s">
        <v>69</v>
      </c>
      <c r="E2326" s="37" t="s">
        <v>98</v>
      </c>
      <c r="F2326" s="37" t="s">
        <v>196</v>
      </c>
      <c r="G2326" s="37" t="s">
        <v>358</v>
      </c>
      <c r="H2326" s="37" t="s">
        <v>359</v>
      </c>
      <c r="I2326" s="37" t="s">
        <v>360</v>
      </c>
      <c r="J2326" s="37" t="s">
        <v>1765</v>
      </c>
      <c r="K2326" s="45" t="n">
        <v>0</v>
      </c>
      <c r="L2326" s="46" t="n">
        <v>5620.44</v>
      </c>
    </row>
    <row r="2327" customFormat="false" ht="15" hidden="false" customHeight="false" outlineLevel="0" collapsed="false">
      <c r="A2327" s="37" t="n">
        <v>500891</v>
      </c>
      <c r="B2327" s="37" t="s">
        <v>1766</v>
      </c>
      <c r="C2327" s="37" t="n">
        <v>202608</v>
      </c>
      <c r="D2327" s="37" t="s">
        <v>60</v>
      </c>
      <c r="E2327" s="37" t="s">
        <v>98</v>
      </c>
      <c r="F2327" s="37" t="s">
        <v>196</v>
      </c>
      <c r="G2327" s="37" t="s">
        <v>358</v>
      </c>
      <c r="H2327" s="37" t="s">
        <v>359</v>
      </c>
      <c r="I2327" s="37" t="s">
        <v>360</v>
      </c>
      <c r="J2327" s="37" t="s">
        <v>1767</v>
      </c>
      <c r="K2327" s="45" t="n">
        <v>0</v>
      </c>
      <c r="L2327" s="46" t="n">
        <v>8750.16</v>
      </c>
    </row>
    <row r="2328" customFormat="false" ht="15" hidden="false" customHeight="false" outlineLevel="0" collapsed="false">
      <c r="A2328" s="37" t="n">
        <v>501335</v>
      </c>
      <c r="B2328" s="37" t="s">
        <v>1766</v>
      </c>
      <c r="C2328" s="37" t="n">
        <v>202608</v>
      </c>
      <c r="D2328" s="37" t="s">
        <v>61</v>
      </c>
      <c r="E2328" s="37" t="s">
        <v>108</v>
      </c>
      <c r="F2328" s="37" t="s">
        <v>205</v>
      </c>
      <c r="G2328" s="37" t="s">
        <v>358</v>
      </c>
      <c r="H2328" s="37" t="s">
        <v>1404</v>
      </c>
      <c r="I2328" s="37" t="s">
        <v>1405</v>
      </c>
      <c r="J2328" s="37" t="s">
        <v>1768</v>
      </c>
      <c r="K2328" s="45" t="n">
        <v>0</v>
      </c>
      <c r="L2328" s="46" t="n">
        <v>10417.05</v>
      </c>
    </row>
    <row r="2329" customFormat="false" ht="15" hidden="false" customHeight="false" outlineLevel="0" collapsed="false">
      <c r="A2329" s="37" t="n">
        <v>501830</v>
      </c>
      <c r="B2329" s="37" t="s">
        <v>1766</v>
      </c>
      <c r="C2329" s="37" t="n">
        <v>202608</v>
      </c>
      <c r="D2329" s="37" t="s">
        <v>63</v>
      </c>
      <c r="E2329" s="37" t="s">
        <v>108</v>
      </c>
      <c r="F2329" s="37" t="s">
        <v>205</v>
      </c>
      <c r="G2329" s="37" t="s">
        <v>358</v>
      </c>
      <c r="H2329" s="37" t="s">
        <v>1542</v>
      </c>
      <c r="I2329" s="37" t="s">
        <v>1489</v>
      </c>
      <c r="J2329" s="37" t="s">
        <v>1769</v>
      </c>
      <c r="K2329" s="45" t="n">
        <v>0</v>
      </c>
      <c r="L2329" s="46" t="n">
        <v>37588.83</v>
      </c>
    </row>
    <row r="2330" customFormat="false" ht="15" hidden="false" customHeight="false" outlineLevel="0" collapsed="false">
      <c r="A2330" s="37" t="n">
        <v>500116</v>
      </c>
      <c r="B2330" s="37" t="s">
        <v>1770</v>
      </c>
      <c r="C2330" s="37" t="n">
        <v>202608</v>
      </c>
      <c r="D2330" s="37" t="s">
        <v>58</v>
      </c>
      <c r="E2330" s="37" t="s">
        <v>97</v>
      </c>
      <c r="F2330" s="37" t="s">
        <v>194</v>
      </c>
      <c r="G2330" s="37" t="s">
        <v>354</v>
      </c>
      <c r="H2330" s="37"/>
      <c r="I2330" s="37" t="s">
        <v>355</v>
      </c>
      <c r="J2330" s="37" t="s">
        <v>1771</v>
      </c>
      <c r="K2330" s="45" t="n">
        <v>33.1</v>
      </c>
      <c r="L2330" s="46" t="n">
        <v>3042.51</v>
      </c>
    </row>
    <row r="2331" customFormat="false" ht="15" hidden="false" customHeight="false" outlineLevel="0" collapsed="false">
      <c r="A2331" s="37" t="n">
        <v>500170</v>
      </c>
      <c r="B2331" s="37" t="s">
        <v>1770</v>
      </c>
      <c r="C2331" s="37" t="n">
        <v>202608</v>
      </c>
      <c r="D2331" s="37" t="s">
        <v>58</v>
      </c>
      <c r="E2331" s="37" t="s">
        <v>98</v>
      </c>
      <c r="F2331" s="37" t="s">
        <v>196</v>
      </c>
      <c r="G2331" s="37" t="s">
        <v>358</v>
      </c>
      <c r="H2331" s="37" t="s">
        <v>359</v>
      </c>
      <c r="I2331" s="37" t="s">
        <v>360</v>
      </c>
      <c r="J2331" s="37" t="s">
        <v>1772</v>
      </c>
      <c r="K2331" s="45" t="n">
        <v>0</v>
      </c>
      <c r="L2331" s="46" t="n">
        <v>1004.38</v>
      </c>
    </row>
    <row r="2332" customFormat="false" ht="15" hidden="false" customHeight="false" outlineLevel="0" collapsed="false">
      <c r="A2332" s="37" t="n">
        <v>500524</v>
      </c>
      <c r="B2332" s="37" t="s">
        <v>1770</v>
      </c>
      <c r="C2332" s="37" t="n">
        <v>202608</v>
      </c>
      <c r="D2332" s="37" t="s">
        <v>59</v>
      </c>
      <c r="E2332" s="37" t="s">
        <v>97</v>
      </c>
      <c r="F2332" s="37" t="s">
        <v>194</v>
      </c>
      <c r="G2332" s="37" t="s">
        <v>354</v>
      </c>
      <c r="H2332" s="37"/>
      <c r="I2332" s="37" t="s">
        <v>355</v>
      </c>
      <c r="J2332" s="37" t="s">
        <v>1771</v>
      </c>
      <c r="K2332" s="45" t="n">
        <v>66.7</v>
      </c>
      <c r="L2332" s="46" t="n">
        <v>6139.67</v>
      </c>
    </row>
    <row r="2333" customFormat="false" ht="15" hidden="false" customHeight="false" outlineLevel="0" collapsed="false">
      <c r="A2333" s="37" t="n">
        <v>500726</v>
      </c>
      <c r="B2333" s="37" t="s">
        <v>1770</v>
      </c>
      <c r="C2333" s="37" t="n">
        <v>202608</v>
      </c>
      <c r="D2333" s="37" t="s">
        <v>59</v>
      </c>
      <c r="E2333" s="37" t="s">
        <v>106</v>
      </c>
      <c r="F2333" s="37" t="s">
        <v>194</v>
      </c>
      <c r="G2333" s="37" t="s">
        <v>354</v>
      </c>
      <c r="H2333" s="37"/>
      <c r="I2333" s="37" t="s">
        <v>355</v>
      </c>
      <c r="J2333" s="37" t="s">
        <v>1771</v>
      </c>
      <c r="K2333" s="45" t="n">
        <v>15.9</v>
      </c>
      <c r="L2333" s="46" t="n">
        <v>1128.51</v>
      </c>
    </row>
    <row r="2334" customFormat="false" ht="15" hidden="false" customHeight="false" outlineLevel="0" collapsed="false">
      <c r="A2334" s="37" t="n">
        <v>500749</v>
      </c>
      <c r="B2334" s="37" t="s">
        <v>1770</v>
      </c>
      <c r="C2334" s="37" t="n">
        <v>202608</v>
      </c>
      <c r="D2334" s="37" t="s">
        <v>59</v>
      </c>
      <c r="E2334" s="37" t="s">
        <v>108</v>
      </c>
      <c r="F2334" s="37" t="s">
        <v>205</v>
      </c>
      <c r="G2334" s="37" t="s">
        <v>358</v>
      </c>
      <c r="H2334" s="37" t="s">
        <v>1385</v>
      </c>
      <c r="I2334" s="37" t="s">
        <v>1386</v>
      </c>
      <c r="J2334" s="37" t="s">
        <v>1773</v>
      </c>
      <c r="K2334" s="45" t="n">
        <v>0</v>
      </c>
      <c r="L2334" s="46" t="n">
        <v>31694.76</v>
      </c>
    </row>
    <row r="2335" customFormat="false" ht="15" hidden="false" customHeight="false" outlineLevel="0" collapsed="false">
      <c r="A2335" s="37" t="n">
        <v>500853</v>
      </c>
      <c r="B2335" s="37" t="s">
        <v>1770</v>
      </c>
      <c r="C2335" s="37" t="n">
        <v>202608</v>
      </c>
      <c r="D2335" s="37" t="s">
        <v>60</v>
      </c>
      <c r="E2335" s="37" t="s">
        <v>97</v>
      </c>
      <c r="F2335" s="37" t="s">
        <v>194</v>
      </c>
      <c r="G2335" s="37" t="s">
        <v>354</v>
      </c>
      <c r="H2335" s="37"/>
      <c r="I2335" s="37" t="s">
        <v>355</v>
      </c>
      <c r="J2335" s="37" t="s">
        <v>1771</v>
      </c>
      <c r="K2335" s="45" t="n">
        <v>116.8</v>
      </c>
      <c r="L2335" s="46" t="n">
        <v>10748.94</v>
      </c>
    </row>
    <row r="2336" customFormat="false" ht="15" hidden="false" customHeight="false" outlineLevel="0" collapsed="false">
      <c r="A2336" s="37" t="n">
        <v>501046</v>
      </c>
      <c r="B2336" s="37" t="s">
        <v>1770</v>
      </c>
      <c r="C2336" s="37" t="n">
        <v>202608</v>
      </c>
      <c r="D2336" s="37" t="s">
        <v>60</v>
      </c>
      <c r="E2336" s="37" t="s">
        <v>106</v>
      </c>
      <c r="F2336" s="37" t="s">
        <v>194</v>
      </c>
      <c r="G2336" s="37" t="s">
        <v>354</v>
      </c>
      <c r="H2336" s="37"/>
      <c r="I2336" s="37" t="s">
        <v>355</v>
      </c>
      <c r="J2336" s="37" t="s">
        <v>1771</v>
      </c>
      <c r="K2336" s="45" t="n">
        <v>93.5</v>
      </c>
      <c r="L2336" s="46" t="n">
        <v>6636.34</v>
      </c>
    </row>
    <row r="2337" customFormat="false" ht="15" hidden="false" customHeight="false" outlineLevel="0" collapsed="false">
      <c r="A2337" s="37" t="n">
        <v>501160</v>
      </c>
      <c r="B2337" s="37" t="s">
        <v>1770</v>
      </c>
      <c r="C2337" s="37" t="n">
        <v>202608</v>
      </c>
      <c r="D2337" s="37" t="s">
        <v>61</v>
      </c>
      <c r="E2337" s="37" t="s">
        <v>97</v>
      </c>
      <c r="F2337" s="37" t="s">
        <v>194</v>
      </c>
      <c r="G2337" s="37" t="s">
        <v>354</v>
      </c>
      <c r="H2337" s="37"/>
      <c r="I2337" s="37" t="s">
        <v>355</v>
      </c>
      <c r="J2337" s="37" t="s">
        <v>1771</v>
      </c>
      <c r="K2337" s="45" t="n">
        <v>34</v>
      </c>
      <c r="L2337" s="46" t="n">
        <v>3131.74</v>
      </c>
    </row>
    <row r="2338" customFormat="false" ht="15" hidden="false" customHeight="false" outlineLevel="0" collapsed="false">
      <c r="A2338" s="37" t="n">
        <v>501421</v>
      </c>
      <c r="B2338" s="37" t="s">
        <v>1770</v>
      </c>
      <c r="C2338" s="37" t="n">
        <v>202608</v>
      </c>
      <c r="D2338" s="37" t="s">
        <v>62</v>
      </c>
      <c r="E2338" s="37" t="s">
        <v>97</v>
      </c>
      <c r="F2338" s="37" t="s">
        <v>194</v>
      </c>
      <c r="G2338" s="37" t="s">
        <v>354</v>
      </c>
      <c r="H2338" s="37"/>
      <c r="I2338" s="37" t="s">
        <v>355</v>
      </c>
      <c r="J2338" s="37" t="s">
        <v>1771</v>
      </c>
      <c r="K2338" s="45" t="n">
        <v>586.6</v>
      </c>
      <c r="L2338" s="46" t="n">
        <v>53966.17</v>
      </c>
    </row>
    <row r="2339" customFormat="false" ht="15" hidden="false" customHeight="false" outlineLevel="0" collapsed="false">
      <c r="A2339" s="37" t="n">
        <v>501587</v>
      </c>
      <c r="B2339" s="37" t="s">
        <v>1770</v>
      </c>
      <c r="C2339" s="37" t="n">
        <v>202608</v>
      </c>
      <c r="D2339" s="37" t="s">
        <v>62</v>
      </c>
      <c r="E2339" s="37" t="s">
        <v>106</v>
      </c>
      <c r="F2339" s="37" t="s">
        <v>194</v>
      </c>
      <c r="G2339" s="37" t="s">
        <v>354</v>
      </c>
      <c r="H2339" s="37"/>
      <c r="I2339" s="37" t="s">
        <v>355</v>
      </c>
      <c r="J2339" s="37" t="s">
        <v>1771</v>
      </c>
      <c r="K2339" s="45" t="n">
        <v>543</v>
      </c>
      <c r="L2339" s="46" t="n">
        <v>38552.14</v>
      </c>
    </row>
    <row r="2340" customFormat="false" ht="15" hidden="false" customHeight="false" outlineLevel="0" collapsed="false">
      <c r="A2340" s="37" t="n">
        <v>501667</v>
      </c>
      <c r="B2340" s="37" t="s">
        <v>1770</v>
      </c>
      <c r="C2340" s="37" t="n">
        <v>202608</v>
      </c>
      <c r="D2340" s="37" t="s">
        <v>63</v>
      </c>
      <c r="E2340" s="37" t="s">
        <v>97</v>
      </c>
      <c r="F2340" s="37" t="s">
        <v>194</v>
      </c>
      <c r="G2340" s="37" t="s">
        <v>354</v>
      </c>
      <c r="H2340" s="37"/>
      <c r="I2340" s="37" t="s">
        <v>355</v>
      </c>
      <c r="J2340" s="37" t="s">
        <v>1771</v>
      </c>
      <c r="K2340" s="45" t="n">
        <v>95.2</v>
      </c>
      <c r="L2340" s="46" t="n">
        <v>8755.46</v>
      </c>
    </row>
    <row r="2341" customFormat="false" ht="15" hidden="false" customHeight="false" outlineLevel="0" collapsed="false">
      <c r="A2341" s="37" t="n">
        <v>501817</v>
      </c>
      <c r="B2341" s="37" t="s">
        <v>1770</v>
      </c>
      <c r="C2341" s="37" t="n">
        <v>202608</v>
      </c>
      <c r="D2341" s="37" t="s">
        <v>63</v>
      </c>
      <c r="E2341" s="37" t="s">
        <v>106</v>
      </c>
      <c r="F2341" s="37" t="s">
        <v>194</v>
      </c>
      <c r="G2341" s="37" t="s">
        <v>354</v>
      </c>
      <c r="H2341" s="37"/>
      <c r="I2341" s="37" t="s">
        <v>355</v>
      </c>
      <c r="J2341" s="37" t="s">
        <v>1771</v>
      </c>
      <c r="K2341" s="45" t="n">
        <v>98.8</v>
      </c>
      <c r="L2341" s="46" t="n">
        <v>7015.85</v>
      </c>
    </row>
    <row r="2342" customFormat="false" ht="15" hidden="false" customHeight="false" outlineLevel="0" collapsed="false">
      <c r="A2342" s="37" t="n">
        <v>501901</v>
      </c>
      <c r="B2342" s="37" t="s">
        <v>1770</v>
      </c>
      <c r="C2342" s="37" t="n">
        <v>202608</v>
      </c>
      <c r="D2342" s="37" t="s">
        <v>64</v>
      </c>
      <c r="E2342" s="37" t="s">
        <v>97</v>
      </c>
      <c r="F2342" s="37" t="s">
        <v>194</v>
      </c>
      <c r="G2342" s="37" t="s">
        <v>354</v>
      </c>
      <c r="H2342" s="37"/>
      <c r="I2342" s="37" t="s">
        <v>355</v>
      </c>
      <c r="J2342" s="37" t="s">
        <v>1771</v>
      </c>
      <c r="K2342" s="45" t="n">
        <v>300.7</v>
      </c>
      <c r="L2342" s="46" t="n">
        <v>27663.93</v>
      </c>
    </row>
    <row r="2343" customFormat="false" ht="15" hidden="false" customHeight="false" outlineLevel="0" collapsed="false">
      <c r="A2343" s="37" t="n">
        <v>502046</v>
      </c>
      <c r="B2343" s="37" t="s">
        <v>1770</v>
      </c>
      <c r="C2343" s="37" t="n">
        <v>202608</v>
      </c>
      <c r="D2343" s="37" t="s">
        <v>64</v>
      </c>
      <c r="E2343" s="37" t="s">
        <v>106</v>
      </c>
      <c r="F2343" s="37" t="s">
        <v>194</v>
      </c>
      <c r="G2343" s="37" t="s">
        <v>354</v>
      </c>
      <c r="H2343" s="37"/>
      <c r="I2343" s="37" t="s">
        <v>355</v>
      </c>
      <c r="J2343" s="37" t="s">
        <v>1771</v>
      </c>
      <c r="K2343" s="45" t="n">
        <v>288.4</v>
      </c>
      <c r="L2343" s="46" t="n">
        <v>20476.69</v>
      </c>
    </row>
    <row r="2344" customFormat="false" ht="15" hidden="false" customHeight="false" outlineLevel="0" collapsed="false">
      <c r="A2344" s="37" t="n">
        <v>502117</v>
      </c>
      <c r="B2344" s="37" t="s">
        <v>1770</v>
      </c>
      <c r="C2344" s="37" t="n">
        <v>202608</v>
      </c>
      <c r="D2344" s="37" t="s">
        <v>65</v>
      </c>
      <c r="E2344" s="37" t="s">
        <v>97</v>
      </c>
      <c r="F2344" s="37" t="s">
        <v>194</v>
      </c>
      <c r="G2344" s="37" t="s">
        <v>354</v>
      </c>
      <c r="H2344" s="37"/>
      <c r="I2344" s="37" t="s">
        <v>355</v>
      </c>
      <c r="J2344" s="37" t="s">
        <v>1771</v>
      </c>
      <c r="K2344" s="45" t="n">
        <v>491.7</v>
      </c>
      <c r="L2344" s="46" t="n">
        <v>45240.83</v>
      </c>
    </row>
    <row r="2345" customFormat="false" ht="15" hidden="false" customHeight="false" outlineLevel="0" collapsed="false">
      <c r="A2345" s="37" t="n">
        <v>502238</v>
      </c>
      <c r="B2345" s="37" t="s">
        <v>1770</v>
      </c>
      <c r="C2345" s="37" t="n">
        <v>202608</v>
      </c>
      <c r="D2345" s="37" t="s">
        <v>65</v>
      </c>
      <c r="E2345" s="37" t="s">
        <v>106</v>
      </c>
      <c r="F2345" s="37" t="s">
        <v>194</v>
      </c>
      <c r="G2345" s="37" t="s">
        <v>354</v>
      </c>
      <c r="H2345" s="37"/>
      <c r="I2345" s="37" t="s">
        <v>355</v>
      </c>
      <c r="J2345" s="37" t="s">
        <v>1771</v>
      </c>
      <c r="K2345" s="45" t="n">
        <v>336.2</v>
      </c>
      <c r="L2345" s="46" t="n">
        <v>23866.98</v>
      </c>
    </row>
    <row r="2346" customFormat="false" ht="15" hidden="false" customHeight="false" outlineLevel="0" collapsed="false">
      <c r="A2346" s="37" t="n">
        <v>502300</v>
      </c>
      <c r="B2346" s="37" t="s">
        <v>1770</v>
      </c>
      <c r="C2346" s="37" t="n">
        <v>202608</v>
      </c>
      <c r="D2346" s="37" t="s">
        <v>66</v>
      </c>
      <c r="E2346" s="37" t="s">
        <v>97</v>
      </c>
      <c r="F2346" s="37" t="s">
        <v>194</v>
      </c>
      <c r="G2346" s="37" t="s">
        <v>354</v>
      </c>
      <c r="H2346" s="37"/>
      <c r="I2346" s="37" t="s">
        <v>355</v>
      </c>
      <c r="J2346" s="37" t="s">
        <v>1771</v>
      </c>
      <c r="K2346" s="45" t="n">
        <v>255.5</v>
      </c>
      <c r="L2346" s="46" t="n">
        <v>23501.91</v>
      </c>
    </row>
    <row r="2347" customFormat="false" ht="15" hidden="false" customHeight="false" outlineLevel="0" collapsed="false">
      <c r="A2347" s="37" t="n">
        <v>502365</v>
      </c>
      <c r="B2347" s="37" t="s">
        <v>1770</v>
      </c>
      <c r="C2347" s="37" t="n">
        <v>202608</v>
      </c>
      <c r="D2347" s="37" t="s">
        <v>66</v>
      </c>
      <c r="E2347" s="37" t="s">
        <v>101</v>
      </c>
      <c r="F2347" s="37" t="s">
        <v>194</v>
      </c>
      <c r="G2347" s="37" t="s">
        <v>354</v>
      </c>
      <c r="H2347" s="37"/>
      <c r="I2347" s="37" t="s">
        <v>355</v>
      </c>
      <c r="J2347" s="37" t="s">
        <v>1771</v>
      </c>
      <c r="K2347" s="45" t="n">
        <v>922</v>
      </c>
      <c r="L2347" s="46" t="n">
        <v>68231.62</v>
      </c>
    </row>
    <row r="2348" customFormat="false" ht="15" hidden="false" customHeight="false" outlineLevel="0" collapsed="false">
      <c r="A2348" s="37" t="n">
        <v>502384</v>
      </c>
      <c r="B2348" s="37" t="s">
        <v>1770</v>
      </c>
      <c r="C2348" s="37" t="n">
        <v>202608</v>
      </c>
      <c r="D2348" s="37" t="s">
        <v>66</v>
      </c>
      <c r="E2348" s="37" t="s">
        <v>102</v>
      </c>
      <c r="F2348" s="37" t="s">
        <v>205</v>
      </c>
      <c r="G2348" s="37" t="s">
        <v>358</v>
      </c>
      <c r="H2348" s="37" t="s">
        <v>1323</v>
      </c>
      <c r="I2348" s="37" t="s">
        <v>715</v>
      </c>
      <c r="J2348" s="37" t="s">
        <v>1774</v>
      </c>
      <c r="K2348" s="45" t="n">
        <v>0</v>
      </c>
      <c r="L2348" s="46" t="n">
        <v>30415.33</v>
      </c>
    </row>
    <row r="2349" customFormat="false" ht="15" hidden="false" customHeight="false" outlineLevel="0" collapsed="false">
      <c r="A2349" s="37" t="n">
        <v>502443</v>
      </c>
      <c r="B2349" s="37" t="s">
        <v>1770</v>
      </c>
      <c r="C2349" s="37" t="n">
        <v>202608</v>
      </c>
      <c r="D2349" s="37" t="s">
        <v>67</v>
      </c>
      <c r="E2349" s="37" t="s">
        <v>97</v>
      </c>
      <c r="F2349" s="37" t="s">
        <v>194</v>
      </c>
      <c r="G2349" s="37" t="s">
        <v>354</v>
      </c>
      <c r="H2349" s="37"/>
      <c r="I2349" s="37" t="s">
        <v>355</v>
      </c>
      <c r="J2349" s="37" t="s">
        <v>1771</v>
      </c>
      <c r="K2349" s="45" t="n">
        <v>180.6</v>
      </c>
      <c r="L2349" s="46" t="n">
        <v>16614.58</v>
      </c>
    </row>
    <row r="2350" customFormat="false" ht="15" hidden="false" customHeight="false" outlineLevel="0" collapsed="false">
      <c r="A2350" s="37" t="n">
        <v>502497</v>
      </c>
      <c r="B2350" s="37" t="s">
        <v>1770</v>
      </c>
      <c r="C2350" s="37" t="n">
        <v>202608</v>
      </c>
      <c r="D2350" s="37" t="s">
        <v>67</v>
      </c>
      <c r="E2350" s="37" t="s">
        <v>101</v>
      </c>
      <c r="F2350" s="37" t="s">
        <v>194</v>
      </c>
      <c r="G2350" s="37" t="s">
        <v>354</v>
      </c>
      <c r="H2350" s="37"/>
      <c r="I2350" s="37" t="s">
        <v>355</v>
      </c>
      <c r="J2350" s="37" t="s">
        <v>1771</v>
      </c>
      <c r="K2350" s="45" t="n">
        <v>422.5</v>
      </c>
      <c r="L2350" s="46" t="n">
        <v>31261.57</v>
      </c>
    </row>
    <row r="2351" customFormat="false" ht="15" hidden="false" customHeight="false" outlineLevel="0" collapsed="false">
      <c r="A2351" s="37" t="n">
        <v>502559</v>
      </c>
      <c r="B2351" s="37" t="s">
        <v>1770</v>
      </c>
      <c r="C2351" s="37" t="n">
        <v>202608</v>
      </c>
      <c r="D2351" s="37" t="s">
        <v>68</v>
      </c>
      <c r="E2351" s="37" t="s">
        <v>97</v>
      </c>
      <c r="F2351" s="37" t="s">
        <v>194</v>
      </c>
      <c r="G2351" s="37" t="s">
        <v>354</v>
      </c>
      <c r="H2351" s="37"/>
      <c r="I2351" s="37" t="s">
        <v>355</v>
      </c>
      <c r="J2351" s="37" t="s">
        <v>1771</v>
      </c>
      <c r="K2351" s="45" t="n">
        <v>57.6</v>
      </c>
      <c r="L2351" s="46" t="n">
        <v>5298.36</v>
      </c>
    </row>
    <row r="2352" customFormat="false" ht="15" hidden="false" customHeight="false" outlineLevel="0" collapsed="false">
      <c r="A2352" s="37" t="n">
        <v>502596</v>
      </c>
      <c r="B2352" s="37" t="s">
        <v>1770</v>
      </c>
      <c r="C2352" s="37" t="n">
        <v>202608</v>
      </c>
      <c r="D2352" s="37" t="s">
        <v>68</v>
      </c>
      <c r="E2352" s="37" t="s">
        <v>101</v>
      </c>
      <c r="F2352" s="37" t="s">
        <v>194</v>
      </c>
      <c r="G2352" s="37" t="s">
        <v>354</v>
      </c>
      <c r="H2352" s="37"/>
      <c r="I2352" s="37" t="s">
        <v>355</v>
      </c>
      <c r="J2352" s="37" t="s">
        <v>1771</v>
      </c>
      <c r="K2352" s="45" t="n">
        <v>529.6</v>
      </c>
      <c r="L2352" s="46" t="n">
        <v>39193.17</v>
      </c>
    </row>
    <row r="2353" customFormat="false" ht="15" hidden="false" customHeight="false" outlineLevel="0" collapsed="false">
      <c r="A2353" s="37" t="n">
        <v>502638</v>
      </c>
      <c r="B2353" s="37" t="s">
        <v>1770</v>
      </c>
      <c r="C2353" s="37" t="n">
        <v>202608</v>
      </c>
      <c r="D2353" s="37" t="s">
        <v>69</v>
      </c>
      <c r="E2353" s="37" t="s">
        <v>97</v>
      </c>
      <c r="F2353" s="37" t="s">
        <v>194</v>
      </c>
      <c r="G2353" s="37" t="s">
        <v>354</v>
      </c>
      <c r="H2353" s="37"/>
      <c r="I2353" s="37" t="s">
        <v>355</v>
      </c>
      <c r="J2353" s="37" t="s">
        <v>1771</v>
      </c>
      <c r="K2353" s="45" t="n">
        <v>71.3</v>
      </c>
      <c r="L2353" s="46" t="n">
        <v>6559.34</v>
      </c>
    </row>
    <row r="2354" customFormat="false" ht="15" hidden="false" customHeight="false" outlineLevel="0" collapsed="false">
      <c r="A2354" s="37" t="n">
        <v>502658</v>
      </c>
      <c r="B2354" s="37" t="s">
        <v>1770</v>
      </c>
      <c r="C2354" s="37" t="n">
        <v>202608</v>
      </c>
      <c r="D2354" s="37" t="s">
        <v>69</v>
      </c>
      <c r="E2354" s="37" t="s">
        <v>101</v>
      </c>
      <c r="F2354" s="37" t="s">
        <v>194</v>
      </c>
      <c r="G2354" s="37" t="s">
        <v>354</v>
      </c>
      <c r="H2354" s="37"/>
      <c r="I2354" s="37" t="s">
        <v>355</v>
      </c>
      <c r="J2354" s="37" t="s">
        <v>1771</v>
      </c>
      <c r="K2354" s="45" t="n">
        <v>93</v>
      </c>
      <c r="L2354" s="46" t="n">
        <v>6883.78</v>
      </c>
    </row>
    <row r="2355" customFormat="false" ht="15" hidden="false" customHeight="false" outlineLevel="0" collapsed="false">
      <c r="A2355" s="37" t="n">
        <v>501333</v>
      </c>
      <c r="B2355" s="37" t="s">
        <v>1775</v>
      </c>
      <c r="C2355" s="37" t="n">
        <v>202608</v>
      </c>
      <c r="D2355" s="37" t="s">
        <v>61</v>
      </c>
      <c r="E2355" s="37" t="s">
        <v>108</v>
      </c>
      <c r="F2355" s="37" t="s">
        <v>205</v>
      </c>
      <c r="G2355" s="37" t="s">
        <v>358</v>
      </c>
      <c r="H2355" s="37" t="s">
        <v>1404</v>
      </c>
      <c r="I2355" s="37" t="s">
        <v>1405</v>
      </c>
      <c r="J2355" s="37" t="s">
        <v>1776</v>
      </c>
      <c r="K2355" s="45" t="n">
        <v>0</v>
      </c>
      <c r="L2355" s="46" t="n">
        <v>4543.87</v>
      </c>
    </row>
    <row r="2356" customFormat="false" ht="15" hidden="false" customHeight="false" outlineLevel="0" collapsed="false">
      <c r="A2356" s="37" t="n">
        <v>501703</v>
      </c>
      <c r="B2356" s="37" t="s">
        <v>1775</v>
      </c>
      <c r="C2356" s="37" t="n">
        <v>202608</v>
      </c>
      <c r="D2356" s="37" t="s">
        <v>63</v>
      </c>
      <c r="E2356" s="37" t="s">
        <v>98</v>
      </c>
      <c r="F2356" s="37" t="s">
        <v>196</v>
      </c>
      <c r="G2356" s="37" t="s">
        <v>358</v>
      </c>
      <c r="H2356" s="37" t="s">
        <v>359</v>
      </c>
      <c r="I2356" s="37" t="s">
        <v>360</v>
      </c>
      <c r="J2356" s="37" t="s">
        <v>1777</v>
      </c>
      <c r="K2356" s="45" t="n">
        <v>0</v>
      </c>
      <c r="L2356" s="46" t="n">
        <v>8454.25</v>
      </c>
    </row>
    <row r="2357" customFormat="false" ht="15" hidden="false" customHeight="false" outlineLevel="0" collapsed="false">
      <c r="A2357" s="37" t="n">
        <v>501702</v>
      </c>
      <c r="B2357" s="37" t="s">
        <v>1778</v>
      </c>
      <c r="C2357" s="37" t="n">
        <v>202608</v>
      </c>
      <c r="D2357" s="37" t="s">
        <v>63</v>
      </c>
      <c r="E2357" s="37" t="s">
        <v>98</v>
      </c>
      <c r="F2357" s="37" t="s">
        <v>196</v>
      </c>
      <c r="G2357" s="37" t="s">
        <v>358</v>
      </c>
      <c r="H2357" s="37" t="s">
        <v>359</v>
      </c>
      <c r="I2357" s="37" t="s">
        <v>360</v>
      </c>
      <c r="J2357" s="37" t="s">
        <v>1779</v>
      </c>
      <c r="K2357" s="45" t="n">
        <v>0</v>
      </c>
      <c r="L2357" s="46" t="n">
        <v>4850.8</v>
      </c>
    </row>
    <row r="2358" customFormat="false" ht="15" hidden="false" customHeight="false" outlineLevel="0" collapsed="false">
      <c r="A2358" s="37" t="n">
        <v>500565</v>
      </c>
      <c r="B2358" s="37" t="s">
        <v>1780</v>
      </c>
      <c r="C2358" s="37" t="n">
        <v>202608</v>
      </c>
      <c r="D2358" s="37" t="s">
        <v>59</v>
      </c>
      <c r="E2358" s="37" t="s">
        <v>98</v>
      </c>
      <c r="F2358" s="37" t="s">
        <v>196</v>
      </c>
      <c r="G2358" s="37" t="s">
        <v>358</v>
      </c>
      <c r="H2358" s="37" t="s">
        <v>359</v>
      </c>
      <c r="I2358" s="37" t="s">
        <v>360</v>
      </c>
      <c r="J2358" s="37" t="s">
        <v>1781</v>
      </c>
      <c r="K2358" s="45" t="n">
        <v>0</v>
      </c>
      <c r="L2358" s="46" t="n">
        <v>15073.73</v>
      </c>
    </row>
    <row r="2359" customFormat="false" ht="15" hidden="false" customHeight="false" outlineLevel="0" collapsed="false">
      <c r="A2359" s="37" t="n">
        <v>500566</v>
      </c>
      <c r="B2359" s="37" t="s">
        <v>1780</v>
      </c>
      <c r="C2359" s="37" t="n">
        <v>202608</v>
      </c>
      <c r="D2359" s="37" t="s">
        <v>59</v>
      </c>
      <c r="E2359" s="37" t="s">
        <v>98</v>
      </c>
      <c r="F2359" s="37" t="s">
        <v>196</v>
      </c>
      <c r="G2359" s="37" t="s">
        <v>358</v>
      </c>
      <c r="H2359" s="37" t="s">
        <v>359</v>
      </c>
      <c r="I2359" s="37" t="s">
        <v>360</v>
      </c>
      <c r="J2359" s="37" t="s">
        <v>1782</v>
      </c>
      <c r="K2359" s="45" t="n">
        <v>0</v>
      </c>
      <c r="L2359" s="46" t="n">
        <v>10397.27</v>
      </c>
    </row>
    <row r="2360" customFormat="false" ht="15" hidden="false" customHeight="false" outlineLevel="0" collapsed="false">
      <c r="A2360" s="37" t="n">
        <v>500428</v>
      </c>
      <c r="B2360" s="37" t="s">
        <v>1783</v>
      </c>
      <c r="C2360" s="37" t="n">
        <v>202608</v>
      </c>
      <c r="D2360" s="37" t="s">
        <v>58</v>
      </c>
      <c r="E2360" s="37" t="s">
        <v>110</v>
      </c>
      <c r="F2360" s="37" t="s">
        <v>201</v>
      </c>
      <c r="G2360" s="37" t="s">
        <v>358</v>
      </c>
      <c r="H2360" s="37" t="s">
        <v>547</v>
      </c>
      <c r="I2360" s="37" t="s">
        <v>548</v>
      </c>
      <c r="J2360" s="37" t="s">
        <v>1784</v>
      </c>
      <c r="K2360" s="45" t="n">
        <v>0</v>
      </c>
      <c r="L2360" s="46" t="n">
        <v>3665.15</v>
      </c>
    </row>
    <row r="2361" customFormat="false" ht="15" hidden="false" customHeight="false" outlineLevel="0" collapsed="false">
      <c r="A2361" s="37" t="n">
        <v>500447</v>
      </c>
      <c r="B2361" s="37" t="s">
        <v>1783</v>
      </c>
      <c r="C2361" s="37" t="n">
        <v>202608</v>
      </c>
      <c r="D2361" s="37" t="s">
        <v>58</v>
      </c>
      <c r="E2361" s="37" t="s">
        <v>111</v>
      </c>
      <c r="F2361" s="37" t="s">
        <v>201</v>
      </c>
      <c r="G2361" s="37" t="s">
        <v>358</v>
      </c>
      <c r="H2361" s="37" t="s">
        <v>549</v>
      </c>
      <c r="I2361" s="37" t="s">
        <v>550</v>
      </c>
      <c r="J2361" s="37" t="s">
        <v>1784</v>
      </c>
      <c r="K2361" s="45" t="n">
        <v>0</v>
      </c>
      <c r="L2361" s="46" t="n">
        <v>2178</v>
      </c>
    </row>
    <row r="2362" customFormat="false" ht="15" hidden="false" customHeight="false" outlineLevel="0" collapsed="false">
      <c r="A2362" s="37" t="n">
        <v>500757</v>
      </c>
      <c r="B2362" s="37" t="s">
        <v>1783</v>
      </c>
      <c r="C2362" s="37" t="n">
        <v>202608</v>
      </c>
      <c r="D2362" s="37" t="s">
        <v>59</v>
      </c>
      <c r="E2362" s="37" t="s">
        <v>109</v>
      </c>
      <c r="F2362" s="37" t="s">
        <v>201</v>
      </c>
      <c r="G2362" s="37" t="s">
        <v>358</v>
      </c>
      <c r="H2362" s="37" t="s">
        <v>1433</v>
      </c>
      <c r="I2362" s="37" t="s">
        <v>929</v>
      </c>
      <c r="J2362" s="37" t="s">
        <v>1784</v>
      </c>
      <c r="K2362" s="45" t="n">
        <v>0</v>
      </c>
      <c r="L2362" s="46" t="n">
        <v>155232.21</v>
      </c>
    </row>
    <row r="2363" customFormat="false" ht="15" hidden="false" customHeight="false" outlineLevel="0" collapsed="false">
      <c r="A2363" s="37" t="n">
        <v>500770</v>
      </c>
      <c r="B2363" s="37" t="s">
        <v>1783</v>
      </c>
      <c r="C2363" s="37" t="n">
        <v>202608</v>
      </c>
      <c r="D2363" s="37" t="s">
        <v>59</v>
      </c>
      <c r="E2363" s="37" t="s">
        <v>110</v>
      </c>
      <c r="F2363" s="37" t="s">
        <v>201</v>
      </c>
      <c r="G2363" s="37" t="s">
        <v>358</v>
      </c>
      <c r="H2363" s="37" t="s">
        <v>849</v>
      </c>
      <c r="I2363" s="37" t="s">
        <v>850</v>
      </c>
      <c r="J2363" s="37" t="s">
        <v>1784</v>
      </c>
      <c r="K2363" s="45" t="n">
        <v>0</v>
      </c>
      <c r="L2363" s="46" t="n">
        <v>174743.52</v>
      </c>
    </row>
    <row r="2364" customFormat="false" ht="15" hidden="false" customHeight="false" outlineLevel="0" collapsed="false">
      <c r="A2364" s="37" t="n">
        <v>500783</v>
      </c>
      <c r="B2364" s="37" t="s">
        <v>1783</v>
      </c>
      <c r="C2364" s="37" t="n">
        <v>202608</v>
      </c>
      <c r="D2364" s="37" t="s">
        <v>59</v>
      </c>
      <c r="E2364" s="37" t="s">
        <v>111</v>
      </c>
      <c r="F2364" s="37" t="s">
        <v>201</v>
      </c>
      <c r="G2364" s="37" t="s">
        <v>358</v>
      </c>
      <c r="H2364" s="37" t="s">
        <v>851</v>
      </c>
      <c r="I2364" s="37" t="s">
        <v>852</v>
      </c>
      <c r="J2364" s="37" t="s">
        <v>1784</v>
      </c>
      <c r="K2364" s="45" t="n">
        <v>0</v>
      </c>
      <c r="L2364" s="46" t="n">
        <v>160430.76</v>
      </c>
    </row>
    <row r="2365" customFormat="false" ht="15" hidden="false" customHeight="false" outlineLevel="0" collapsed="false">
      <c r="A2365" s="37" t="n">
        <v>501073</v>
      </c>
      <c r="B2365" s="37" t="s">
        <v>1783</v>
      </c>
      <c r="C2365" s="37" t="n">
        <v>202608</v>
      </c>
      <c r="D2365" s="37" t="s">
        <v>60</v>
      </c>
      <c r="E2365" s="37" t="s">
        <v>109</v>
      </c>
      <c r="F2365" s="37" t="s">
        <v>201</v>
      </c>
      <c r="G2365" s="37" t="s">
        <v>358</v>
      </c>
      <c r="H2365" s="37" t="s">
        <v>1527</v>
      </c>
      <c r="I2365" s="37" t="s">
        <v>1436</v>
      </c>
      <c r="J2365" s="37" t="s">
        <v>1784</v>
      </c>
      <c r="K2365" s="45" t="n">
        <v>0</v>
      </c>
      <c r="L2365" s="46" t="n">
        <v>387616.07</v>
      </c>
    </row>
    <row r="2366" customFormat="false" ht="15" hidden="false" customHeight="false" outlineLevel="0" collapsed="false">
      <c r="A2366" s="37" t="n">
        <v>501084</v>
      </c>
      <c r="B2366" s="37" t="s">
        <v>1783</v>
      </c>
      <c r="C2366" s="37" t="n">
        <v>202608</v>
      </c>
      <c r="D2366" s="37" t="s">
        <v>60</v>
      </c>
      <c r="E2366" s="37" t="s">
        <v>110</v>
      </c>
      <c r="F2366" s="37" t="s">
        <v>201</v>
      </c>
      <c r="G2366" s="37" t="s">
        <v>358</v>
      </c>
      <c r="H2366" s="37" t="s">
        <v>1010</v>
      </c>
      <c r="I2366" s="37" t="s">
        <v>548</v>
      </c>
      <c r="J2366" s="37" t="s">
        <v>1784</v>
      </c>
      <c r="K2366" s="45" t="n">
        <v>0</v>
      </c>
      <c r="L2366" s="46" t="n">
        <v>217656.57</v>
      </c>
    </row>
    <row r="2367" customFormat="false" ht="15" hidden="false" customHeight="false" outlineLevel="0" collapsed="false">
      <c r="A2367" s="37" t="n">
        <v>501095</v>
      </c>
      <c r="B2367" s="37" t="s">
        <v>1783</v>
      </c>
      <c r="C2367" s="37" t="n">
        <v>202608</v>
      </c>
      <c r="D2367" s="37" t="s">
        <v>60</v>
      </c>
      <c r="E2367" s="37" t="s">
        <v>111</v>
      </c>
      <c r="F2367" s="37" t="s">
        <v>201</v>
      </c>
      <c r="G2367" s="37" t="s">
        <v>358</v>
      </c>
      <c r="H2367" s="37" t="s">
        <v>1011</v>
      </c>
      <c r="I2367" s="37" t="s">
        <v>1012</v>
      </c>
      <c r="J2367" s="37" t="s">
        <v>1784</v>
      </c>
      <c r="K2367" s="45" t="n">
        <v>0</v>
      </c>
      <c r="L2367" s="46" t="n">
        <v>175725.18</v>
      </c>
    </row>
    <row r="2368" customFormat="false" ht="15" hidden="false" customHeight="false" outlineLevel="0" collapsed="false">
      <c r="A2368" s="37" t="n">
        <v>501342</v>
      </c>
      <c r="B2368" s="37" t="s">
        <v>1783</v>
      </c>
      <c r="C2368" s="37" t="n">
        <v>202608</v>
      </c>
      <c r="D2368" s="37" t="s">
        <v>61</v>
      </c>
      <c r="E2368" s="37" t="s">
        <v>109</v>
      </c>
      <c r="F2368" s="37" t="s">
        <v>201</v>
      </c>
      <c r="G2368" s="37" t="s">
        <v>358</v>
      </c>
      <c r="H2368" s="37" t="s">
        <v>1435</v>
      </c>
      <c r="I2368" s="37" t="s">
        <v>1436</v>
      </c>
      <c r="J2368" s="37" t="s">
        <v>1784</v>
      </c>
      <c r="K2368" s="45" t="n">
        <v>0</v>
      </c>
      <c r="L2368" s="46" t="n">
        <v>49828.19</v>
      </c>
    </row>
    <row r="2369" customFormat="false" ht="15" hidden="false" customHeight="false" outlineLevel="0" collapsed="false">
      <c r="A2369" s="37" t="n">
        <v>501353</v>
      </c>
      <c r="B2369" s="37" t="s">
        <v>1783</v>
      </c>
      <c r="C2369" s="37" t="n">
        <v>202608</v>
      </c>
      <c r="D2369" s="37" t="s">
        <v>61</v>
      </c>
      <c r="E2369" s="37" t="s">
        <v>110</v>
      </c>
      <c r="F2369" s="37" t="s">
        <v>201</v>
      </c>
      <c r="G2369" s="37" t="s">
        <v>358</v>
      </c>
      <c r="H2369" s="37" t="s">
        <v>1014</v>
      </c>
      <c r="I2369" s="37" t="s">
        <v>1015</v>
      </c>
      <c r="J2369" s="37" t="s">
        <v>1784</v>
      </c>
      <c r="K2369" s="45" t="n">
        <v>0</v>
      </c>
      <c r="L2369" s="46" t="n">
        <v>64931.65</v>
      </c>
    </row>
    <row r="2370" customFormat="false" ht="15" hidden="false" customHeight="false" outlineLevel="0" collapsed="false">
      <c r="A2370" s="37" t="n">
        <v>501364</v>
      </c>
      <c r="B2370" s="37" t="s">
        <v>1783</v>
      </c>
      <c r="C2370" s="37" t="n">
        <v>202608</v>
      </c>
      <c r="D2370" s="37" t="s">
        <v>61</v>
      </c>
      <c r="E2370" s="37" t="s">
        <v>111</v>
      </c>
      <c r="F2370" s="37" t="s">
        <v>201</v>
      </c>
      <c r="G2370" s="37" t="s">
        <v>358</v>
      </c>
      <c r="H2370" s="37" t="s">
        <v>1016</v>
      </c>
      <c r="I2370" s="37" t="s">
        <v>1017</v>
      </c>
      <c r="J2370" s="37" t="s">
        <v>1784</v>
      </c>
      <c r="K2370" s="45" t="n">
        <v>0</v>
      </c>
      <c r="L2370" s="46" t="n">
        <v>67908.92</v>
      </c>
    </row>
    <row r="2371" customFormat="false" ht="15" hidden="false" customHeight="false" outlineLevel="0" collapsed="false">
      <c r="A2371" s="37" t="n">
        <v>501556</v>
      </c>
      <c r="B2371" s="37" t="s">
        <v>1783</v>
      </c>
      <c r="C2371" s="37" t="n">
        <v>202608</v>
      </c>
      <c r="D2371" s="37" t="s">
        <v>62</v>
      </c>
      <c r="E2371" s="37" t="s">
        <v>104</v>
      </c>
      <c r="F2371" s="37" t="s">
        <v>201</v>
      </c>
      <c r="G2371" s="37" t="s">
        <v>358</v>
      </c>
      <c r="H2371" s="37" t="s">
        <v>1339</v>
      </c>
      <c r="I2371" s="37" t="s">
        <v>1340</v>
      </c>
      <c r="J2371" s="37" t="s">
        <v>1784</v>
      </c>
      <c r="K2371" s="45" t="n">
        <v>0</v>
      </c>
      <c r="L2371" s="46" t="n">
        <v>107855.6</v>
      </c>
    </row>
    <row r="2372" customFormat="false" ht="15" hidden="false" customHeight="false" outlineLevel="0" collapsed="false">
      <c r="A2372" s="37" t="n">
        <v>501565</v>
      </c>
      <c r="B2372" s="37" t="s">
        <v>1783</v>
      </c>
      <c r="C2372" s="37" t="n">
        <v>202608</v>
      </c>
      <c r="D2372" s="37" t="s">
        <v>62</v>
      </c>
      <c r="E2372" s="37" t="s">
        <v>105</v>
      </c>
      <c r="F2372" s="37" t="s">
        <v>201</v>
      </c>
      <c r="G2372" s="37" t="s">
        <v>358</v>
      </c>
      <c r="H2372" s="37" t="s">
        <v>1178</v>
      </c>
      <c r="I2372" s="37" t="s">
        <v>1179</v>
      </c>
      <c r="J2372" s="37" t="s">
        <v>1784</v>
      </c>
      <c r="K2372" s="45" t="n">
        <v>0</v>
      </c>
      <c r="L2372" s="46" t="n">
        <v>11111.29</v>
      </c>
    </row>
    <row r="2373" customFormat="false" ht="15" hidden="false" customHeight="false" outlineLevel="0" collapsed="false">
      <c r="A2373" s="37" t="n">
        <v>501596</v>
      </c>
      <c r="B2373" s="37" t="s">
        <v>1783</v>
      </c>
      <c r="C2373" s="37" t="n">
        <v>202608</v>
      </c>
      <c r="D2373" s="37" t="s">
        <v>62</v>
      </c>
      <c r="E2373" s="37" t="s">
        <v>107</v>
      </c>
      <c r="F2373" s="37" t="s">
        <v>201</v>
      </c>
      <c r="G2373" s="37" t="s">
        <v>358</v>
      </c>
      <c r="H2373" s="37" t="s">
        <v>1529</v>
      </c>
      <c r="I2373" s="37" t="s">
        <v>1530</v>
      </c>
      <c r="J2373" s="37" t="s">
        <v>1784</v>
      </c>
      <c r="K2373" s="45" t="n">
        <v>0</v>
      </c>
      <c r="L2373" s="46" t="n">
        <v>415650.87</v>
      </c>
    </row>
    <row r="2374" customFormat="false" ht="15" hidden="false" customHeight="false" outlineLevel="0" collapsed="false">
      <c r="A2374" s="37" t="n">
        <v>501607</v>
      </c>
      <c r="B2374" s="37" t="s">
        <v>1783</v>
      </c>
      <c r="C2374" s="37" t="n">
        <v>202608</v>
      </c>
      <c r="D2374" s="37" t="s">
        <v>62</v>
      </c>
      <c r="E2374" s="37" t="s">
        <v>110</v>
      </c>
      <c r="F2374" s="37" t="s">
        <v>201</v>
      </c>
      <c r="G2374" s="37" t="s">
        <v>358</v>
      </c>
      <c r="H2374" s="37" t="s">
        <v>1257</v>
      </c>
      <c r="I2374" s="37" t="s">
        <v>548</v>
      </c>
      <c r="J2374" s="37" t="s">
        <v>1784</v>
      </c>
      <c r="K2374" s="45" t="n">
        <v>0</v>
      </c>
      <c r="L2374" s="46" t="n">
        <v>305006.47</v>
      </c>
    </row>
    <row r="2375" customFormat="false" ht="15" hidden="false" customHeight="false" outlineLevel="0" collapsed="false">
      <c r="A2375" s="37" t="n">
        <v>501615</v>
      </c>
      <c r="B2375" s="37" t="s">
        <v>1783</v>
      </c>
      <c r="C2375" s="37" t="n">
        <v>202608</v>
      </c>
      <c r="D2375" s="37" t="s">
        <v>62</v>
      </c>
      <c r="E2375" s="37" t="s">
        <v>111</v>
      </c>
      <c r="F2375" s="37" t="s">
        <v>201</v>
      </c>
      <c r="G2375" s="37" t="s">
        <v>358</v>
      </c>
      <c r="H2375" s="37" t="s">
        <v>1258</v>
      </c>
      <c r="I2375" s="37" t="s">
        <v>1259</v>
      </c>
      <c r="J2375" s="37" t="s">
        <v>1784</v>
      </c>
      <c r="K2375" s="45" t="n">
        <v>0</v>
      </c>
      <c r="L2375" s="46" t="n">
        <v>305262.23</v>
      </c>
    </row>
    <row r="2376" customFormat="false" ht="15" hidden="false" customHeight="false" outlineLevel="0" collapsed="false">
      <c r="A2376" s="37" t="n">
        <v>501835</v>
      </c>
      <c r="B2376" s="37" t="s">
        <v>1783</v>
      </c>
      <c r="C2376" s="37" t="n">
        <v>202608</v>
      </c>
      <c r="D2376" s="37" t="s">
        <v>63</v>
      </c>
      <c r="E2376" s="37" t="s">
        <v>109</v>
      </c>
      <c r="F2376" s="37" t="s">
        <v>201</v>
      </c>
      <c r="G2376" s="37" t="s">
        <v>358</v>
      </c>
      <c r="H2376" s="37" t="s">
        <v>1613</v>
      </c>
      <c r="I2376" s="37" t="s">
        <v>1614</v>
      </c>
      <c r="J2376" s="37" t="s">
        <v>1784</v>
      </c>
      <c r="K2376" s="45" t="n">
        <v>0</v>
      </c>
      <c r="L2376" s="46" t="n">
        <v>288112.7</v>
      </c>
    </row>
    <row r="2377" customFormat="false" ht="15" hidden="false" customHeight="false" outlineLevel="0" collapsed="false">
      <c r="A2377" s="37" t="n">
        <v>501844</v>
      </c>
      <c r="B2377" s="37" t="s">
        <v>1783</v>
      </c>
      <c r="C2377" s="37" t="n">
        <v>202608</v>
      </c>
      <c r="D2377" s="37" t="s">
        <v>63</v>
      </c>
      <c r="E2377" s="37" t="s">
        <v>110</v>
      </c>
      <c r="F2377" s="37" t="s">
        <v>201</v>
      </c>
      <c r="G2377" s="37" t="s">
        <v>358</v>
      </c>
      <c r="H2377" s="37" t="s">
        <v>1180</v>
      </c>
      <c r="I2377" s="37" t="s">
        <v>1181</v>
      </c>
      <c r="J2377" s="37" t="s">
        <v>1784</v>
      </c>
      <c r="K2377" s="45" t="n">
        <v>0</v>
      </c>
      <c r="L2377" s="46" t="n">
        <v>161681.37</v>
      </c>
    </row>
    <row r="2378" customFormat="false" ht="15" hidden="false" customHeight="false" outlineLevel="0" collapsed="false">
      <c r="A2378" s="37" t="n">
        <v>501853</v>
      </c>
      <c r="B2378" s="37" t="s">
        <v>1783</v>
      </c>
      <c r="C2378" s="37" t="n">
        <v>202608</v>
      </c>
      <c r="D2378" s="37" t="s">
        <v>63</v>
      </c>
      <c r="E2378" s="37" t="s">
        <v>111</v>
      </c>
      <c r="F2378" s="37" t="s">
        <v>201</v>
      </c>
      <c r="G2378" s="37" t="s">
        <v>358</v>
      </c>
      <c r="H2378" s="37" t="s">
        <v>1182</v>
      </c>
      <c r="I2378" s="37" t="s">
        <v>852</v>
      </c>
      <c r="J2378" s="37" t="s">
        <v>1784</v>
      </c>
      <c r="K2378" s="45" t="n">
        <v>0</v>
      </c>
      <c r="L2378" s="46" t="n">
        <v>105076.98</v>
      </c>
    </row>
    <row r="2379" customFormat="false" ht="15" hidden="false" customHeight="false" outlineLevel="0" collapsed="false">
      <c r="A2379" s="37" t="n">
        <v>502022</v>
      </c>
      <c r="B2379" s="37" t="s">
        <v>1783</v>
      </c>
      <c r="C2379" s="37" t="n">
        <v>202608</v>
      </c>
      <c r="D2379" s="37" t="s">
        <v>64</v>
      </c>
      <c r="E2379" s="37" t="s">
        <v>104</v>
      </c>
      <c r="F2379" s="37" t="s">
        <v>201</v>
      </c>
      <c r="G2379" s="37" t="s">
        <v>358</v>
      </c>
      <c r="H2379" s="37" t="s">
        <v>1439</v>
      </c>
      <c r="I2379" s="37" t="s">
        <v>1340</v>
      </c>
      <c r="J2379" s="37" t="s">
        <v>1784</v>
      </c>
      <c r="K2379" s="45" t="n">
        <v>0</v>
      </c>
      <c r="L2379" s="46" t="n">
        <v>143593.67</v>
      </c>
    </row>
    <row r="2380" customFormat="false" ht="15" hidden="false" customHeight="false" outlineLevel="0" collapsed="false">
      <c r="A2380" s="37" t="n">
        <v>502054</v>
      </c>
      <c r="B2380" s="37" t="s">
        <v>1783</v>
      </c>
      <c r="C2380" s="37" t="n">
        <v>202608</v>
      </c>
      <c r="D2380" s="37" t="s">
        <v>64</v>
      </c>
      <c r="E2380" s="37" t="s">
        <v>107</v>
      </c>
      <c r="F2380" s="37" t="s">
        <v>201</v>
      </c>
      <c r="G2380" s="37" t="s">
        <v>358</v>
      </c>
      <c r="H2380" s="37" t="s">
        <v>1615</v>
      </c>
      <c r="I2380" s="37" t="s">
        <v>685</v>
      </c>
      <c r="J2380" s="37" t="s">
        <v>1784</v>
      </c>
      <c r="K2380" s="45" t="n">
        <v>0</v>
      </c>
      <c r="L2380" s="46" t="n">
        <v>251829.55</v>
      </c>
    </row>
    <row r="2381" customFormat="false" ht="15" hidden="false" customHeight="false" outlineLevel="0" collapsed="false">
      <c r="A2381" s="37" t="n">
        <v>502060</v>
      </c>
      <c r="B2381" s="37" t="s">
        <v>1783</v>
      </c>
      <c r="C2381" s="37" t="n">
        <v>202608</v>
      </c>
      <c r="D2381" s="37" t="s">
        <v>64</v>
      </c>
      <c r="E2381" s="37" t="s">
        <v>109</v>
      </c>
      <c r="F2381" s="37" t="s">
        <v>201</v>
      </c>
      <c r="G2381" s="37" t="s">
        <v>358</v>
      </c>
      <c r="H2381" s="37" t="s">
        <v>1785</v>
      </c>
      <c r="I2381" s="37" t="s">
        <v>1436</v>
      </c>
      <c r="J2381" s="37" t="s">
        <v>1784</v>
      </c>
      <c r="K2381" s="45" t="n">
        <v>0</v>
      </c>
      <c r="L2381" s="46" t="n">
        <v>9357.94</v>
      </c>
    </row>
    <row r="2382" customFormat="false" ht="15" hidden="false" customHeight="false" outlineLevel="0" collapsed="false">
      <c r="A2382" s="37" t="n">
        <v>502067</v>
      </c>
      <c r="B2382" s="37" t="s">
        <v>1783</v>
      </c>
      <c r="C2382" s="37" t="n">
        <v>202608</v>
      </c>
      <c r="D2382" s="37" t="s">
        <v>64</v>
      </c>
      <c r="E2382" s="37" t="s">
        <v>110</v>
      </c>
      <c r="F2382" s="37" t="s">
        <v>201</v>
      </c>
      <c r="G2382" s="37" t="s">
        <v>358</v>
      </c>
      <c r="H2382" s="37" t="s">
        <v>1342</v>
      </c>
      <c r="I2382" s="37" t="s">
        <v>1343</v>
      </c>
      <c r="J2382" s="37" t="s">
        <v>1784</v>
      </c>
      <c r="K2382" s="45" t="n">
        <v>0</v>
      </c>
      <c r="L2382" s="46" t="n">
        <v>308859.19</v>
      </c>
    </row>
    <row r="2383" customFormat="false" ht="15" hidden="false" customHeight="false" outlineLevel="0" collapsed="false">
      <c r="A2383" s="37" t="n">
        <v>502074</v>
      </c>
      <c r="B2383" s="37" t="s">
        <v>1783</v>
      </c>
      <c r="C2383" s="37" t="n">
        <v>202608</v>
      </c>
      <c r="D2383" s="37" t="s">
        <v>64</v>
      </c>
      <c r="E2383" s="37" t="s">
        <v>111</v>
      </c>
      <c r="F2383" s="37" t="s">
        <v>201</v>
      </c>
      <c r="G2383" s="37" t="s">
        <v>358</v>
      </c>
      <c r="H2383" s="37" t="s">
        <v>1344</v>
      </c>
      <c r="I2383" s="37" t="s">
        <v>1345</v>
      </c>
      <c r="J2383" s="37" t="s">
        <v>1784</v>
      </c>
      <c r="K2383" s="45" t="n">
        <v>0</v>
      </c>
      <c r="L2383" s="46" t="n">
        <v>147137.4</v>
      </c>
    </row>
    <row r="2384" customFormat="false" ht="15" hidden="false" customHeight="false" outlineLevel="0" collapsed="false">
      <c r="A2384" s="37" t="n">
        <v>502138</v>
      </c>
      <c r="B2384" s="37" t="s">
        <v>1783</v>
      </c>
      <c r="C2384" s="37" t="n">
        <v>202608</v>
      </c>
      <c r="D2384" s="37" t="s">
        <v>65</v>
      </c>
      <c r="E2384" s="37" t="s">
        <v>98</v>
      </c>
      <c r="F2384" s="37" t="s">
        <v>196</v>
      </c>
      <c r="G2384" s="37" t="s">
        <v>358</v>
      </c>
      <c r="H2384" s="37" t="s">
        <v>359</v>
      </c>
      <c r="I2384" s="37" t="s">
        <v>360</v>
      </c>
      <c r="J2384" s="37" t="s">
        <v>1786</v>
      </c>
      <c r="K2384" s="45" t="n">
        <v>0</v>
      </c>
      <c r="L2384" s="46" t="n">
        <v>10835.19</v>
      </c>
    </row>
    <row r="2385" customFormat="false" ht="15" hidden="false" customHeight="false" outlineLevel="0" collapsed="false">
      <c r="A2385" s="37" t="n">
        <v>502246</v>
      </c>
      <c r="B2385" s="37" t="s">
        <v>1783</v>
      </c>
      <c r="C2385" s="37" t="n">
        <v>202608</v>
      </c>
      <c r="D2385" s="37" t="s">
        <v>65</v>
      </c>
      <c r="E2385" s="37" t="s">
        <v>107</v>
      </c>
      <c r="F2385" s="37" t="s">
        <v>201</v>
      </c>
      <c r="G2385" s="37" t="s">
        <v>358</v>
      </c>
      <c r="H2385" s="37" t="s">
        <v>1616</v>
      </c>
      <c r="I2385" s="37" t="s">
        <v>1096</v>
      </c>
      <c r="J2385" s="37" t="s">
        <v>1784</v>
      </c>
      <c r="K2385" s="45" t="n">
        <v>0</v>
      </c>
      <c r="L2385" s="46" t="n">
        <v>359913.88</v>
      </c>
    </row>
    <row r="2386" customFormat="false" ht="15" hidden="false" customHeight="false" outlineLevel="0" collapsed="false">
      <c r="A2386" s="37" t="n">
        <v>502251</v>
      </c>
      <c r="B2386" s="37" t="s">
        <v>1783</v>
      </c>
      <c r="C2386" s="37" t="n">
        <v>202608</v>
      </c>
      <c r="D2386" s="37" t="s">
        <v>65</v>
      </c>
      <c r="E2386" s="37" t="s">
        <v>109</v>
      </c>
      <c r="F2386" s="37" t="s">
        <v>201</v>
      </c>
      <c r="G2386" s="37" t="s">
        <v>358</v>
      </c>
      <c r="H2386" s="37" t="s">
        <v>1787</v>
      </c>
      <c r="I2386" s="37" t="s">
        <v>1788</v>
      </c>
      <c r="J2386" s="37" t="s">
        <v>1784</v>
      </c>
      <c r="K2386" s="45" t="n">
        <v>0</v>
      </c>
      <c r="L2386" s="46" t="n">
        <v>13837.77</v>
      </c>
    </row>
    <row r="2387" customFormat="false" ht="15" hidden="false" customHeight="false" outlineLevel="0" collapsed="false">
      <c r="A2387" s="37" t="n">
        <v>502258</v>
      </c>
      <c r="B2387" s="37" t="s">
        <v>1783</v>
      </c>
      <c r="C2387" s="37" t="n">
        <v>202608</v>
      </c>
      <c r="D2387" s="37" t="s">
        <v>65</v>
      </c>
      <c r="E2387" s="37" t="s">
        <v>110</v>
      </c>
      <c r="F2387" s="37" t="s">
        <v>201</v>
      </c>
      <c r="G2387" s="37" t="s">
        <v>358</v>
      </c>
      <c r="H2387" s="37" t="s">
        <v>1347</v>
      </c>
      <c r="I2387" s="37" t="s">
        <v>1181</v>
      </c>
      <c r="J2387" s="37" t="s">
        <v>1784</v>
      </c>
      <c r="K2387" s="45" t="n">
        <v>0</v>
      </c>
      <c r="L2387" s="46" t="n">
        <v>460644.34</v>
      </c>
    </row>
    <row r="2388" customFormat="false" ht="15" hidden="false" customHeight="false" outlineLevel="0" collapsed="false">
      <c r="A2388" s="37" t="n">
        <v>502265</v>
      </c>
      <c r="B2388" s="37" t="s">
        <v>1783</v>
      </c>
      <c r="C2388" s="37" t="n">
        <v>202608</v>
      </c>
      <c r="D2388" s="37" t="s">
        <v>65</v>
      </c>
      <c r="E2388" s="37" t="s">
        <v>111</v>
      </c>
      <c r="F2388" s="37" t="s">
        <v>201</v>
      </c>
      <c r="G2388" s="37" t="s">
        <v>358</v>
      </c>
      <c r="H2388" s="37" t="s">
        <v>1348</v>
      </c>
      <c r="I2388" s="37" t="s">
        <v>1017</v>
      </c>
      <c r="J2388" s="37" t="s">
        <v>1784</v>
      </c>
      <c r="K2388" s="45" t="n">
        <v>0</v>
      </c>
      <c r="L2388" s="46" t="n">
        <v>302389.74</v>
      </c>
    </row>
    <row r="2389" customFormat="false" ht="15" hidden="false" customHeight="false" outlineLevel="0" collapsed="false">
      <c r="A2389" s="37" t="n">
        <v>502321</v>
      </c>
      <c r="B2389" s="37" t="s">
        <v>1783</v>
      </c>
      <c r="C2389" s="37" t="n">
        <v>202608</v>
      </c>
      <c r="D2389" s="37" t="s">
        <v>66</v>
      </c>
      <c r="E2389" s="37" t="s">
        <v>98</v>
      </c>
      <c r="F2389" s="37" t="s">
        <v>196</v>
      </c>
      <c r="G2389" s="37" t="s">
        <v>358</v>
      </c>
      <c r="H2389" s="37" t="s">
        <v>359</v>
      </c>
      <c r="I2389" s="37" t="s">
        <v>360</v>
      </c>
      <c r="J2389" s="37" t="s">
        <v>963</v>
      </c>
      <c r="K2389" s="45" t="n">
        <v>0</v>
      </c>
      <c r="L2389" s="46" t="n">
        <v>28505.11</v>
      </c>
    </row>
    <row r="2390" customFormat="false" ht="15" hidden="false" customHeight="false" outlineLevel="0" collapsed="false">
      <c r="A2390" s="37" t="n">
        <v>502398</v>
      </c>
      <c r="B2390" s="37" t="s">
        <v>1783</v>
      </c>
      <c r="C2390" s="37" t="n">
        <v>202608</v>
      </c>
      <c r="D2390" s="37" t="s">
        <v>66</v>
      </c>
      <c r="E2390" s="37" t="s">
        <v>103</v>
      </c>
      <c r="F2390" s="37" t="s">
        <v>205</v>
      </c>
      <c r="G2390" s="37" t="s">
        <v>358</v>
      </c>
      <c r="H2390" s="37" t="s">
        <v>1296</v>
      </c>
      <c r="I2390" s="37" t="s">
        <v>1297</v>
      </c>
      <c r="J2390" s="37" t="s">
        <v>1789</v>
      </c>
      <c r="K2390" s="45" t="n">
        <v>0</v>
      </c>
      <c r="L2390" s="46" t="n">
        <v>41426.64</v>
      </c>
    </row>
    <row r="2391" customFormat="false" ht="15" hidden="false" customHeight="false" outlineLevel="0" collapsed="false">
      <c r="A2391" s="37" t="n">
        <v>502403</v>
      </c>
      <c r="B2391" s="37" t="s">
        <v>1783</v>
      </c>
      <c r="C2391" s="37" t="n">
        <v>202608</v>
      </c>
      <c r="D2391" s="37" t="s">
        <v>66</v>
      </c>
      <c r="E2391" s="37" t="s">
        <v>104</v>
      </c>
      <c r="F2391" s="37" t="s">
        <v>201</v>
      </c>
      <c r="G2391" s="37" t="s">
        <v>358</v>
      </c>
      <c r="H2391" s="37" t="s">
        <v>1790</v>
      </c>
      <c r="I2391" s="37" t="s">
        <v>1791</v>
      </c>
      <c r="J2391" s="37" t="s">
        <v>1784</v>
      </c>
      <c r="K2391" s="45" t="n">
        <v>0</v>
      </c>
      <c r="L2391" s="46" t="n">
        <v>61160.96</v>
      </c>
    </row>
    <row r="2392" customFormat="false" ht="15" hidden="false" customHeight="false" outlineLevel="0" collapsed="false">
      <c r="A2392" s="37" t="n">
        <v>502407</v>
      </c>
      <c r="B2392" s="37" t="s">
        <v>1783</v>
      </c>
      <c r="C2392" s="37" t="n">
        <v>202608</v>
      </c>
      <c r="D2392" s="37" t="s">
        <v>66</v>
      </c>
      <c r="E2392" s="37" t="s">
        <v>105</v>
      </c>
      <c r="F2392" s="37" t="s">
        <v>201</v>
      </c>
      <c r="G2392" s="37" t="s">
        <v>358</v>
      </c>
      <c r="H2392" s="37" t="s">
        <v>1617</v>
      </c>
      <c r="I2392" s="37" t="s">
        <v>1101</v>
      </c>
      <c r="J2392" s="37" t="s">
        <v>1784</v>
      </c>
      <c r="K2392" s="45" t="n">
        <v>0</v>
      </c>
      <c r="L2392" s="46" t="n">
        <v>214816.07</v>
      </c>
    </row>
    <row r="2393" customFormat="false" ht="15" hidden="false" customHeight="false" outlineLevel="0" collapsed="false">
      <c r="A2393" s="37" t="n">
        <v>502414</v>
      </c>
      <c r="B2393" s="37" t="s">
        <v>1783</v>
      </c>
      <c r="C2393" s="37" t="n">
        <v>202608</v>
      </c>
      <c r="D2393" s="37" t="s">
        <v>66</v>
      </c>
      <c r="E2393" s="37" t="s">
        <v>110</v>
      </c>
      <c r="F2393" s="37" t="s">
        <v>201</v>
      </c>
      <c r="G2393" s="37" t="s">
        <v>358</v>
      </c>
      <c r="H2393" s="37" t="s">
        <v>1692</v>
      </c>
      <c r="I2393" s="37" t="s">
        <v>1181</v>
      </c>
      <c r="J2393" s="37" t="s">
        <v>1784</v>
      </c>
      <c r="K2393" s="45" t="n">
        <v>0</v>
      </c>
      <c r="L2393" s="46" t="n">
        <v>76799.58</v>
      </c>
    </row>
    <row r="2394" customFormat="false" ht="15" hidden="false" customHeight="false" outlineLevel="0" collapsed="false">
      <c r="A2394" s="37" t="n">
        <v>502417</v>
      </c>
      <c r="B2394" s="37" t="s">
        <v>1783</v>
      </c>
      <c r="C2394" s="37" t="n">
        <v>202608</v>
      </c>
      <c r="D2394" s="37" t="s">
        <v>66</v>
      </c>
      <c r="E2394" s="37" t="s">
        <v>111</v>
      </c>
      <c r="F2394" s="37" t="s">
        <v>201</v>
      </c>
      <c r="G2394" s="37" t="s">
        <v>358</v>
      </c>
      <c r="H2394" s="37" t="s">
        <v>1693</v>
      </c>
      <c r="I2394" s="37" t="s">
        <v>1012</v>
      </c>
      <c r="J2394" s="37" t="s">
        <v>1784</v>
      </c>
      <c r="K2394" s="45" t="n">
        <v>0</v>
      </c>
      <c r="L2394" s="46" t="n">
        <v>84408.48</v>
      </c>
    </row>
    <row r="2395" customFormat="false" ht="15" hidden="false" customHeight="false" outlineLevel="0" collapsed="false">
      <c r="A2395" s="37" t="n">
        <v>502531</v>
      </c>
      <c r="B2395" s="37" t="s">
        <v>1783</v>
      </c>
      <c r="C2395" s="37" t="n">
        <v>202608</v>
      </c>
      <c r="D2395" s="37" t="s">
        <v>67</v>
      </c>
      <c r="E2395" s="37" t="s">
        <v>105</v>
      </c>
      <c r="F2395" s="37" t="s">
        <v>201</v>
      </c>
      <c r="G2395" s="37" t="s">
        <v>358</v>
      </c>
      <c r="H2395" s="37" t="s">
        <v>1694</v>
      </c>
      <c r="I2395" s="37" t="s">
        <v>796</v>
      </c>
      <c r="J2395" s="37" t="s">
        <v>1784</v>
      </c>
      <c r="K2395" s="45" t="n">
        <v>0</v>
      </c>
      <c r="L2395" s="46" t="n">
        <v>459248.31</v>
      </c>
    </row>
    <row r="2396" customFormat="false" ht="15" hidden="false" customHeight="false" outlineLevel="0" collapsed="false">
      <c r="A2396" s="37" t="n">
        <v>502538</v>
      </c>
      <c r="B2396" s="37" t="s">
        <v>1783</v>
      </c>
      <c r="C2396" s="37" t="n">
        <v>202608</v>
      </c>
      <c r="D2396" s="37" t="s">
        <v>67</v>
      </c>
      <c r="E2396" s="37" t="s">
        <v>110</v>
      </c>
      <c r="F2396" s="37" t="s">
        <v>201</v>
      </c>
      <c r="G2396" s="37" t="s">
        <v>358</v>
      </c>
      <c r="H2396" s="37" t="s">
        <v>1695</v>
      </c>
      <c r="I2396" s="37" t="s">
        <v>1343</v>
      </c>
      <c r="J2396" s="37" t="s">
        <v>1784</v>
      </c>
      <c r="K2396" s="45" t="n">
        <v>0</v>
      </c>
      <c r="L2396" s="46" t="n">
        <v>73732.46</v>
      </c>
    </row>
    <row r="2397" customFormat="false" ht="15" hidden="false" customHeight="false" outlineLevel="0" collapsed="false">
      <c r="A2397" s="37" t="n">
        <v>502541</v>
      </c>
      <c r="B2397" s="37" t="s">
        <v>1783</v>
      </c>
      <c r="C2397" s="37" t="n">
        <v>202608</v>
      </c>
      <c r="D2397" s="37" t="s">
        <v>67</v>
      </c>
      <c r="E2397" s="37" t="s">
        <v>111</v>
      </c>
      <c r="F2397" s="37" t="s">
        <v>201</v>
      </c>
      <c r="G2397" s="37" t="s">
        <v>358</v>
      </c>
      <c r="H2397" s="37" t="s">
        <v>1696</v>
      </c>
      <c r="I2397" s="37" t="s">
        <v>550</v>
      </c>
      <c r="J2397" s="37" t="s">
        <v>1784</v>
      </c>
      <c r="K2397" s="45" t="n">
        <v>0</v>
      </c>
      <c r="L2397" s="46" t="n">
        <v>67561.07</v>
      </c>
    </row>
    <row r="2398" customFormat="false" ht="15" hidden="false" customHeight="false" outlineLevel="0" collapsed="false">
      <c r="A2398" s="37" t="n">
        <v>502583</v>
      </c>
      <c r="B2398" s="37" t="s">
        <v>1783</v>
      </c>
      <c r="C2398" s="37" t="n">
        <v>202608</v>
      </c>
      <c r="D2398" s="37" t="s">
        <v>68</v>
      </c>
      <c r="E2398" s="37" t="s">
        <v>100</v>
      </c>
      <c r="F2398" s="37" t="s">
        <v>201</v>
      </c>
      <c r="G2398" s="37" t="s">
        <v>358</v>
      </c>
      <c r="H2398" s="37" t="s">
        <v>1531</v>
      </c>
      <c r="I2398" s="37" t="s">
        <v>370</v>
      </c>
      <c r="J2398" s="37" t="s">
        <v>1784</v>
      </c>
      <c r="K2398" s="45" t="n">
        <v>0</v>
      </c>
      <c r="L2398" s="46" t="n">
        <v>2292.63</v>
      </c>
    </row>
    <row r="2399" customFormat="false" ht="15" hidden="false" customHeight="false" outlineLevel="0" collapsed="false">
      <c r="A2399" s="37" t="n">
        <v>502616</v>
      </c>
      <c r="B2399" s="37" t="s">
        <v>1783</v>
      </c>
      <c r="C2399" s="37" t="n">
        <v>202608</v>
      </c>
      <c r="D2399" s="37" t="s">
        <v>68</v>
      </c>
      <c r="E2399" s="37" t="s">
        <v>103</v>
      </c>
      <c r="F2399" s="37" t="s">
        <v>205</v>
      </c>
      <c r="G2399" s="37" t="s">
        <v>358</v>
      </c>
      <c r="H2399" s="37" t="s">
        <v>1596</v>
      </c>
      <c r="I2399" s="37" t="s">
        <v>898</v>
      </c>
      <c r="J2399" s="37" t="s">
        <v>1792</v>
      </c>
      <c r="K2399" s="45" t="n">
        <v>0</v>
      </c>
      <c r="L2399" s="46" t="n">
        <v>183654.62</v>
      </c>
    </row>
    <row r="2400" customFormat="false" ht="15" hidden="false" customHeight="false" outlineLevel="0" collapsed="false">
      <c r="A2400" s="37" t="n">
        <v>502621</v>
      </c>
      <c r="B2400" s="37" t="s">
        <v>1783</v>
      </c>
      <c r="C2400" s="37" t="n">
        <v>202608</v>
      </c>
      <c r="D2400" s="37" t="s">
        <v>68</v>
      </c>
      <c r="E2400" s="37" t="s">
        <v>105</v>
      </c>
      <c r="F2400" s="37" t="s">
        <v>201</v>
      </c>
      <c r="G2400" s="37" t="s">
        <v>358</v>
      </c>
      <c r="H2400" s="37" t="s">
        <v>1793</v>
      </c>
      <c r="I2400" s="37" t="s">
        <v>934</v>
      </c>
      <c r="J2400" s="37" t="s">
        <v>1784</v>
      </c>
      <c r="K2400" s="45" t="n">
        <v>0</v>
      </c>
      <c r="L2400" s="46" t="n">
        <v>86256.67</v>
      </c>
    </row>
    <row r="2401" customFormat="false" ht="15" hidden="false" customHeight="false" outlineLevel="0" collapsed="false">
      <c r="A2401" s="37" t="n">
        <v>502627</v>
      </c>
      <c r="B2401" s="37" t="s">
        <v>1783</v>
      </c>
      <c r="C2401" s="37" t="n">
        <v>202608</v>
      </c>
      <c r="D2401" s="37" t="s">
        <v>68</v>
      </c>
      <c r="E2401" s="37" t="s">
        <v>110</v>
      </c>
      <c r="F2401" s="37" t="s">
        <v>201</v>
      </c>
      <c r="G2401" s="37" t="s">
        <v>358</v>
      </c>
      <c r="H2401" s="37" t="s">
        <v>1794</v>
      </c>
      <c r="I2401" s="37" t="s">
        <v>548</v>
      </c>
      <c r="J2401" s="37" t="s">
        <v>1784</v>
      </c>
      <c r="K2401" s="45" t="n">
        <v>0</v>
      </c>
      <c r="L2401" s="46" t="n">
        <v>11686.52</v>
      </c>
    </row>
    <row r="2402" customFormat="false" ht="15" hidden="false" customHeight="false" outlineLevel="0" collapsed="false">
      <c r="A2402" s="37" t="n">
        <v>502629</v>
      </c>
      <c r="B2402" s="37" t="s">
        <v>1783</v>
      </c>
      <c r="C2402" s="37" t="n">
        <v>202608</v>
      </c>
      <c r="D2402" s="37" t="s">
        <v>68</v>
      </c>
      <c r="E2402" s="37" t="s">
        <v>111</v>
      </c>
      <c r="F2402" s="37" t="s">
        <v>201</v>
      </c>
      <c r="G2402" s="37" t="s">
        <v>358</v>
      </c>
      <c r="H2402" s="37" t="s">
        <v>1795</v>
      </c>
      <c r="I2402" s="37" t="s">
        <v>1012</v>
      </c>
      <c r="J2402" s="37" t="s">
        <v>1784</v>
      </c>
      <c r="K2402" s="45" t="n">
        <v>0</v>
      </c>
      <c r="L2402" s="46" t="n">
        <v>8383.98</v>
      </c>
    </row>
    <row r="2403" customFormat="false" ht="15" hidden="false" customHeight="false" outlineLevel="0" collapsed="false">
      <c r="A2403" s="37" t="n">
        <v>502654</v>
      </c>
      <c r="B2403" s="37" t="s">
        <v>1783</v>
      </c>
      <c r="C2403" s="37" t="n">
        <v>202608</v>
      </c>
      <c r="D2403" s="37" t="s">
        <v>69</v>
      </c>
      <c r="E2403" s="37" t="s">
        <v>100</v>
      </c>
      <c r="F2403" s="37" t="s">
        <v>201</v>
      </c>
      <c r="G2403" s="37" t="s">
        <v>358</v>
      </c>
      <c r="H2403" s="37" t="s">
        <v>1697</v>
      </c>
      <c r="I2403" s="37" t="s">
        <v>854</v>
      </c>
      <c r="J2403" s="37" t="s">
        <v>1784</v>
      </c>
      <c r="K2403" s="45" t="n">
        <v>0</v>
      </c>
      <c r="L2403" s="46" t="n">
        <v>100386.71</v>
      </c>
    </row>
    <row r="2404" customFormat="false" ht="15" hidden="false" customHeight="false" outlineLevel="0" collapsed="false">
      <c r="A2404" s="37" t="n">
        <v>500172</v>
      </c>
      <c r="B2404" s="37" t="s">
        <v>1796</v>
      </c>
      <c r="C2404" s="37" t="n">
        <v>202608</v>
      </c>
      <c r="D2404" s="37" t="s">
        <v>58</v>
      </c>
      <c r="E2404" s="37" t="s">
        <v>98</v>
      </c>
      <c r="F2404" s="37" t="s">
        <v>196</v>
      </c>
      <c r="G2404" s="37" t="s">
        <v>358</v>
      </c>
      <c r="H2404" s="37" t="s">
        <v>359</v>
      </c>
      <c r="I2404" s="37" t="s">
        <v>360</v>
      </c>
      <c r="J2404" s="37" t="s">
        <v>1797</v>
      </c>
      <c r="K2404" s="45" t="n">
        <v>0</v>
      </c>
      <c r="L2404" s="46" t="n">
        <v>2204.38</v>
      </c>
    </row>
    <row r="2405" customFormat="false" ht="15" hidden="false" customHeight="false" outlineLevel="0" collapsed="false">
      <c r="A2405" s="37" t="n">
        <v>502528</v>
      </c>
      <c r="B2405" s="37" t="s">
        <v>1796</v>
      </c>
      <c r="C2405" s="37" t="n">
        <v>202608</v>
      </c>
      <c r="D2405" s="37" t="s">
        <v>67</v>
      </c>
      <c r="E2405" s="37" t="s">
        <v>103</v>
      </c>
      <c r="F2405" s="37" t="s">
        <v>205</v>
      </c>
      <c r="G2405" s="37" t="s">
        <v>358</v>
      </c>
      <c r="H2405" s="37" t="s">
        <v>1368</v>
      </c>
      <c r="I2405" s="37" t="s">
        <v>1369</v>
      </c>
      <c r="J2405" s="37" t="s">
        <v>1798</v>
      </c>
      <c r="K2405" s="45" t="n">
        <v>0</v>
      </c>
      <c r="L2405" s="46" t="n">
        <v>47362.64</v>
      </c>
    </row>
    <row r="2406" customFormat="false" ht="15" hidden="false" customHeight="false" outlineLevel="0" collapsed="false">
      <c r="A2406" s="37" t="n">
        <v>502462</v>
      </c>
      <c r="B2406" s="37" t="s">
        <v>1799</v>
      </c>
      <c r="C2406" s="37" t="n">
        <v>202608</v>
      </c>
      <c r="D2406" s="37" t="s">
        <v>67</v>
      </c>
      <c r="E2406" s="37" t="s">
        <v>98</v>
      </c>
      <c r="F2406" s="37" t="s">
        <v>196</v>
      </c>
      <c r="G2406" s="37" t="s">
        <v>358</v>
      </c>
      <c r="H2406" s="37" t="s">
        <v>359</v>
      </c>
      <c r="I2406" s="37" t="s">
        <v>360</v>
      </c>
      <c r="J2406" s="37" t="s">
        <v>1800</v>
      </c>
      <c r="K2406" s="45" t="n">
        <v>0</v>
      </c>
      <c r="L2406" s="46" t="n">
        <v>3455.54</v>
      </c>
    </row>
    <row r="2407" customFormat="false" ht="15" hidden="false" customHeight="false" outlineLevel="0" collapsed="false">
      <c r="A2407" s="37" t="n">
        <v>500117</v>
      </c>
      <c r="B2407" s="37" t="s">
        <v>140</v>
      </c>
      <c r="C2407" s="37" t="n">
        <v>202608</v>
      </c>
      <c r="D2407" s="37" t="s">
        <v>58</v>
      </c>
      <c r="E2407" s="37" t="s">
        <v>97</v>
      </c>
      <c r="F2407" s="37" t="s">
        <v>194</v>
      </c>
      <c r="G2407" s="37" t="s">
        <v>354</v>
      </c>
      <c r="H2407" s="37"/>
      <c r="I2407" s="37" t="s">
        <v>355</v>
      </c>
      <c r="J2407" s="37" t="s">
        <v>1801</v>
      </c>
      <c r="K2407" s="45" t="n">
        <v>35.8</v>
      </c>
      <c r="L2407" s="46" t="n">
        <v>3294.57</v>
      </c>
    </row>
    <row r="2408" customFormat="false" ht="15" hidden="false" customHeight="false" outlineLevel="0" collapsed="false">
      <c r="A2408" s="37" t="n">
        <v>500525</v>
      </c>
      <c r="B2408" s="37" t="s">
        <v>140</v>
      </c>
      <c r="C2408" s="37" t="n">
        <v>202608</v>
      </c>
      <c r="D2408" s="37" t="s">
        <v>59</v>
      </c>
      <c r="E2408" s="37" t="s">
        <v>97</v>
      </c>
      <c r="F2408" s="37" t="s">
        <v>194</v>
      </c>
      <c r="G2408" s="37" t="s">
        <v>354</v>
      </c>
      <c r="H2408" s="37"/>
      <c r="I2408" s="37" t="s">
        <v>355</v>
      </c>
      <c r="J2408" s="37" t="s">
        <v>1801</v>
      </c>
      <c r="K2408" s="45" t="n">
        <v>145.7</v>
      </c>
      <c r="L2408" s="46" t="n">
        <v>13405.58</v>
      </c>
    </row>
    <row r="2409" customFormat="false" ht="15" hidden="false" customHeight="false" outlineLevel="0" collapsed="false">
      <c r="A2409" s="37" t="n">
        <v>500727</v>
      </c>
      <c r="B2409" s="37" t="s">
        <v>140</v>
      </c>
      <c r="C2409" s="37" t="n">
        <v>202608</v>
      </c>
      <c r="D2409" s="37" t="s">
        <v>59</v>
      </c>
      <c r="E2409" s="37" t="s">
        <v>106</v>
      </c>
      <c r="F2409" s="37" t="s">
        <v>194</v>
      </c>
      <c r="G2409" s="37" t="s">
        <v>354</v>
      </c>
      <c r="H2409" s="37"/>
      <c r="I2409" s="37" t="s">
        <v>355</v>
      </c>
      <c r="J2409" s="37" t="s">
        <v>1801</v>
      </c>
      <c r="K2409" s="45" t="n">
        <v>4.3</v>
      </c>
      <c r="L2409" s="46" t="n">
        <v>307.64</v>
      </c>
    </row>
    <row r="2410" customFormat="false" ht="15" hidden="false" customHeight="false" outlineLevel="0" collapsed="false">
      <c r="A2410" s="37" t="n">
        <v>500854</v>
      </c>
      <c r="B2410" s="37" t="s">
        <v>140</v>
      </c>
      <c r="C2410" s="37" t="n">
        <v>202608</v>
      </c>
      <c r="D2410" s="37" t="s">
        <v>60</v>
      </c>
      <c r="E2410" s="37" t="s">
        <v>97</v>
      </c>
      <c r="F2410" s="37" t="s">
        <v>194</v>
      </c>
      <c r="G2410" s="37" t="s">
        <v>354</v>
      </c>
      <c r="H2410" s="37"/>
      <c r="I2410" s="37" t="s">
        <v>355</v>
      </c>
      <c r="J2410" s="37" t="s">
        <v>1801</v>
      </c>
      <c r="K2410" s="45" t="n">
        <v>100</v>
      </c>
      <c r="L2410" s="46" t="n">
        <v>9200.51</v>
      </c>
    </row>
    <row r="2411" customFormat="false" ht="15" hidden="false" customHeight="false" outlineLevel="0" collapsed="false">
      <c r="A2411" s="37" t="n">
        <v>501047</v>
      </c>
      <c r="B2411" s="37" t="s">
        <v>140</v>
      </c>
      <c r="C2411" s="37" t="n">
        <v>202608</v>
      </c>
      <c r="D2411" s="37" t="s">
        <v>60</v>
      </c>
      <c r="E2411" s="37" t="s">
        <v>106</v>
      </c>
      <c r="F2411" s="37" t="s">
        <v>194</v>
      </c>
      <c r="G2411" s="37" t="s">
        <v>354</v>
      </c>
      <c r="H2411" s="37"/>
      <c r="I2411" s="37" t="s">
        <v>355</v>
      </c>
      <c r="J2411" s="37" t="s">
        <v>1801</v>
      </c>
      <c r="K2411" s="45" t="n">
        <v>328.1</v>
      </c>
      <c r="L2411" s="46" t="n">
        <v>23292</v>
      </c>
    </row>
    <row r="2412" customFormat="false" ht="15" hidden="false" customHeight="false" outlineLevel="0" collapsed="false">
      <c r="A2412" s="37" t="n">
        <v>501161</v>
      </c>
      <c r="B2412" s="37" t="s">
        <v>140</v>
      </c>
      <c r="C2412" s="37" t="n">
        <v>202608</v>
      </c>
      <c r="D2412" s="37" t="s">
        <v>61</v>
      </c>
      <c r="E2412" s="37" t="s">
        <v>97</v>
      </c>
      <c r="F2412" s="37" t="s">
        <v>194</v>
      </c>
      <c r="G2412" s="37" t="s">
        <v>354</v>
      </c>
      <c r="H2412" s="37"/>
      <c r="I2412" s="37" t="s">
        <v>355</v>
      </c>
      <c r="J2412" s="37" t="s">
        <v>1801</v>
      </c>
      <c r="K2412" s="45" t="n">
        <v>89.5</v>
      </c>
      <c r="L2412" s="46" t="n">
        <v>8230.27</v>
      </c>
    </row>
    <row r="2413" customFormat="false" ht="15" hidden="false" customHeight="false" outlineLevel="0" collapsed="false">
      <c r="A2413" s="37" t="n">
        <v>501422</v>
      </c>
      <c r="B2413" s="37" t="s">
        <v>140</v>
      </c>
      <c r="C2413" s="37" t="n">
        <v>202608</v>
      </c>
      <c r="D2413" s="37" t="s">
        <v>62</v>
      </c>
      <c r="E2413" s="37" t="s">
        <v>97</v>
      </c>
      <c r="F2413" s="37" t="s">
        <v>194</v>
      </c>
      <c r="G2413" s="37" t="s">
        <v>354</v>
      </c>
      <c r="H2413" s="37"/>
      <c r="I2413" s="37" t="s">
        <v>355</v>
      </c>
      <c r="J2413" s="37" t="s">
        <v>1801</v>
      </c>
      <c r="K2413" s="45" t="n">
        <v>282.6</v>
      </c>
      <c r="L2413" s="46" t="n">
        <v>25998.23</v>
      </c>
    </row>
    <row r="2414" customFormat="false" ht="15" hidden="false" customHeight="false" outlineLevel="0" collapsed="false">
      <c r="A2414" s="37" t="n">
        <v>501588</v>
      </c>
      <c r="B2414" s="37" t="s">
        <v>140</v>
      </c>
      <c r="C2414" s="37" t="n">
        <v>202608</v>
      </c>
      <c r="D2414" s="37" t="s">
        <v>62</v>
      </c>
      <c r="E2414" s="37" t="s">
        <v>106</v>
      </c>
      <c r="F2414" s="37" t="s">
        <v>194</v>
      </c>
      <c r="G2414" s="37" t="s">
        <v>354</v>
      </c>
      <c r="H2414" s="37"/>
      <c r="I2414" s="37" t="s">
        <v>355</v>
      </c>
      <c r="J2414" s="37" t="s">
        <v>1801</v>
      </c>
      <c r="K2414" s="45" t="n">
        <v>869.7</v>
      </c>
      <c r="L2414" s="46" t="n">
        <v>61752.06</v>
      </c>
    </row>
    <row r="2415" customFormat="false" ht="15" hidden="false" customHeight="false" outlineLevel="0" collapsed="false">
      <c r="A2415" s="37" t="n">
        <v>501668</v>
      </c>
      <c r="B2415" s="37" t="s">
        <v>140</v>
      </c>
      <c r="C2415" s="37" t="n">
        <v>202608</v>
      </c>
      <c r="D2415" s="37" t="s">
        <v>63</v>
      </c>
      <c r="E2415" s="37" t="s">
        <v>97</v>
      </c>
      <c r="F2415" s="37" t="s">
        <v>194</v>
      </c>
      <c r="G2415" s="37" t="s">
        <v>354</v>
      </c>
      <c r="H2415" s="37"/>
      <c r="I2415" s="37" t="s">
        <v>355</v>
      </c>
      <c r="J2415" s="37" t="s">
        <v>1801</v>
      </c>
      <c r="K2415" s="45" t="n">
        <v>115.9</v>
      </c>
      <c r="L2415" s="46" t="n">
        <v>10661.64</v>
      </c>
    </row>
    <row r="2416" customFormat="false" ht="15" hidden="false" customHeight="false" outlineLevel="0" collapsed="false">
      <c r="A2416" s="37" t="n">
        <v>501818</v>
      </c>
      <c r="B2416" s="37" t="s">
        <v>140</v>
      </c>
      <c r="C2416" s="37" t="n">
        <v>202608</v>
      </c>
      <c r="D2416" s="37" t="s">
        <v>63</v>
      </c>
      <c r="E2416" s="37" t="s">
        <v>106</v>
      </c>
      <c r="F2416" s="37" t="s">
        <v>194</v>
      </c>
      <c r="G2416" s="37" t="s">
        <v>354</v>
      </c>
      <c r="H2416" s="37"/>
      <c r="I2416" s="37" t="s">
        <v>355</v>
      </c>
      <c r="J2416" s="37" t="s">
        <v>1801</v>
      </c>
      <c r="K2416" s="45" t="n">
        <v>37.5</v>
      </c>
      <c r="L2416" s="46" t="n">
        <v>2661.59</v>
      </c>
    </row>
    <row r="2417" customFormat="false" ht="15" hidden="false" customHeight="false" outlineLevel="0" collapsed="false">
      <c r="A2417" s="37" t="n">
        <v>501902</v>
      </c>
      <c r="B2417" s="37" t="s">
        <v>140</v>
      </c>
      <c r="C2417" s="37" t="n">
        <v>202608</v>
      </c>
      <c r="D2417" s="37" t="s">
        <v>64</v>
      </c>
      <c r="E2417" s="37" t="s">
        <v>97</v>
      </c>
      <c r="F2417" s="37" t="s">
        <v>194</v>
      </c>
      <c r="G2417" s="37" t="s">
        <v>354</v>
      </c>
      <c r="H2417" s="37"/>
      <c r="I2417" s="37" t="s">
        <v>355</v>
      </c>
      <c r="J2417" s="37" t="s">
        <v>1801</v>
      </c>
      <c r="K2417" s="45" t="n">
        <v>239.5</v>
      </c>
      <c r="L2417" s="46" t="n">
        <v>22037.24</v>
      </c>
    </row>
    <row r="2418" customFormat="false" ht="15" hidden="false" customHeight="false" outlineLevel="0" collapsed="false">
      <c r="A2418" s="37" t="n">
        <v>502047</v>
      </c>
      <c r="B2418" s="37" t="s">
        <v>140</v>
      </c>
      <c r="C2418" s="37" t="n">
        <v>202608</v>
      </c>
      <c r="D2418" s="37" t="s">
        <v>64</v>
      </c>
      <c r="E2418" s="37" t="s">
        <v>106</v>
      </c>
      <c r="F2418" s="37" t="s">
        <v>194</v>
      </c>
      <c r="G2418" s="37" t="s">
        <v>354</v>
      </c>
      <c r="H2418" s="37"/>
      <c r="I2418" s="37" t="s">
        <v>355</v>
      </c>
      <c r="J2418" s="37" t="s">
        <v>1801</v>
      </c>
      <c r="K2418" s="45" t="n">
        <v>417.1</v>
      </c>
      <c r="L2418" s="46" t="n">
        <v>29612.4</v>
      </c>
    </row>
    <row r="2419" customFormat="false" ht="15" hidden="false" customHeight="false" outlineLevel="0" collapsed="false">
      <c r="A2419" s="37" t="n">
        <v>502118</v>
      </c>
      <c r="B2419" s="37" t="s">
        <v>140</v>
      </c>
      <c r="C2419" s="37" t="n">
        <v>202608</v>
      </c>
      <c r="D2419" s="37" t="s">
        <v>65</v>
      </c>
      <c r="E2419" s="37" t="s">
        <v>97</v>
      </c>
      <c r="F2419" s="37" t="s">
        <v>194</v>
      </c>
      <c r="G2419" s="37" t="s">
        <v>354</v>
      </c>
      <c r="H2419" s="37"/>
      <c r="I2419" s="37" t="s">
        <v>355</v>
      </c>
      <c r="J2419" s="37" t="s">
        <v>1801</v>
      </c>
      <c r="K2419" s="45" t="n">
        <v>127.9</v>
      </c>
      <c r="L2419" s="46" t="n">
        <v>11763.25</v>
      </c>
    </row>
    <row r="2420" customFormat="false" ht="15" hidden="false" customHeight="false" outlineLevel="0" collapsed="false">
      <c r="A2420" s="37" t="n">
        <v>502239</v>
      </c>
      <c r="B2420" s="37" t="s">
        <v>140</v>
      </c>
      <c r="C2420" s="37" t="n">
        <v>202608</v>
      </c>
      <c r="D2420" s="37" t="s">
        <v>65</v>
      </c>
      <c r="E2420" s="37" t="s">
        <v>106</v>
      </c>
      <c r="F2420" s="37" t="s">
        <v>194</v>
      </c>
      <c r="G2420" s="37" t="s">
        <v>354</v>
      </c>
      <c r="H2420" s="37"/>
      <c r="I2420" s="37" t="s">
        <v>355</v>
      </c>
      <c r="J2420" s="37" t="s">
        <v>1801</v>
      </c>
      <c r="K2420" s="45" t="n">
        <v>209.3</v>
      </c>
      <c r="L2420" s="46" t="n">
        <v>14862.77</v>
      </c>
    </row>
    <row r="2421" customFormat="false" ht="15" hidden="false" customHeight="false" outlineLevel="0" collapsed="false">
      <c r="A2421" s="37" t="n">
        <v>502301</v>
      </c>
      <c r="B2421" s="37" t="s">
        <v>140</v>
      </c>
      <c r="C2421" s="37" t="n">
        <v>202608</v>
      </c>
      <c r="D2421" s="37" t="s">
        <v>66</v>
      </c>
      <c r="E2421" s="37" t="s">
        <v>97</v>
      </c>
      <c r="F2421" s="37" t="s">
        <v>194</v>
      </c>
      <c r="G2421" s="37" t="s">
        <v>354</v>
      </c>
      <c r="H2421" s="37"/>
      <c r="I2421" s="37" t="s">
        <v>355</v>
      </c>
      <c r="J2421" s="37" t="s">
        <v>1801</v>
      </c>
      <c r="K2421" s="45" t="n">
        <v>289.2</v>
      </c>
      <c r="L2421" s="46" t="n">
        <v>26609.71</v>
      </c>
    </row>
    <row r="2422" customFormat="false" ht="15" hidden="false" customHeight="false" outlineLevel="0" collapsed="false">
      <c r="A2422" s="37" t="n">
        <v>502366</v>
      </c>
      <c r="B2422" s="37" t="s">
        <v>140</v>
      </c>
      <c r="C2422" s="37" t="n">
        <v>202608</v>
      </c>
      <c r="D2422" s="37" t="s">
        <v>66</v>
      </c>
      <c r="E2422" s="37" t="s">
        <v>101</v>
      </c>
      <c r="F2422" s="37" t="s">
        <v>194</v>
      </c>
      <c r="G2422" s="37" t="s">
        <v>354</v>
      </c>
      <c r="H2422" s="37"/>
      <c r="I2422" s="37" t="s">
        <v>355</v>
      </c>
      <c r="J2422" s="37" t="s">
        <v>1801</v>
      </c>
      <c r="K2422" s="45" t="n">
        <v>338.5</v>
      </c>
      <c r="L2422" s="46" t="n">
        <v>25050.64</v>
      </c>
    </row>
    <row r="2423" customFormat="false" ht="15" hidden="false" customHeight="false" outlineLevel="0" collapsed="false">
      <c r="A2423" s="37" t="n">
        <v>502444</v>
      </c>
      <c r="B2423" s="37" t="s">
        <v>140</v>
      </c>
      <c r="C2423" s="37" t="n">
        <v>202608</v>
      </c>
      <c r="D2423" s="37" t="s">
        <v>67</v>
      </c>
      <c r="E2423" s="37" t="s">
        <v>97</v>
      </c>
      <c r="F2423" s="37" t="s">
        <v>194</v>
      </c>
      <c r="G2423" s="37" t="s">
        <v>354</v>
      </c>
      <c r="H2423" s="37"/>
      <c r="I2423" s="37" t="s">
        <v>355</v>
      </c>
      <c r="J2423" s="37" t="s">
        <v>1801</v>
      </c>
      <c r="K2423" s="45" t="n">
        <v>163.5</v>
      </c>
      <c r="L2423" s="46" t="n">
        <v>15043.35</v>
      </c>
    </row>
    <row r="2424" customFormat="false" ht="15" hidden="false" customHeight="false" outlineLevel="0" collapsed="false">
      <c r="A2424" s="37" t="n">
        <v>502498</v>
      </c>
      <c r="B2424" s="37" t="s">
        <v>140</v>
      </c>
      <c r="C2424" s="37" t="n">
        <v>202608</v>
      </c>
      <c r="D2424" s="37" t="s">
        <v>67</v>
      </c>
      <c r="E2424" s="37" t="s">
        <v>101</v>
      </c>
      <c r="F2424" s="37" t="s">
        <v>194</v>
      </c>
      <c r="G2424" s="37" t="s">
        <v>354</v>
      </c>
      <c r="H2424" s="37"/>
      <c r="I2424" s="37" t="s">
        <v>355</v>
      </c>
      <c r="J2424" s="37" t="s">
        <v>1801</v>
      </c>
      <c r="K2424" s="45" t="n">
        <v>253.8</v>
      </c>
      <c r="L2424" s="46" t="n">
        <v>18778.12</v>
      </c>
    </row>
    <row r="2425" customFormat="false" ht="15" hidden="false" customHeight="false" outlineLevel="0" collapsed="false">
      <c r="A2425" s="37" t="n">
        <v>502560</v>
      </c>
      <c r="B2425" s="37" t="s">
        <v>140</v>
      </c>
      <c r="C2425" s="37" t="n">
        <v>202608</v>
      </c>
      <c r="D2425" s="37" t="s">
        <v>68</v>
      </c>
      <c r="E2425" s="37" t="s">
        <v>97</v>
      </c>
      <c r="F2425" s="37" t="s">
        <v>194</v>
      </c>
      <c r="G2425" s="37" t="s">
        <v>354</v>
      </c>
      <c r="H2425" s="37"/>
      <c r="I2425" s="37" t="s">
        <v>355</v>
      </c>
      <c r="J2425" s="37" t="s">
        <v>1801</v>
      </c>
      <c r="K2425" s="45" t="n">
        <v>104.2</v>
      </c>
      <c r="L2425" s="46" t="n">
        <v>9583.72</v>
      </c>
    </row>
    <row r="2426" customFormat="false" ht="15" hidden="false" customHeight="false" outlineLevel="0" collapsed="false">
      <c r="A2426" s="37" t="n">
        <v>502597</v>
      </c>
      <c r="B2426" s="37" t="s">
        <v>140</v>
      </c>
      <c r="C2426" s="37" t="n">
        <v>202608</v>
      </c>
      <c r="D2426" s="37" t="s">
        <v>68</v>
      </c>
      <c r="E2426" s="37" t="s">
        <v>101</v>
      </c>
      <c r="F2426" s="37" t="s">
        <v>194</v>
      </c>
      <c r="G2426" s="37" t="s">
        <v>354</v>
      </c>
      <c r="H2426" s="37"/>
      <c r="I2426" s="37" t="s">
        <v>355</v>
      </c>
      <c r="J2426" s="37" t="s">
        <v>1801</v>
      </c>
      <c r="K2426" s="45" t="n">
        <v>200.4</v>
      </c>
      <c r="L2426" s="46" t="n">
        <v>14828.24</v>
      </c>
    </row>
    <row r="2427" customFormat="false" ht="15" hidden="false" customHeight="false" outlineLevel="0" collapsed="false">
      <c r="A2427" s="37" t="n">
        <v>502639</v>
      </c>
      <c r="B2427" s="37" t="s">
        <v>140</v>
      </c>
      <c r="C2427" s="37" t="n">
        <v>202608</v>
      </c>
      <c r="D2427" s="37" t="s">
        <v>69</v>
      </c>
      <c r="E2427" s="37" t="s">
        <v>97</v>
      </c>
      <c r="F2427" s="37" t="s">
        <v>194</v>
      </c>
      <c r="G2427" s="37" t="s">
        <v>354</v>
      </c>
      <c r="H2427" s="37"/>
      <c r="I2427" s="37" t="s">
        <v>355</v>
      </c>
      <c r="J2427" s="37" t="s">
        <v>1801</v>
      </c>
      <c r="K2427" s="45" t="n">
        <v>38</v>
      </c>
      <c r="L2427" s="46" t="n">
        <v>3497.59</v>
      </c>
    </row>
    <row r="2428" customFormat="false" ht="15" hidden="false" customHeight="false" outlineLevel="0" collapsed="false">
      <c r="A2428" s="37" t="n">
        <v>502659</v>
      </c>
      <c r="B2428" s="37" t="s">
        <v>140</v>
      </c>
      <c r="C2428" s="37" t="n">
        <v>202608</v>
      </c>
      <c r="D2428" s="37" t="s">
        <v>69</v>
      </c>
      <c r="E2428" s="37" t="s">
        <v>101</v>
      </c>
      <c r="F2428" s="37" t="s">
        <v>194</v>
      </c>
      <c r="G2428" s="37" t="s">
        <v>354</v>
      </c>
      <c r="H2428" s="37"/>
      <c r="I2428" s="37" t="s">
        <v>355</v>
      </c>
      <c r="J2428" s="37" t="s">
        <v>1801</v>
      </c>
      <c r="K2428" s="45" t="n">
        <v>116.5</v>
      </c>
      <c r="L2428" s="46" t="n">
        <v>8621.95</v>
      </c>
    </row>
    <row r="2429" customFormat="false" ht="15" hidden="false" customHeight="false" outlineLevel="0" collapsed="false">
      <c r="A2429" s="37" t="n">
        <v>500587</v>
      </c>
      <c r="B2429" s="37" t="s">
        <v>1802</v>
      </c>
      <c r="C2429" s="37" t="n">
        <v>202608</v>
      </c>
      <c r="D2429" s="37" t="s">
        <v>59</v>
      </c>
      <c r="E2429" s="37" t="s">
        <v>99</v>
      </c>
      <c r="F2429" s="37" t="s">
        <v>198</v>
      </c>
      <c r="G2429" s="37" t="s">
        <v>375</v>
      </c>
      <c r="H2429" s="37"/>
      <c r="I2429" s="37" t="s">
        <v>376</v>
      </c>
      <c r="J2429" s="37" t="s">
        <v>377</v>
      </c>
      <c r="K2429" s="45" t="n">
        <v>0</v>
      </c>
      <c r="L2429" s="46" t="n">
        <v>16409.07</v>
      </c>
    </row>
    <row r="2430" customFormat="false" ht="15" hidden="false" customHeight="false" outlineLevel="0" collapsed="false">
      <c r="A2430" s="37" t="n">
        <v>500909</v>
      </c>
      <c r="B2430" s="37" t="s">
        <v>1802</v>
      </c>
      <c r="C2430" s="37" t="n">
        <v>202608</v>
      </c>
      <c r="D2430" s="37" t="s">
        <v>60</v>
      </c>
      <c r="E2430" s="37" t="s">
        <v>99</v>
      </c>
      <c r="F2430" s="37" t="s">
        <v>198</v>
      </c>
      <c r="G2430" s="37" t="s">
        <v>375</v>
      </c>
      <c r="H2430" s="37"/>
      <c r="I2430" s="37" t="s">
        <v>376</v>
      </c>
      <c r="J2430" s="37" t="s">
        <v>377</v>
      </c>
      <c r="K2430" s="45" t="n">
        <v>0</v>
      </c>
      <c r="L2430" s="46" t="n">
        <v>10879.8</v>
      </c>
    </row>
    <row r="2431" customFormat="false" ht="15" hidden="false" customHeight="false" outlineLevel="0" collapsed="false">
      <c r="A2431" s="37" t="n">
        <v>501209</v>
      </c>
      <c r="B2431" s="37" t="s">
        <v>1802</v>
      </c>
      <c r="C2431" s="37" t="n">
        <v>202608</v>
      </c>
      <c r="D2431" s="37" t="s">
        <v>61</v>
      </c>
      <c r="E2431" s="37" t="s">
        <v>99</v>
      </c>
      <c r="F2431" s="37" t="s">
        <v>198</v>
      </c>
      <c r="G2431" s="37" t="s">
        <v>375</v>
      </c>
      <c r="H2431" s="37"/>
      <c r="I2431" s="37" t="s">
        <v>376</v>
      </c>
      <c r="J2431" s="37" t="s">
        <v>377</v>
      </c>
      <c r="K2431" s="45" t="n">
        <v>0</v>
      </c>
      <c r="L2431" s="46" t="n">
        <v>2885.41</v>
      </c>
    </row>
    <row r="2432" customFormat="false" ht="15" hidden="false" customHeight="false" outlineLevel="0" collapsed="false">
      <c r="A2432" s="37" t="n">
        <v>501467</v>
      </c>
      <c r="B2432" s="37" t="s">
        <v>1802</v>
      </c>
      <c r="C2432" s="37" t="n">
        <v>202608</v>
      </c>
      <c r="D2432" s="37" t="s">
        <v>62</v>
      </c>
      <c r="E2432" s="37" t="s">
        <v>99</v>
      </c>
      <c r="F2432" s="37" t="s">
        <v>198</v>
      </c>
      <c r="G2432" s="37" t="s">
        <v>375</v>
      </c>
      <c r="H2432" s="37"/>
      <c r="I2432" s="37" t="s">
        <v>376</v>
      </c>
      <c r="J2432" s="37" t="s">
        <v>377</v>
      </c>
      <c r="K2432" s="45" t="n">
        <v>0</v>
      </c>
      <c r="L2432" s="46" t="n">
        <v>41436.21</v>
      </c>
    </row>
    <row r="2433" customFormat="false" ht="15" hidden="false" customHeight="false" outlineLevel="0" collapsed="false">
      <c r="A2433" s="37" t="n">
        <v>501718</v>
      </c>
      <c r="B2433" s="37" t="s">
        <v>1802</v>
      </c>
      <c r="C2433" s="37" t="n">
        <v>202608</v>
      </c>
      <c r="D2433" s="37" t="s">
        <v>63</v>
      </c>
      <c r="E2433" s="37" t="s">
        <v>99</v>
      </c>
      <c r="F2433" s="37" t="s">
        <v>198</v>
      </c>
      <c r="G2433" s="37" t="s">
        <v>375</v>
      </c>
      <c r="H2433" s="37"/>
      <c r="I2433" s="37" t="s">
        <v>376</v>
      </c>
      <c r="J2433" s="37" t="s">
        <v>377</v>
      </c>
      <c r="K2433" s="45" t="n">
        <v>0</v>
      </c>
      <c r="L2433" s="46" t="n">
        <v>11483.34</v>
      </c>
    </row>
    <row r="2434" customFormat="false" ht="15" hidden="false" customHeight="false" outlineLevel="0" collapsed="false">
      <c r="A2434" s="37" t="n">
        <v>501943</v>
      </c>
      <c r="B2434" s="37" t="s">
        <v>1802</v>
      </c>
      <c r="C2434" s="37" t="n">
        <v>202608</v>
      </c>
      <c r="D2434" s="37" t="s">
        <v>64</v>
      </c>
      <c r="E2434" s="37" t="s">
        <v>99</v>
      </c>
      <c r="F2434" s="37" t="s">
        <v>198</v>
      </c>
      <c r="G2434" s="37" t="s">
        <v>375</v>
      </c>
      <c r="H2434" s="37"/>
      <c r="I2434" s="37" t="s">
        <v>376</v>
      </c>
      <c r="J2434" s="37" t="s">
        <v>377</v>
      </c>
      <c r="K2434" s="45" t="n">
        <v>0</v>
      </c>
      <c r="L2434" s="46" t="n">
        <v>23424.73</v>
      </c>
    </row>
    <row r="2435" customFormat="false" ht="15" hidden="false" customHeight="false" outlineLevel="0" collapsed="false">
      <c r="A2435" s="37" t="n">
        <v>502152</v>
      </c>
      <c r="B2435" s="37" t="s">
        <v>1802</v>
      </c>
      <c r="C2435" s="37" t="n">
        <v>202608</v>
      </c>
      <c r="D2435" s="37" t="s">
        <v>65</v>
      </c>
      <c r="E2435" s="37" t="s">
        <v>99</v>
      </c>
      <c r="F2435" s="37" t="s">
        <v>198</v>
      </c>
      <c r="G2435" s="37" t="s">
        <v>375</v>
      </c>
      <c r="H2435" s="37"/>
      <c r="I2435" s="37" t="s">
        <v>376</v>
      </c>
      <c r="J2435" s="37" t="s">
        <v>377</v>
      </c>
      <c r="K2435" s="45" t="n">
        <v>0</v>
      </c>
      <c r="L2435" s="46" t="n">
        <v>71491.21</v>
      </c>
    </row>
    <row r="2436" customFormat="false" ht="15" hidden="false" customHeight="false" outlineLevel="0" collapsed="false">
      <c r="A2436" s="37" t="n">
        <v>502333</v>
      </c>
      <c r="B2436" s="37" t="s">
        <v>1802</v>
      </c>
      <c r="C2436" s="37" t="n">
        <v>202608</v>
      </c>
      <c r="D2436" s="37" t="s">
        <v>66</v>
      </c>
      <c r="E2436" s="37" t="s">
        <v>99</v>
      </c>
      <c r="F2436" s="37" t="s">
        <v>198</v>
      </c>
      <c r="G2436" s="37" t="s">
        <v>375</v>
      </c>
      <c r="H2436" s="37"/>
      <c r="I2436" s="37" t="s">
        <v>376</v>
      </c>
      <c r="J2436" s="37" t="s">
        <v>377</v>
      </c>
      <c r="K2436" s="45" t="n">
        <v>0</v>
      </c>
      <c r="L2436" s="46" t="n">
        <v>58624.63</v>
      </c>
    </row>
    <row r="2437" customFormat="false" ht="15" hidden="false" customHeight="false" outlineLevel="0" collapsed="false">
      <c r="A2437" s="37" t="n">
        <v>502470</v>
      </c>
      <c r="B2437" s="37" t="s">
        <v>1802</v>
      </c>
      <c r="C2437" s="37" t="n">
        <v>202608</v>
      </c>
      <c r="D2437" s="37" t="s">
        <v>67</v>
      </c>
      <c r="E2437" s="37" t="s">
        <v>99</v>
      </c>
      <c r="F2437" s="37" t="s">
        <v>198</v>
      </c>
      <c r="G2437" s="37" t="s">
        <v>375</v>
      </c>
      <c r="H2437" s="37"/>
      <c r="I2437" s="37" t="s">
        <v>376</v>
      </c>
      <c r="J2437" s="37" t="s">
        <v>377</v>
      </c>
      <c r="K2437" s="45" t="n">
        <v>0</v>
      </c>
      <c r="L2437" s="46" t="n">
        <v>77845.56</v>
      </c>
    </row>
    <row r="2438" customFormat="false" ht="15" hidden="false" customHeight="false" outlineLevel="0" collapsed="false">
      <c r="A2438" s="37" t="n">
        <v>502578</v>
      </c>
      <c r="B2438" s="37" t="s">
        <v>1802</v>
      </c>
      <c r="C2438" s="37" t="n">
        <v>202608</v>
      </c>
      <c r="D2438" s="37" t="s">
        <v>68</v>
      </c>
      <c r="E2438" s="37" t="s">
        <v>99</v>
      </c>
      <c r="F2438" s="37" t="s">
        <v>198</v>
      </c>
      <c r="G2438" s="37" t="s">
        <v>375</v>
      </c>
      <c r="H2438" s="37"/>
      <c r="I2438" s="37" t="s">
        <v>376</v>
      </c>
      <c r="J2438" s="37" t="s">
        <v>377</v>
      </c>
      <c r="K2438" s="45" t="n">
        <v>0</v>
      </c>
      <c r="L2438" s="46" t="n">
        <v>27714.6</v>
      </c>
    </row>
    <row r="2439" customFormat="false" ht="15" hidden="false" customHeight="false" outlineLevel="0" collapsed="false">
      <c r="A2439" s="37" t="n">
        <v>502651</v>
      </c>
      <c r="B2439" s="37" t="s">
        <v>1802</v>
      </c>
      <c r="C2439" s="37" t="n">
        <v>202608</v>
      </c>
      <c r="D2439" s="37" t="s">
        <v>69</v>
      </c>
      <c r="E2439" s="37" t="s">
        <v>99</v>
      </c>
      <c r="F2439" s="37" t="s">
        <v>198</v>
      </c>
      <c r="G2439" s="37" t="s">
        <v>375</v>
      </c>
      <c r="H2439" s="37"/>
      <c r="I2439" s="37" t="s">
        <v>376</v>
      </c>
      <c r="J2439" s="37" t="s">
        <v>377</v>
      </c>
      <c r="K2439" s="45" t="n">
        <v>0</v>
      </c>
      <c r="L2439" s="46" t="n">
        <v>6868.16</v>
      </c>
    </row>
    <row r="2440" customFormat="false" ht="15" hidden="false" customHeight="false" outlineLevel="0" collapsed="false">
      <c r="A2440" s="37" t="n">
        <v>501067</v>
      </c>
      <c r="B2440" s="37" t="s">
        <v>1803</v>
      </c>
      <c r="C2440" s="37" t="n">
        <v>202609</v>
      </c>
      <c r="D2440" s="37" t="s">
        <v>60</v>
      </c>
      <c r="E2440" s="37" t="s">
        <v>108</v>
      </c>
      <c r="F2440" s="37" t="s">
        <v>205</v>
      </c>
      <c r="G2440" s="37" t="s">
        <v>358</v>
      </c>
      <c r="H2440" s="37" t="s">
        <v>1488</v>
      </c>
      <c r="I2440" s="37" t="s">
        <v>1489</v>
      </c>
      <c r="J2440" s="37" t="s">
        <v>1804</v>
      </c>
      <c r="K2440" s="45" t="n">
        <v>0</v>
      </c>
      <c r="L2440" s="46" t="n">
        <v>55191.59</v>
      </c>
    </row>
    <row r="2441" customFormat="false" ht="15" hidden="false" customHeight="false" outlineLevel="0" collapsed="false">
      <c r="A2441" s="37" t="n">
        <v>501765</v>
      </c>
      <c r="B2441" s="37" t="s">
        <v>1803</v>
      </c>
      <c r="C2441" s="37" t="n">
        <v>202609</v>
      </c>
      <c r="D2441" s="37" t="s">
        <v>63</v>
      </c>
      <c r="E2441" s="37" t="s">
        <v>102</v>
      </c>
      <c r="F2441" s="37" t="s">
        <v>205</v>
      </c>
      <c r="G2441" s="37" t="s">
        <v>358</v>
      </c>
      <c r="H2441" s="37" t="s">
        <v>891</v>
      </c>
      <c r="I2441" s="37" t="s">
        <v>892</v>
      </c>
      <c r="J2441" s="37" t="s">
        <v>1805</v>
      </c>
      <c r="K2441" s="45" t="n">
        <v>0</v>
      </c>
      <c r="L2441" s="46" t="n">
        <v>0.01</v>
      </c>
    </row>
    <row r="2442" customFormat="false" ht="15" hidden="false" customHeight="false" outlineLevel="0" collapsed="false">
      <c r="A2442" s="37" t="n">
        <v>502059</v>
      </c>
      <c r="B2442" s="37" t="s">
        <v>1803</v>
      </c>
      <c r="C2442" s="37" t="n">
        <v>202609</v>
      </c>
      <c r="D2442" s="37" t="s">
        <v>64</v>
      </c>
      <c r="E2442" s="37" t="s">
        <v>108</v>
      </c>
      <c r="F2442" s="37" t="s">
        <v>205</v>
      </c>
      <c r="G2442" s="37" t="s">
        <v>358</v>
      </c>
      <c r="H2442" s="37" t="s">
        <v>1720</v>
      </c>
      <c r="I2442" s="37" t="s">
        <v>1405</v>
      </c>
      <c r="J2442" s="37" t="s">
        <v>1806</v>
      </c>
      <c r="K2442" s="45" t="n">
        <v>0</v>
      </c>
      <c r="L2442" s="46" t="n">
        <v>41352.98</v>
      </c>
    </row>
    <row r="2443" customFormat="false" ht="15" hidden="false" customHeight="false" outlineLevel="0" collapsed="false">
      <c r="A2443" s="37" t="n">
        <v>500173</v>
      </c>
      <c r="B2443" s="37" t="s">
        <v>1807</v>
      </c>
      <c r="C2443" s="37" t="n">
        <v>202609</v>
      </c>
      <c r="D2443" s="37" t="s">
        <v>58</v>
      </c>
      <c r="E2443" s="37" t="s">
        <v>98</v>
      </c>
      <c r="F2443" s="37" t="s">
        <v>196</v>
      </c>
      <c r="G2443" s="37" t="s">
        <v>358</v>
      </c>
      <c r="H2443" s="37" t="s">
        <v>359</v>
      </c>
      <c r="I2443" s="37" t="s">
        <v>360</v>
      </c>
      <c r="J2443" s="37" t="s">
        <v>1808</v>
      </c>
      <c r="K2443" s="45" t="n">
        <v>0</v>
      </c>
      <c r="L2443" s="46" t="n">
        <v>0.01</v>
      </c>
    </row>
    <row r="2444" customFormat="false" ht="15" hidden="false" customHeight="false" outlineLevel="0" collapsed="false">
      <c r="A2444" s="37" t="n">
        <v>500526</v>
      </c>
      <c r="B2444" s="37" t="s">
        <v>1807</v>
      </c>
      <c r="C2444" s="37" t="n">
        <v>202609</v>
      </c>
      <c r="D2444" s="37" t="s">
        <v>59</v>
      </c>
      <c r="E2444" s="37" t="s">
        <v>97</v>
      </c>
      <c r="F2444" s="37" t="s">
        <v>194</v>
      </c>
      <c r="G2444" s="37" t="s">
        <v>354</v>
      </c>
      <c r="H2444" s="37"/>
      <c r="I2444" s="37" t="s">
        <v>355</v>
      </c>
      <c r="J2444" s="37" t="s">
        <v>1809</v>
      </c>
      <c r="K2444" s="45" t="n">
        <v>104.6</v>
      </c>
      <c r="L2444" s="46" t="n">
        <v>9619.2</v>
      </c>
    </row>
    <row r="2445" customFormat="false" ht="15" hidden="false" customHeight="false" outlineLevel="0" collapsed="false">
      <c r="A2445" s="37" t="n">
        <v>500728</v>
      </c>
      <c r="B2445" s="37" t="s">
        <v>1807</v>
      </c>
      <c r="C2445" s="37" t="n">
        <v>202609</v>
      </c>
      <c r="D2445" s="37" t="s">
        <v>59</v>
      </c>
      <c r="E2445" s="37" t="s">
        <v>106</v>
      </c>
      <c r="F2445" s="37" t="s">
        <v>194</v>
      </c>
      <c r="G2445" s="37" t="s">
        <v>354</v>
      </c>
      <c r="H2445" s="37"/>
      <c r="I2445" s="37" t="s">
        <v>355</v>
      </c>
      <c r="J2445" s="37" t="s">
        <v>1809</v>
      </c>
      <c r="K2445" s="45" t="n">
        <v>0</v>
      </c>
      <c r="L2445" s="46" t="n">
        <v>0.01</v>
      </c>
    </row>
    <row r="2446" customFormat="false" ht="15" hidden="false" customHeight="false" outlineLevel="0" collapsed="false">
      <c r="A2446" s="37" t="n">
        <v>500855</v>
      </c>
      <c r="B2446" s="37" t="s">
        <v>1807</v>
      </c>
      <c r="C2446" s="37" t="n">
        <v>202609</v>
      </c>
      <c r="D2446" s="37" t="s">
        <v>60</v>
      </c>
      <c r="E2446" s="37" t="s">
        <v>97</v>
      </c>
      <c r="F2446" s="37" t="s">
        <v>194</v>
      </c>
      <c r="G2446" s="37" t="s">
        <v>354</v>
      </c>
      <c r="H2446" s="37"/>
      <c r="I2446" s="37" t="s">
        <v>355</v>
      </c>
      <c r="J2446" s="37" t="s">
        <v>1809</v>
      </c>
      <c r="K2446" s="45" t="n">
        <v>102.9</v>
      </c>
      <c r="L2446" s="46" t="n">
        <v>9462.61</v>
      </c>
    </row>
    <row r="2447" customFormat="false" ht="15" hidden="false" customHeight="false" outlineLevel="0" collapsed="false">
      <c r="A2447" s="37" t="n">
        <v>501048</v>
      </c>
      <c r="B2447" s="37" t="s">
        <v>1807</v>
      </c>
      <c r="C2447" s="37" t="n">
        <v>202609</v>
      </c>
      <c r="D2447" s="37" t="s">
        <v>60</v>
      </c>
      <c r="E2447" s="37" t="s">
        <v>106</v>
      </c>
      <c r="F2447" s="37" t="s">
        <v>194</v>
      </c>
      <c r="G2447" s="37" t="s">
        <v>354</v>
      </c>
      <c r="H2447" s="37"/>
      <c r="I2447" s="37" t="s">
        <v>355</v>
      </c>
      <c r="J2447" s="37" t="s">
        <v>1809</v>
      </c>
      <c r="K2447" s="45" t="n">
        <v>96.4</v>
      </c>
      <c r="L2447" s="46" t="n">
        <v>6845.98</v>
      </c>
    </row>
    <row r="2448" customFormat="false" ht="15" hidden="false" customHeight="false" outlineLevel="0" collapsed="false">
      <c r="A2448" s="37" t="n">
        <v>501162</v>
      </c>
      <c r="B2448" s="37" t="s">
        <v>1807</v>
      </c>
      <c r="C2448" s="37" t="n">
        <v>202609</v>
      </c>
      <c r="D2448" s="37" t="s">
        <v>61</v>
      </c>
      <c r="E2448" s="37" t="s">
        <v>97</v>
      </c>
      <c r="F2448" s="37" t="s">
        <v>194</v>
      </c>
      <c r="G2448" s="37" t="s">
        <v>354</v>
      </c>
      <c r="H2448" s="37"/>
      <c r="I2448" s="37" t="s">
        <v>355</v>
      </c>
      <c r="J2448" s="37" t="s">
        <v>1809</v>
      </c>
      <c r="K2448" s="45" t="n">
        <v>38.5</v>
      </c>
      <c r="L2448" s="46" t="n">
        <v>3538.76</v>
      </c>
    </row>
    <row r="2449" customFormat="false" ht="15" hidden="false" customHeight="false" outlineLevel="0" collapsed="false">
      <c r="A2449" s="37" t="n">
        <v>501423</v>
      </c>
      <c r="B2449" s="37" t="s">
        <v>1807</v>
      </c>
      <c r="C2449" s="37" t="n">
        <v>202609</v>
      </c>
      <c r="D2449" s="37" t="s">
        <v>62</v>
      </c>
      <c r="E2449" s="37" t="s">
        <v>97</v>
      </c>
      <c r="F2449" s="37" t="s">
        <v>194</v>
      </c>
      <c r="G2449" s="37" t="s">
        <v>354</v>
      </c>
      <c r="H2449" s="37"/>
      <c r="I2449" s="37" t="s">
        <v>355</v>
      </c>
      <c r="J2449" s="37" t="s">
        <v>1809</v>
      </c>
      <c r="K2449" s="45" t="n">
        <v>149.8</v>
      </c>
      <c r="L2449" s="46" t="n">
        <v>13777.9</v>
      </c>
    </row>
    <row r="2450" customFormat="false" ht="15" hidden="false" customHeight="false" outlineLevel="0" collapsed="false">
      <c r="A2450" s="37" t="n">
        <v>501589</v>
      </c>
      <c r="B2450" s="37" t="s">
        <v>1807</v>
      </c>
      <c r="C2450" s="37" t="n">
        <v>202609</v>
      </c>
      <c r="D2450" s="37" t="s">
        <v>62</v>
      </c>
      <c r="E2450" s="37" t="s">
        <v>106</v>
      </c>
      <c r="F2450" s="37" t="s">
        <v>194</v>
      </c>
      <c r="G2450" s="37" t="s">
        <v>354</v>
      </c>
      <c r="H2450" s="37"/>
      <c r="I2450" s="37" t="s">
        <v>355</v>
      </c>
      <c r="J2450" s="37" t="s">
        <v>1809</v>
      </c>
      <c r="K2450" s="45" t="n">
        <v>744.9</v>
      </c>
      <c r="L2450" s="46" t="n">
        <v>52887.12</v>
      </c>
    </row>
    <row r="2451" customFormat="false" ht="15" hidden="false" customHeight="false" outlineLevel="0" collapsed="false">
      <c r="A2451" s="37" t="n">
        <v>501599</v>
      </c>
      <c r="B2451" s="37" t="s">
        <v>1807</v>
      </c>
      <c r="C2451" s="37" t="n">
        <v>202609</v>
      </c>
      <c r="D2451" s="37" t="s">
        <v>62</v>
      </c>
      <c r="E2451" s="37" t="s">
        <v>108</v>
      </c>
      <c r="F2451" s="37" t="s">
        <v>205</v>
      </c>
      <c r="G2451" s="37" t="s">
        <v>358</v>
      </c>
      <c r="H2451" s="37" t="s">
        <v>1810</v>
      </c>
      <c r="I2451" s="37" t="s">
        <v>1489</v>
      </c>
      <c r="J2451" s="37" t="s">
        <v>1811</v>
      </c>
      <c r="K2451" s="45" t="n">
        <v>0</v>
      </c>
      <c r="L2451" s="46" t="n">
        <v>11967.5</v>
      </c>
    </row>
    <row r="2452" customFormat="false" ht="15" hidden="false" customHeight="false" outlineLevel="0" collapsed="false">
      <c r="A2452" s="37" t="n">
        <v>501669</v>
      </c>
      <c r="B2452" s="37" t="s">
        <v>1807</v>
      </c>
      <c r="C2452" s="37" t="n">
        <v>202609</v>
      </c>
      <c r="D2452" s="37" t="s">
        <v>63</v>
      </c>
      <c r="E2452" s="37" t="s">
        <v>97</v>
      </c>
      <c r="F2452" s="37" t="s">
        <v>194</v>
      </c>
      <c r="G2452" s="37" t="s">
        <v>354</v>
      </c>
      <c r="H2452" s="37"/>
      <c r="I2452" s="37" t="s">
        <v>355</v>
      </c>
      <c r="J2452" s="37" t="s">
        <v>1809</v>
      </c>
      <c r="K2452" s="45" t="n">
        <v>70.3</v>
      </c>
      <c r="L2452" s="46" t="n">
        <v>6469.83</v>
      </c>
    </row>
    <row r="2453" customFormat="false" ht="15" hidden="false" customHeight="false" outlineLevel="0" collapsed="false">
      <c r="A2453" s="37" t="n">
        <v>501903</v>
      </c>
      <c r="B2453" s="37" t="s">
        <v>1807</v>
      </c>
      <c r="C2453" s="37" t="n">
        <v>202609</v>
      </c>
      <c r="D2453" s="37" t="s">
        <v>64</v>
      </c>
      <c r="E2453" s="37" t="s">
        <v>97</v>
      </c>
      <c r="F2453" s="37" t="s">
        <v>194</v>
      </c>
      <c r="G2453" s="37" t="s">
        <v>354</v>
      </c>
      <c r="H2453" s="37"/>
      <c r="I2453" s="37" t="s">
        <v>355</v>
      </c>
      <c r="J2453" s="37" t="s">
        <v>1809</v>
      </c>
      <c r="K2453" s="45" t="n">
        <v>140.1</v>
      </c>
      <c r="L2453" s="46" t="n">
        <v>12886.42</v>
      </c>
    </row>
    <row r="2454" customFormat="false" ht="15" hidden="false" customHeight="false" outlineLevel="0" collapsed="false">
      <c r="A2454" s="37" t="n">
        <v>502048</v>
      </c>
      <c r="B2454" s="37" t="s">
        <v>1807</v>
      </c>
      <c r="C2454" s="37" t="n">
        <v>202609</v>
      </c>
      <c r="D2454" s="37" t="s">
        <v>64</v>
      </c>
      <c r="E2454" s="37" t="s">
        <v>106</v>
      </c>
      <c r="F2454" s="37" t="s">
        <v>194</v>
      </c>
      <c r="G2454" s="37" t="s">
        <v>354</v>
      </c>
      <c r="H2454" s="37"/>
      <c r="I2454" s="37" t="s">
        <v>355</v>
      </c>
      <c r="J2454" s="37" t="s">
        <v>1809</v>
      </c>
      <c r="K2454" s="45" t="n">
        <v>575.4</v>
      </c>
      <c r="L2454" s="46" t="n">
        <v>40853.68</v>
      </c>
    </row>
    <row r="2455" customFormat="false" ht="15" hidden="false" customHeight="false" outlineLevel="0" collapsed="false">
      <c r="A2455" s="37" t="n">
        <v>502119</v>
      </c>
      <c r="B2455" s="37" t="s">
        <v>1807</v>
      </c>
      <c r="C2455" s="37" t="n">
        <v>202609</v>
      </c>
      <c r="D2455" s="37" t="s">
        <v>65</v>
      </c>
      <c r="E2455" s="37" t="s">
        <v>97</v>
      </c>
      <c r="F2455" s="37" t="s">
        <v>194</v>
      </c>
      <c r="G2455" s="37" t="s">
        <v>354</v>
      </c>
      <c r="H2455" s="37"/>
      <c r="I2455" s="37" t="s">
        <v>355</v>
      </c>
      <c r="J2455" s="37" t="s">
        <v>1809</v>
      </c>
      <c r="K2455" s="45" t="n">
        <v>157.3</v>
      </c>
      <c r="L2455" s="46" t="n">
        <v>14469.34</v>
      </c>
    </row>
    <row r="2456" customFormat="false" ht="15" hidden="false" customHeight="false" outlineLevel="0" collapsed="false">
      <c r="A2456" s="37" t="n">
        <v>502189</v>
      </c>
      <c r="B2456" s="37" t="s">
        <v>1807</v>
      </c>
      <c r="C2456" s="37" t="n">
        <v>202609</v>
      </c>
      <c r="D2456" s="37" t="s">
        <v>65</v>
      </c>
      <c r="E2456" s="37" t="s">
        <v>101</v>
      </c>
      <c r="F2456" s="37" t="s">
        <v>194</v>
      </c>
      <c r="G2456" s="37" t="s">
        <v>354</v>
      </c>
      <c r="H2456" s="37"/>
      <c r="I2456" s="37" t="s">
        <v>355</v>
      </c>
      <c r="J2456" s="37" t="s">
        <v>1809</v>
      </c>
      <c r="K2456" s="45" t="n">
        <v>0</v>
      </c>
      <c r="L2456" s="46" t="n">
        <v>0</v>
      </c>
    </row>
    <row r="2457" customFormat="false" ht="15" hidden="false" customHeight="false" outlineLevel="0" collapsed="false">
      <c r="A2457" s="37" t="n">
        <v>502240</v>
      </c>
      <c r="B2457" s="37" t="s">
        <v>1807</v>
      </c>
      <c r="C2457" s="37" t="n">
        <v>202609</v>
      </c>
      <c r="D2457" s="37" t="s">
        <v>65</v>
      </c>
      <c r="E2457" s="37" t="s">
        <v>106</v>
      </c>
      <c r="F2457" s="37" t="s">
        <v>194</v>
      </c>
      <c r="G2457" s="37" t="s">
        <v>354</v>
      </c>
      <c r="H2457" s="37"/>
      <c r="I2457" s="37" t="s">
        <v>355</v>
      </c>
      <c r="J2457" s="37" t="s">
        <v>1809</v>
      </c>
      <c r="K2457" s="45" t="n">
        <v>294.5</v>
      </c>
      <c r="L2457" s="46" t="n">
        <v>20908.92</v>
      </c>
    </row>
    <row r="2458" customFormat="false" ht="15" hidden="false" customHeight="false" outlineLevel="0" collapsed="false">
      <c r="A2458" s="37" t="n">
        <v>502302</v>
      </c>
      <c r="B2458" s="37" t="s">
        <v>1807</v>
      </c>
      <c r="C2458" s="37" t="n">
        <v>202609</v>
      </c>
      <c r="D2458" s="37" t="s">
        <v>66</v>
      </c>
      <c r="E2458" s="37" t="s">
        <v>97</v>
      </c>
      <c r="F2458" s="37" t="s">
        <v>194</v>
      </c>
      <c r="G2458" s="37" t="s">
        <v>354</v>
      </c>
      <c r="H2458" s="37"/>
      <c r="I2458" s="37" t="s">
        <v>355</v>
      </c>
      <c r="J2458" s="37" t="s">
        <v>1809</v>
      </c>
      <c r="K2458" s="45" t="n">
        <v>194</v>
      </c>
      <c r="L2458" s="46" t="n">
        <v>17848.03</v>
      </c>
    </row>
    <row r="2459" customFormat="false" ht="15" hidden="false" customHeight="false" outlineLevel="0" collapsed="false">
      <c r="A2459" s="37" t="n">
        <v>502367</v>
      </c>
      <c r="B2459" s="37" t="s">
        <v>1807</v>
      </c>
      <c r="C2459" s="37" t="n">
        <v>202609</v>
      </c>
      <c r="D2459" s="37" t="s">
        <v>66</v>
      </c>
      <c r="E2459" s="37" t="s">
        <v>101</v>
      </c>
      <c r="F2459" s="37" t="s">
        <v>194</v>
      </c>
      <c r="G2459" s="37" t="s">
        <v>354</v>
      </c>
      <c r="H2459" s="37"/>
      <c r="I2459" s="37" t="s">
        <v>355</v>
      </c>
      <c r="J2459" s="37" t="s">
        <v>1809</v>
      </c>
      <c r="K2459" s="45" t="n">
        <v>219.9</v>
      </c>
      <c r="L2459" s="46" t="n">
        <v>16272.66</v>
      </c>
    </row>
    <row r="2460" customFormat="false" ht="15" hidden="false" customHeight="false" outlineLevel="0" collapsed="false">
      <c r="A2460" s="37" t="n">
        <v>502409</v>
      </c>
      <c r="B2460" s="37" t="s">
        <v>1807</v>
      </c>
      <c r="C2460" s="37" t="n">
        <v>202609</v>
      </c>
      <c r="D2460" s="37" t="s">
        <v>66</v>
      </c>
      <c r="E2460" s="37" t="s">
        <v>106</v>
      </c>
      <c r="F2460" s="37" t="s">
        <v>194</v>
      </c>
      <c r="G2460" s="37" t="s">
        <v>354</v>
      </c>
      <c r="H2460" s="37"/>
      <c r="I2460" s="37" t="s">
        <v>355</v>
      </c>
      <c r="J2460" s="37" t="s">
        <v>1809</v>
      </c>
      <c r="K2460" s="45" t="n">
        <v>182.7</v>
      </c>
      <c r="L2460" s="46" t="n">
        <v>12973.87</v>
      </c>
    </row>
    <row r="2461" customFormat="false" ht="15" hidden="false" customHeight="false" outlineLevel="0" collapsed="false">
      <c r="A2461" s="37" t="n">
        <v>502445</v>
      </c>
      <c r="B2461" s="37" t="s">
        <v>1807</v>
      </c>
      <c r="C2461" s="37" t="n">
        <v>202609</v>
      </c>
      <c r="D2461" s="37" t="s">
        <v>67</v>
      </c>
      <c r="E2461" s="37" t="s">
        <v>97</v>
      </c>
      <c r="F2461" s="37" t="s">
        <v>194</v>
      </c>
      <c r="G2461" s="37" t="s">
        <v>354</v>
      </c>
      <c r="H2461" s="37"/>
      <c r="I2461" s="37" t="s">
        <v>355</v>
      </c>
      <c r="J2461" s="37" t="s">
        <v>1809</v>
      </c>
      <c r="K2461" s="45" t="n">
        <v>162.9</v>
      </c>
      <c r="L2461" s="46" t="n">
        <v>14984.69</v>
      </c>
    </row>
    <row r="2462" customFormat="false" ht="15" hidden="false" customHeight="false" outlineLevel="0" collapsed="false">
      <c r="A2462" s="37" t="n">
        <v>502499</v>
      </c>
      <c r="B2462" s="37" t="s">
        <v>1807</v>
      </c>
      <c r="C2462" s="37" t="n">
        <v>202609</v>
      </c>
      <c r="D2462" s="37" t="s">
        <v>67</v>
      </c>
      <c r="E2462" s="37" t="s">
        <v>101</v>
      </c>
      <c r="F2462" s="37" t="s">
        <v>194</v>
      </c>
      <c r="G2462" s="37" t="s">
        <v>354</v>
      </c>
      <c r="H2462" s="37"/>
      <c r="I2462" s="37" t="s">
        <v>355</v>
      </c>
      <c r="J2462" s="37" t="s">
        <v>1809</v>
      </c>
      <c r="K2462" s="45" t="n">
        <v>401.1</v>
      </c>
      <c r="L2462" s="46" t="n">
        <v>29678.05</v>
      </c>
    </row>
    <row r="2463" customFormat="false" ht="15" hidden="false" customHeight="false" outlineLevel="0" collapsed="false">
      <c r="A2463" s="37" t="n">
        <v>502533</v>
      </c>
      <c r="B2463" s="37" t="s">
        <v>1807</v>
      </c>
      <c r="C2463" s="37" t="n">
        <v>202609</v>
      </c>
      <c r="D2463" s="37" t="s">
        <v>67</v>
      </c>
      <c r="E2463" s="37" t="s">
        <v>106</v>
      </c>
      <c r="F2463" s="37" t="s">
        <v>194</v>
      </c>
      <c r="G2463" s="37" t="s">
        <v>354</v>
      </c>
      <c r="H2463" s="37"/>
      <c r="I2463" s="37" t="s">
        <v>355</v>
      </c>
      <c r="J2463" s="37" t="s">
        <v>1809</v>
      </c>
      <c r="K2463" s="45" t="n">
        <v>34.8</v>
      </c>
      <c r="L2463" s="46" t="n">
        <v>2470.04</v>
      </c>
    </row>
    <row r="2464" customFormat="false" ht="15" hidden="false" customHeight="false" outlineLevel="0" collapsed="false">
      <c r="A2464" s="37" t="n">
        <v>502561</v>
      </c>
      <c r="B2464" s="37" t="s">
        <v>1807</v>
      </c>
      <c r="C2464" s="37" t="n">
        <v>202609</v>
      </c>
      <c r="D2464" s="37" t="s">
        <v>68</v>
      </c>
      <c r="E2464" s="37" t="s">
        <v>97</v>
      </c>
      <c r="F2464" s="37" t="s">
        <v>194</v>
      </c>
      <c r="G2464" s="37" t="s">
        <v>354</v>
      </c>
      <c r="H2464" s="37"/>
      <c r="I2464" s="37" t="s">
        <v>355</v>
      </c>
      <c r="J2464" s="37" t="s">
        <v>1809</v>
      </c>
      <c r="K2464" s="45" t="n">
        <v>307.2</v>
      </c>
      <c r="L2464" s="46" t="n">
        <v>28265.46</v>
      </c>
    </row>
    <row r="2465" customFormat="false" ht="15" hidden="false" customHeight="false" outlineLevel="0" collapsed="false">
      <c r="A2465" s="37" t="n">
        <v>502598</v>
      </c>
      <c r="B2465" s="37" t="s">
        <v>1807</v>
      </c>
      <c r="C2465" s="37" t="n">
        <v>202609</v>
      </c>
      <c r="D2465" s="37" t="s">
        <v>68</v>
      </c>
      <c r="E2465" s="37" t="s">
        <v>101</v>
      </c>
      <c r="F2465" s="37" t="s">
        <v>194</v>
      </c>
      <c r="G2465" s="37" t="s">
        <v>354</v>
      </c>
      <c r="H2465" s="37"/>
      <c r="I2465" s="37" t="s">
        <v>355</v>
      </c>
      <c r="J2465" s="37" t="s">
        <v>1809</v>
      </c>
      <c r="K2465" s="45" t="n">
        <v>164.7</v>
      </c>
      <c r="L2465" s="46" t="n">
        <v>12184.51</v>
      </c>
    </row>
    <row r="2466" customFormat="false" ht="15" hidden="false" customHeight="false" outlineLevel="0" collapsed="false">
      <c r="A2466" s="37" t="n">
        <v>502619</v>
      </c>
      <c r="B2466" s="37" t="s">
        <v>1807</v>
      </c>
      <c r="C2466" s="37" t="n">
        <v>202609</v>
      </c>
      <c r="D2466" s="37" t="s">
        <v>68</v>
      </c>
      <c r="E2466" s="37" t="s">
        <v>103</v>
      </c>
      <c r="F2466" s="37" t="s">
        <v>205</v>
      </c>
      <c r="G2466" s="37" t="s">
        <v>358</v>
      </c>
      <c r="H2466" s="37" t="s">
        <v>1596</v>
      </c>
      <c r="I2466" s="37" t="s">
        <v>898</v>
      </c>
      <c r="J2466" s="37" t="s">
        <v>1812</v>
      </c>
      <c r="K2466" s="45" t="n">
        <v>0</v>
      </c>
      <c r="L2466" s="46" t="n">
        <v>47440.81</v>
      </c>
    </row>
    <row r="2467" customFormat="false" ht="15" hidden="false" customHeight="false" outlineLevel="0" collapsed="false">
      <c r="A2467" s="37" t="n">
        <v>502623</v>
      </c>
      <c r="B2467" s="37" t="s">
        <v>1807</v>
      </c>
      <c r="C2467" s="37" t="n">
        <v>202609</v>
      </c>
      <c r="D2467" s="37" t="s">
        <v>68</v>
      </c>
      <c r="E2467" s="37" t="s">
        <v>106</v>
      </c>
      <c r="F2467" s="37" t="s">
        <v>194</v>
      </c>
      <c r="G2467" s="37" t="s">
        <v>354</v>
      </c>
      <c r="H2467" s="37"/>
      <c r="I2467" s="37" t="s">
        <v>355</v>
      </c>
      <c r="J2467" s="37" t="s">
        <v>1809</v>
      </c>
      <c r="K2467" s="45" t="n">
        <v>6.9</v>
      </c>
      <c r="L2467" s="46" t="n">
        <v>486.94</v>
      </c>
    </row>
    <row r="2468" customFormat="false" ht="15" hidden="false" customHeight="false" outlineLevel="0" collapsed="false">
      <c r="A2468" s="37" t="n">
        <v>502640</v>
      </c>
      <c r="B2468" s="37" t="s">
        <v>1807</v>
      </c>
      <c r="C2468" s="37" t="n">
        <v>202609</v>
      </c>
      <c r="D2468" s="37" t="s">
        <v>69</v>
      </c>
      <c r="E2468" s="37" t="s">
        <v>97</v>
      </c>
      <c r="F2468" s="37" t="s">
        <v>194</v>
      </c>
      <c r="G2468" s="37" t="s">
        <v>354</v>
      </c>
      <c r="H2468" s="37"/>
      <c r="I2468" s="37" t="s">
        <v>355</v>
      </c>
      <c r="J2468" s="37" t="s">
        <v>1809</v>
      </c>
      <c r="K2468" s="45" t="n">
        <v>44.1</v>
      </c>
      <c r="L2468" s="46" t="n">
        <v>4061.13</v>
      </c>
    </row>
    <row r="2469" customFormat="false" ht="15" hidden="false" customHeight="false" outlineLevel="0" collapsed="false">
      <c r="A2469" s="37" t="n">
        <v>502660</v>
      </c>
      <c r="B2469" s="37" t="s">
        <v>1807</v>
      </c>
      <c r="C2469" s="37" t="n">
        <v>202609</v>
      </c>
      <c r="D2469" s="37" t="s">
        <v>69</v>
      </c>
      <c r="E2469" s="37" t="s">
        <v>101</v>
      </c>
      <c r="F2469" s="37" t="s">
        <v>194</v>
      </c>
      <c r="G2469" s="37" t="s">
        <v>354</v>
      </c>
      <c r="H2469" s="37"/>
      <c r="I2469" s="37" t="s">
        <v>355</v>
      </c>
      <c r="J2469" s="37" t="s">
        <v>1809</v>
      </c>
      <c r="K2469" s="45" t="n">
        <v>170.1</v>
      </c>
      <c r="L2469" s="46" t="n">
        <v>12585.61</v>
      </c>
    </row>
    <row r="2470" customFormat="false" ht="15" hidden="false" customHeight="false" outlineLevel="0" collapsed="false">
      <c r="A2470" s="37" t="n">
        <v>501453</v>
      </c>
      <c r="B2470" s="37" t="s">
        <v>1813</v>
      </c>
      <c r="C2470" s="37" t="n">
        <v>202609</v>
      </c>
      <c r="D2470" s="37" t="s">
        <v>62</v>
      </c>
      <c r="E2470" s="37" t="s">
        <v>98</v>
      </c>
      <c r="F2470" s="37" t="s">
        <v>196</v>
      </c>
      <c r="G2470" s="37" t="s">
        <v>358</v>
      </c>
      <c r="H2470" s="37" t="s">
        <v>359</v>
      </c>
      <c r="I2470" s="37" t="s">
        <v>360</v>
      </c>
      <c r="J2470" s="37" t="s">
        <v>1814</v>
      </c>
      <c r="K2470" s="45" t="n">
        <v>0</v>
      </c>
      <c r="L2470" s="46" t="n">
        <v>19641.4</v>
      </c>
    </row>
    <row r="2471" customFormat="false" ht="15" hidden="false" customHeight="false" outlineLevel="0" collapsed="false">
      <c r="A2471" s="37" t="n">
        <v>501704</v>
      </c>
      <c r="B2471" s="37" t="s">
        <v>1813</v>
      </c>
      <c r="C2471" s="37" t="n">
        <v>202609</v>
      </c>
      <c r="D2471" s="37" t="s">
        <v>63</v>
      </c>
      <c r="E2471" s="37" t="s">
        <v>98</v>
      </c>
      <c r="F2471" s="37" t="s">
        <v>196</v>
      </c>
      <c r="G2471" s="37" t="s">
        <v>358</v>
      </c>
      <c r="H2471" s="37" t="s">
        <v>359</v>
      </c>
      <c r="I2471" s="37" t="s">
        <v>360</v>
      </c>
      <c r="J2471" s="37" t="s">
        <v>1815</v>
      </c>
      <c r="K2471" s="45" t="n">
        <v>0</v>
      </c>
      <c r="L2471" s="46" t="n">
        <v>1987.56</v>
      </c>
    </row>
    <row r="2472" customFormat="false" ht="15" hidden="false" customHeight="false" outlineLevel="0" collapsed="false">
      <c r="A2472" s="37" t="n">
        <v>501997</v>
      </c>
      <c r="B2472" s="37" t="s">
        <v>1813</v>
      </c>
      <c r="C2472" s="37" t="n">
        <v>202609</v>
      </c>
      <c r="D2472" s="37" t="s">
        <v>64</v>
      </c>
      <c r="E2472" s="37" t="s">
        <v>102</v>
      </c>
      <c r="F2472" s="37" t="s">
        <v>205</v>
      </c>
      <c r="G2472" s="37" t="s">
        <v>358</v>
      </c>
      <c r="H2472" s="37" t="s">
        <v>947</v>
      </c>
      <c r="I2472" s="37" t="s">
        <v>811</v>
      </c>
      <c r="J2472" s="37" t="s">
        <v>1816</v>
      </c>
      <c r="K2472" s="45" t="n">
        <v>0</v>
      </c>
      <c r="L2472" s="46" t="n">
        <v>0.01</v>
      </c>
    </row>
    <row r="2473" customFormat="false" ht="15" hidden="false" customHeight="false" outlineLevel="0" collapsed="false">
      <c r="A2473" s="37" t="n">
        <v>502610</v>
      </c>
      <c r="B2473" s="37" t="s">
        <v>1813</v>
      </c>
      <c r="C2473" s="37" t="n">
        <v>202609</v>
      </c>
      <c r="D2473" s="37" t="s">
        <v>68</v>
      </c>
      <c r="E2473" s="37" t="s">
        <v>102</v>
      </c>
      <c r="F2473" s="37" t="s">
        <v>205</v>
      </c>
      <c r="G2473" s="37" t="s">
        <v>358</v>
      </c>
      <c r="H2473" s="37" t="s">
        <v>1566</v>
      </c>
      <c r="I2473" s="37" t="s">
        <v>715</v>
      </c>
      <c r="J2473" s="37" t="s">
        <v>1817</v>
      </c>
      <c r="K2473" s="45" t="n">
        <v>0</v>
      </c>
      <c r="L2473" s="46" t="n">
        <v>7487.59</v>
      </c>
    </row>
    <row r="2474" customFormat="false" ht="15" hidden="false" customHeight="false" outlineLevel="0" collapsed="false">
      <c r="A2474" s="37" t="n">
        <v>500398</v>
      </c>
      <c r="B2474" s="37" t="s">
        <v>1818</v>
      </c>
      <c r="C2474" s="37" t="n">
        <v>202609</v>
      </c>
      <c r="D2474" s="37" t="s">
        <v>58</v>
      </c>
      <c r="E2474" s="37" t="s">
        <v>108</v>
      </c>
      <c r="F2474" s="37" t="s">
        <v>205</v>
      </c>
      <c r="G2474" s="37" t="s">
        <v>358</v>
      </c>
      <c r="H2474" s="37" t="s">
        <v>885</v>
      </c>
      <c r="I2474" s="37" t="s">
        <v>886</v>
      </c>
      <c r="J2474" s="37" t="s">
        <v>1819</v>
      </c>
      <c r="K2474" s="45" t="n">
        <v>0</v>
      </c>
      <c r="L2474" s="46" t="n">
        <v>0.01</v>
      </c>
    </row>
    <row r="2475" customFormat="false" ht="15" hidden="false" customHeight="false" outlineLevel="0" collapsed="false">
      <c r="A2475" s="37" t="n">
        <v>501932</v>
      </c>
      <c r="B2475" s="37" t="s">
        <v>1818</v>
      </c>
      <c r="C2475" s="37" t="n">
        <v>202609</v>
      </c>
      <c r="D2475" s="37" t="s">
        <v>64</v>
      </c>
      <c r="E2475" s="37" t="s">
        <v>98</v>
      </c>
      <c r="F2475" s="37" t="s">
        <v>196</v>
      </c>
      <c r="G2475" s="37" t="s">
        <v>358</v>
      </c>
      <c r="H2475" s="37" t="s">
        <v>359</v>
      </c>
      <c r="I2475" s="37" t="s">
        <v>360</v>
      </c>
      <c r="J2475" s="37" t="s">
        <v>1820</v>
      </c>
      <c r="K2475" s="45" t="n">
        <v>0</v>
      </c>
      <c r="L2475" s="46" t="n">
        <v>3388.7</v>
      </c>
    </row>
    <row r="2476" customFormat="false" ht="15" hidden="false" customHeight="false" outlineLevel="0" collapsed="false">
      <c r="A2476" s="37" t="n">
        <v>502141</v>
      </c>
      <c r="B2476" s="37" t="s">
        <v>1818</v>
      </c>
      <c r="C2476" s="37" t="n">
        <v>202609</v>
      </c>
      <c r="D2476" s="37" t="s">
        <v>65</v>
      </c>
      <c r="E2476" s="37" t="s">
        <v>98</v>
      </c>
      <c r="F2476" s="37" t="s">
        <v>196</v>
      </c>
      <c r="G2476" s="37" t="s">
        <v>358</v>
      </c>
      <c r="H2476" s="37" t="s">
        <v>359</v>
      </c>
      <c r="I2476" s="37" t="s">
        <v>360</v>
      </c>
      <c r="J2476" s="37" t="s">
        <v>1821</v>
      </c>
      <c r="K2476" s="45" t="n">
        <v>0</v>
      </c>
      <c r="L2476" s="46" t="n">
        <v>13423.07</v>
      </c>
    </row>
    <row r="2477" customFormat="false" ht="15" hidden="false" customHeight="false" outlineLevel="0" collapsed="false">
      <c r="A2477" s="37" t="n">
        <v>502325</v>
      </c>
      <c r="B2477" s="37" t="s">
        <v>1818</v>
      </c>
      <c r="C2477" s="37" t="n">
        <v>202609</v>
      </c>
      <c r="D2477" s="37" t="s">
        <v>66</v>
      </c>
      <c r="E2477" s="37" t="s">
        <v>98</v>
      </c>
      <c r="F2477" s="37" t="s">
        <v>196</v>
      </c>
      <c r="G2477" s="37" t="s">
        <v>358</v>
      </c>
      <c r="H2477" s="37" t="s">
        <v>359</v>
      </c>
      <c r="I2477" s="37" t="s">
        <v>360</v>
      </c>
      <c r="J2477" s="37" t="s">
        <v>1822</v>
      </c>
      <c r="K2477" s="45" t="n">
        <v>0</v>
      </c>
      <c r="L2477" s="46" t="n">
        <v>16868.95</v>
      </c>
    </row>
    <row r="2478" customFormat="false" ht="15" hidden="false" customHeight="false" outlineLevel="0" collapsed="false">
      <c r="A2478" s="37" t="n">
        <v>502529</v>
      </c>
      <c r="B2478" s="37" t="s">
        <v>1818</v>
      </c>
      <c r="C2478" s="37" t="n">
        <v>202609</v>
      </c>
      <c r="D2478" s="37" t="s">
        <v>67</v>
      </c>
      <c r="E2478" s="37" t="s">
        <v>103</v>
      </c>
      <c r="F2478" s="37" t="s">
        <v>205</v>
      </c>
      <c r="G2478" s="37" t="s">
        <v>358</v>
      </c>
      <c r="H2478" s="37" t="s">
        <v>1368</v>
      </c>
      <c r="I2478" s="37" t="s">
        <v>1369</v>
      </c>
      <c r="J2478" s="37" t="s">
        <v>1823</v>
      </c>
      <c r="K2478" s="45" t="n">
        <v>0</v>
      </c>
      <c r="L2478" s="46" t="n">
        <v>99894.41</v>
      </c>
    </row>
    <row r="2479" customFormat="false" ht="15" hidden="false" customHeight="false" outlineLevel="0" collapsed="false">
      <c r="A2479" s="37" t="n">
        <v>501454</v>
      </c>
      <c r="B2479" s="37" t="s">
        <v>1824</v>
      </c>
      <c r="C2479" s="37" t="n">
        <v>202609</v>
      </c>
      <c r="D2479" s="37" t="s">
        <v>62</v>
      </c>
      <c r="E2479" s="37" t="s">
        <v>98</v>
      </c>
      <c r="F2479" s="37" t="s">
        <v>196</v>
      </c>
      <c r="G2479" s="37" t="s">
        <v>358</v>
      </c>
      <c r="H2479" s="37" t="s">
        <v>359</v>
      </c>
      <c r="I2479" s="37" t="s">
        <v>360</v>
      </c>
      <c r="J2479" s="37" t="s">
        <v>1825</v>
      </c>
      <c r="K2479" s="45" t="n">
        <v>0</v>
      </c>
      <c r="L2479" s="46" t="n">
        <v>5141.9</v>
      </c>
    </row>
    <row r="2480" customFormat="false" ht="15" hidden="false" customHeight="false" outlineLevel="0" collapsed="false">
      <c r="A2480" s="37" t="n">
        <v>501831</v>
      </c>
      <c r="B2480" s="37" t="s">
        <v>1824</v>
      </c>
      <c r="C2480" s="37" t="n">
        <v>202609</v>
      </c>
      <c r="D2480" s="37" t="s">
        <v>63</v>
      </c>
      <c r="E2480" s="37" t="s">
        <v>108</v>
      </c>
      <c r="F2480" s="37" t="s">
        <v>205</v>
      </c>
      <c r="G2480" s="37" t="s">
        <v>358</v>
      </c>
      <c r="H2480" s="37" t="s">
        <v>1542</v>
      </c>
      <c r="I2480" s="37" t="s">
        <v>1489</v>
      </c>
      <c r="J2480" s="37" t="s">
        <v>1826</v>
      </c>
      <c r="K2480" s="45" t="n">
        <v>0</v>
      </c>
      <c r="L2480" s="46" t="n">
        <v>46271.18</v>
      </c>
    </row>
    <row r="2481" customFormat="false" ht="15" hidden="false" customHeight="false" outlineLevel="0" collapsed="false">
      <c r="A2481" s="37" t="n">
        <v>501930</v>
      </c>
      <c r="B2481" s="37" t="s">
        <v>1824</v>
      </c>
      <c r="C2481" s="37" t="n">
        <v>202609</v>
      </c>
      <c r="D2481" s="37" t="s">
        <v>64</v>
      </c>
      <c r="E2481" s="37" t="s">
        <v>98</v>
      </c>
      <c r="F2481" s="37" t="s">
        <v>196</v>
      </c>
      <c r="G2481" s="37" t="s">
        <v>358</v>
      </c>
      <c r="H2481" s="37" t="s">
        <v>359</v>
      </c>
      <c r="I2481" s="37" t="s">
        <v>360</v>
      </c>
      <c r="J2481" s="37" t="s">
        <v>1827</v>
      </c>
      <c r="K2481" s="45" t="n">
        <v>0</v>
      </c>
      <c r="L2481" s="46" t="n">
        <v>4934.86</v>
      </c>
    </row>
    <row r="2482" customFormat="false" ht="15" hidden="false" customHeight="false" outlineLevel="0" collapsed="false">
      <c r="A2482" s="37" t="n">
        <v>501931</v>
      </c>
      <c r="B2482" s="37" t="s">
        <v>1824</v>
      </c>
      <c r="C2482" s="37" t="n">
        <v>202609</v>
      </c>
      <c r="D2482" s="37" t="s">
        <v>64</v>
      </c>
      <c r="E2482" s="37" t="s">
        <v>98</v>
      </c>
      <c r="F2482" s="37" t="s">
        <v>196</v>
      </c>
      <c r="G2482" s="37" t="s">
        <v>358</v>
      </c>
      <c r="H2482" s="37" t="s">
        <v>359</v>
      </c>
      <c r="I2482" s="37" t="s">
        <v>360</v>
      </c>
      <c r="J2482" s="37" t="s">
        <v>1828</v>
      </c>
      <c r="K2482" s="45" t="n">
        <v>0</v>
      </c>
      <c r="L2482" s="46" t="n">
        <v>18605</v>
      </c>
    </row>
    <row r="2483" customFormat="false" ht="15" hidden="false" customHeight="false" outlineLevel="0" collapsed="false">
      <c r="A2483" s="37" t="n">
        <v>502323</v>
      </c>
      <c r="B2483" s="37" t="s">
        <v>1824</v>
      </c>
      <c r="C2483" s="37" t="n">
        <v>202609</v>
      </c>
      <c r="D2483" s="37" t="s">
        <v>66</v>
      </c>
      <c r="E2483" s="37" t="s">
        <v>98</v>
      </c>
      <c r="F2483" s="37" t="s">
        <v>196</v>
      </c>
      <c r="G2483" s="37" t="s">
        <v>358</v>
      </c>
      <c r="H2483" s="37" t="s">
        <v>359</v>
      </c>
      <c r="I2483" s="37" t="s">
        <v>360</v>
      </c>
      <c r="J2483" s="37" t="s">
        <v>1829</v>
      </c>
      <c r="K2483" s="45" t="n">
        <v>0</v>
      </c>
      <c r="L2483" s="46" t="n">
        <v>21936.51</v>
      </c>
    </row>
    <row r="2484" customFormat="false" ht="15" hidden="false" customHeight="false" outlineLevel="0" collapsed="false">
      <c r="A2484" s="37" t="n">
        <v>502649</v>
      </c>
      <c r="B2484" s="37" t="s">
        <v>1824</v>
      </c>
      <c r="C2484" s="37" t="n">
        <v>202609</v>
      </c>
      <c r="D2484" s="37" t="s">
        <v>69</v>
      </c>
      <c r="E2484" s="37" t="s">
        <v>98</v>
      </c>
      <c r="F2484" s="37" t="s">
        <v>196</v>
      </c>
      <c r="G2484" s="37" t="s">
        <v>358</v>
      </c>
      <c r="H2484" s="37" t="s">
        <v>359</v>
      </c>
      <c r="I2484" s="37" t="s">
        <v>360</v>
      </c>
      <c r="J2484" s="37" t="s">
        <v>1830</v>
      </c>
      <c r="K2484" s="45" t="n">
        <v>0</v>
      </c>
      <c r="L2484" s="46" t="n">
        <v>2639.73</v>
      </c>
    </row>
    <row r="2485" customFormat="false" ht="15" hidden="false" customHeight="false" outlineLevel="0" collapsed="false">
      <c r="A2485" s="37" t="n">
        <v>501598</v>
      </c>
      <c r="B2485" s="37" t="s">
        <v>1831</v>
      </c>
      <c r="C2485" s="37" t="n">
        <v>202609</v>
      </c>
      <c r="D2485" s="37" t="s">
        <v>62</v>
      </c>
      <c r="E2485" s="37" t="s">
        <v>108</v>
      </c>
      <c r="F2485" s="37" t="s">
        <v>205</v>
      </c>
      <c r="G2485" s="37" t="s">
        <v>358</v>
      </c>
      <c r="H2485" s="37" t="s">
        <v>1810</v>
      </c>
      <c r="I2485" s="37" t="s">
        <v>1489</v>
      </c>
      <c r="J2485" s="37" t="s">
        <v>1832</v>
      </c>
      <c r="K2485" s="45" t="n">
        <v>0</v>
      </c>
      <c r="L2485" s="46" t="n">
        <v>25308.34</v>
      </c>
    </row>
    <row r="2486" customFormat="false" ht="15" hidden="false" customHeight="false" outlineLevel="0" collapsed="false">
      <c r="A2486" s="37" t="n">
        <v>502387</v>
      </c>
      <c r="B2486" s="37" t="s">
        <v>1831</v>
      </c>
      <c r="C2486" s="37" t="n">
        <v>202609</v>
      </c>
      <c r="D2486" s="37" t="s">
        <v>66</v>
      </c>
      <c r="E2486" s="37" t="s">
        <v>102</v>
      </c>
      <c r="F2486" s="37" t="s">
        <v>205</v>
      </c>
      <c r="G2486" s="37" t="s">
        <v>358</v>
      </c>
      <c r="H2486" s="37" t="s">
        <v>1323</v>
      </c>
      <c r="I2486" s="37" t="s">
        <v>715</v>
      </c>
      <c r="J2486" s="37" t="s">
        <v>1833</v>
      </c>
      <c r="K2486" s="45" t="n">
        <v>0</v>
      </c>
      <c r="L2486" s="46" t="n">
        <v>4812.95</v>
      </c>
    </row>
    <row r="2487" customFormat="false" ht="15" hidden="false" customHeight="false" outlineLevel="0" collapsed="false">
      <c r="A2487" s="37" t="n">
        <v>502400</v>
      </c>
      <c r="B2487" s="37" t="s">
        <v>1831</v>
      </c>
      <c r="C2487" s="37" t="n">
        <v>202609</v>
      </c>
      <c r="D2487" s="37" t="s">
        <v>66</v>
      </c>
      <c r="E2487" s="37" t="s">
        <v>103</v>
      </c>
      <c r="F2487" s="37" t="s">
        <v>205</v>
      </c>
      <c r="G2487" s="37" t="s">
        <v>358</v>
      </c>
      <c r="H2487" s="37" t="s">
        <v>1296</v>
      </c>
      <c r="I2487" s="37" t="s">
        <v>1297</v>
      </c>
      <c r="J2487" s="37" t="s">
        <v>1834</v>
      </c>
      <c r="K2487" s="45" t="n">
        <v>0</v>
      </c>
      <c r="L2487" s="46" t="n">
        <v>42660.28</v>
      </c>
    </row>
    <row r="2488" customFormat="false" ht="15" hidden="false" customHeight="false" outlineLevel="0" collapsed="false">
      <c r="A2488" s="37" t="n">
        <v>502464</v>
      </c>
      <c r="B2488" s="37" t="s">
        <v>1831</v>
      </c>
      <c r="C2488" s="37" t="n">
        <v>202609</v>
      </c>
      <c r="D2488" s="37" t="s">
        <v>67</v>
      </c>
      <c r="E2488" s="37" t="s">
        <v>98</v>
      </c>
      <c r="F2488" s="37" t="s">
        <v>196</v>
      </c>
      <c r="G2488" s="37" t="s">
        <v>358</v>
      </c>
      <c r="H2488" s="37" t="s">
        <v>359</v>
      </c>
      <c r="I2488" s="37" t="s">
        <v>360</v>
      </c>
      <c r="J2488" s="37" t="s">
        <v>1835</v>
      </c>
      <c r="K2488" s="45" t="n">
        <v>0</v>
      </c>
      <c r="L2488" s="46" t="n">
        <v>33948.38</v>
      </c>
    </row>
    <row r="2489" customFormat="false" ht="15" hidden="false" customHeight="false" outlineLevel="0" collapsed="false">
      <c r="A2489" s="37" t="n">
        <v>502669</v>
      </c>
      <c r="B2489" s="37" t="s">
        <v>1831</v>
      </c>
      <c r="C2489" s="37" t="n">
        <v>202609</v>
      </c>
      <c r="D2489" s="37" t="s">
        <v>69</v>
      </c>
      <c r="E2489" s="37" t="s">
        <v>103</v>
      </c>
      <c r="F2489" s="37" t="s">
        <v>205</v>
      </c>
      <c r="G2489" s="37" t="s">
        <v>358</v>
      </c>
      <c r="H2489" s="37" t="s">
        <v>1735</v>
      </c>
      <c r="I2489" s="37" t="s">
        <v>1369</v>
      </c>
      <c r="J2489" s="37" t="s">
        <v>1836</v>
      </c>
      <c r="K2489" s="45" t="n">
        <v>0</v>
      </c>
      <c r="L2489" s="46" t="n">
        <v>42127.32</v>
      </c>
    </row>
    <row r="2490" customFormat="false" ht="15" hidden="false" customHeight="false" outlineLevel="0" collapsed="false">
      <c r="A2490" s="37" t="n">
        <v>500893</v>
      </c>
      <c r="B2490" s="37" t="s">
        <v>1837</v>
      </c>
      <c r="C2490" s="37" t="n">
        <v>202609</v>
      </c>
      <c r="D2490" s="37" t="s">
        <v>60</v>
      </c>
      <c r="E2490" s="37" t="s">
        <v>98</v>
      </c>
      <c r="F2490" s="37" t="s">
        <v>196</v>
      </c>
      <c r="G2490" s="37" t="s">
        <v>358</v>
      </c>
      <c r="H2490" s="37" t="s">
        <v>359</v>
      </c>
      <c r="I2490" s="37" t="s">
        <v>360</v>
      </c>
      <c r="J2490" s="37" t="s">
        <v>1838</v>
      </c>
      <c r="K2490" s="45" t="n">
        <v>0</v>
      </c>
      <c r="L2490" s="46" t="n">
        <v>18840.25</v>
      </c>
    </row>
    <row r="2491" customFormat="false" ht="15" hidden="false" customHeight="false" outlineLevel="0" collapsed="false">
      <c r="A2491" s="37" t="n">
        <v>501706</v>
      </c>
      <c r="B2491" s="37" t="s">
        <v>1837</v>
      </c>
      <c r="C2491" s="37" t="n">
        <v>202609</v>
      </c>
      <c r="D2491" s="37" t="s">
        <v>63</v>
      </c>
      <c r="E2491" s="37" t="s">
        <v>98</v>
      </c>
      <c r="F2491" s="37" t="s">
        <v>196</v>
      </c>
      <c r="G2491" s="37" t="s">
        <v>358</v>
      </c>
      <c r="H2491" s="37" t="s">
        <v>359</v>
      </c>
      <c r="I2491" s="37" t="s">
        <v>360</v>
      </c>
      <c r="J2491" s="37" t="s">
        <v>1839</v>
      </c>
      <c r="K2491" s="45" t="n">
        <v>0</v>
      </c>
      <c r="L2491" s="46" t="n">
        <v>1503.14</v>
      </c>
    </row>
    <row r="2492" customFormat="false" ht="15" hidden="false" customHeight="false" outlineLevel="0" collapsed="false">
      <c r="A2492" s="37" t="n">
        <v>502401</v>
      </c>
      <c r="B2492" s="37" t="s">
        <v>1837</v>
      </c>
      <c r="C2492" s="37" t="n">
        <v>202609</v>
      </c>
      <c r="D2492" s="37" t="s">
        <v>66</v>
      </c>
      <c r="E2492" s="37" t="s">
        <v>103</v>
      </c>
      <c r="F2492" s="37" t="s">
        <v>205</v>
      </c>
      <c r="G2492" s="37" t="s">
        <v>358</v>
      </c>
      <c r="H2492" s="37" t="s">
        <v>1296</v>
      </c>
      <c r="I2492" s="37" t="s">
        <v>1297</v>
      </c>
      <c r="J2492" s="37" t="s">
        <v>1840</v>
      </c>
      <c r="K2492" s="45" t="n">
        <v>0</v>
      </c>
      <c r="L2492" s="46" t="n">
        <v>28561.12</v>
      </c>
    </row>
    <row r="2493" customFormat="false" ht="15" hidden="false" customHeight="false" outlineLevel="0" collapsed="false">
      <c r="A2493" s="37" t="n">
        <v>502574</v>
      </c>
      <c r="B2493" s="37" t="s">
        <v>1837</v>
      </c>
      <c r="C2493" s="37" t="n">
        <v>202609</v>
      </c>
      <c r="D2493" s="37" t="s">
        <v>68</v>
      </c>
      <c r="E2493" s="37" t="s">
        <v>98</v>
      </c>
      <c r="F2493" s="37" t="s">
        <v>196</v>
      </c>
      <c r="G2493" s="37" t="s">
        <v>358</v>
      </c>
      <c r="H2493" s="37" t="s">
        <v>359</v>
      </c>
      <c r="I2493" s="37" t="s">
        <v>360</v>
      </c>
      <c r="J2493" s="37" t="s">
        <v>1841</v>
      </c>
      <c r="K2493" s="45" t="n">
        <v>0</v>
      </c>
      <c r="L2493" s="46" t="n">
        <v>21483.6</v>
      </c>
    </row>
    <row r="2494" customFormat="false" ht="15" hidden="false" customHeight="false" outlineLevel="0" collapsed="false">
      <c r="A2494" s="37" t="n">
        <v>500399</v>
      </c>
      <c r="B2494" s="37" t="s">
        <v>1842</v>
      </c>
      <c r="C2494" s="37" t="n">
        <v>202609</v>
      </c>
      <c r="D2494" s="37" t="s">
        <v>58</v>
      </c>
      <c r="E2494" s="37" t="s">
        <v>108</v>
      </c>
      <c r="F2494" s="37" t="s">
        <v>205</v>
      </c>
      <c r="G2494" s="37" t="s">
        <v>358</v>
      </c>
      <c r="H2494" s="37" t="s">
        <v>885</v>
      </c>
      <c r="I2494" s="37" t="s">
        <v>886</v>
      </c>
      <c r="J2494" s="37" t="s">
        <v>1843</v>
      </c>
      <c r="K2494" s="45" t="n">
        <v>0</v>
      </c>
      <c r="L2494" s="46" t="n">
        <v>0.01</v>
      </c>
    </row>
    <row r="2495" customFormat="false" ht="15" hidden="false" customHeight="false" outlineLevel="0" collapsed="false">
      <c r="A2495" s="37" t="n">
        <v>500527</v>
      </c>
      <c r="B2495" s="37" t="s">
        <v>1842</v>
      </c>
      <c r="C2495" s="37" t="n">
        <v>202609</v>
      </c>
      <c r="D2495" s="37" t="s">
        <v>59</v>
      </c>
      <c r="E2495" s="37" t="s">
        <v>97</v>
      </c>
      <c r="F2495" s="37" t="s">
        <v>194</v>
      </c>
      <c r="G2495" s="37" t="s">
        <v>354</v>
      </c>
      <c r="H2495" s="37"/>
      <c r="I2495" s="37" t="s">
        <v>355</v>
      </c>
      <c r="J2495" s="37" t="s">
        <v>1844</v>
      </c>
      <c r="K2495" s="45" t="n">
        <v>54.7</v>
      </c>
      <c r="L2495" s="46" t="n">
        <v>5036.69</v>
      </c>
    </row>
    <row r="2496" customFormat="false" ht="15" hidden="false" customHeight="false" outlineLevel="0" collapsed="false">
      <c r="A2496" s="37" t="n">
        <v>500729</v>
      </c>
      <c r="B2496" s="37" t="s">
        <v>1842</v>
      </c>
      <c r="C2496" s="37" t="n">
        <v>202609</v>
      </c>
      <c r="D2496" s="37" t="s">
        <v>59</v>
      </c>
      <c r="E2496" s="37" t="s">
        <v>106</v>
      </c>
      <c r="F2496" s="37" t="s">
        <v>194</v>
      </c>
      <c r="G2496" s="37" t="s">
        <v>354</v>
      </c>
      <c r="H2496" s="37"/>
      <c r="I2496" s="37" t="s">
        <v>355</v>
      </c>
      <c r="J2496" s="37" t="s">
        <v>1844</v>
      </c>
      <c r="K2496" s="45" t="n">
        <v>0</v>
      </c>
      <c r="L2496" s="46" t="n">
        <v>0</v>
      </c>
    </row>
    <row r="2497" customFormat="false" ht="15" hidden="false" customHeight="false" outlineLevel="0" collapsed="false">
      <c r="A2497" s="37" t="n">
        <v>500752</v>
      </c>
      <c r="B2497" s="37" t="s">
        <v>1842</v>
      </c>
      <c r="C2497" s="37" t="n">
        <v>202609</v>
      </c>
      <c r="D2497" s="37" t="s">
        <v>59</v>
      </c>
      <c r="E2497" s="37" t="s">
        <v>108</v>
      </c>
      <c r="F2497" s="37" t="s">
        <v>205</v>
      </c>
      <c r="G2497" s="37" t="s">
        <v>358</v>
      </c>
      <c r="H2497" s="37" t="s">
        <v>1385</v>
      </c>
      <c r="I2497" s="37" t="s">
        <v>1386</v>
      </c>
      <c r="J2497" s="37" t="s">
        <v>1845</v>
      </c>
      <c r="K2497" s="45" t="n">
        <v>0</v>
      </c>
      <c r="L2497" s="46" t="n">
        <v>1179.07</v>
      </c>
    </row>
    <row r="2498" customFormat="false" ht="15" hidden="false" customHeight="false" outlineLevel="0" collapsed="false">
      <c r="A2498" s="37" t="n">
        <v>500856</v>
      </c>
      <c r="B2498" s="37" t="s">
        <v>1842</v>
      </c>
      <c r="C2498" s="37" t="n">
        <v>202609</v>
      </c>
      <c r="D2498" s="37" t="s">
        <v>60</v>
      </c>
      <c r="E2498" s="37" t="s">
        <v>97</v>
      </c>
      <c r="F2498" s="37" t="s">
        <v>194</v>
      </c>
      <c r="G2498" s="37" t="s">
        <v>354</v>
      </c>
      <c r="H2498" s="37"/>
      <c r="I2498" s="37" t="s">
        <v>355</v>
      </c>
      <c r="J2498" s="37" t="s">
        <v>1844</v>
      </c>
      <c r="K2498" s="45" t="n">
        <v>204.9</v>
      </c>
      <c r="L2498" s="46" t="n">
        <v>18850.21</v>
      </c>
    </row>
    <row r="2499" customFormat="false" ht="15" hidden="false" customHeight="false" outlineLevel="0" collapsed="false">
      <c r="A2499" s="37" t="n">
        <v>501049</v>
      </c>
      <c r="B2499" s="37" t="s">
        <v>1842</v>
      </c>
      <c r="C2499" s="37" t="n">
        <v>202609</v>
      </c>
      <c r="D2499" s="37" t="s">
        <v>60</v>
      </c>
      <c r="E2499" s="37" t="s">
        <v>106</v>
      </c>
      <c r="F2499" s="37" t="s">
        <v>194</v>
      </c>
      <c r="G2499" s="37" t="s">
        <v>354</v>
      </c>
      <c r="H2499" s="37"/>
      <c r="I2499" s="37" t="s">
        <v>355</v>
      </c>
      <c r="J2499" s="37" t="s">
        <v>1844</v>
      </c>
      <c r="K2499" s="45" t="n">
        <v>39.2</v>
      </c>
      <c r="L2499" s="46" t="n">
        <v>2783.44</v>
      </c>
    </row>
    <row r="2500" customFormat="false" ht="15" hidden="false" customHeight="false" outlineLevel="0" collapsed="false">
      <c r="A2500" s="37" t="n">
        <v>501163</v>
      </c>
      <c r="B2500" s="37" t="s">
        <v>1842</v>
      </c>
      <c r="C2500" s="37" t="n">
        <v>202609</v>
      </c>
      <c r="D2500" s="37" t="s">
        <v>61</v>
      </c>
      <c r="E2500" s="37" t="s">
        <v>97</v>
      </c>
      <c r="F2500" s="37" t="s">
        <v>194</v>
      </c>
      <c r="G2500" s="37" t="s">
        <v>354</v>
      </c>
      <c r="H2500" s="37"/>
      <c r="I2500" s="37" t="s">
        <v>355</v>
      </c>
      <c r="J2500" s="37" t="s">
        <v>1844</v>
      </c>
      <c r="K2500" s="45" t="n">
        <v>61.7</v>
      </c>
      <c r="L2500" s="46" t="n">
        <v>5680.06</v>
      </c>
    </row>
    <row r="2501" customFormat="false" ht="15" hidden="false" customHeight="false" outlineLevel="0" collapsed="false">
      <c r="A2501" s="37" t="n">
        <v>501424</v>
      </c>
      <c r="B2501" s="37" t="s">
        <v>1842</v>
      </c>
      <c r="C2501" s="37" t="n">
        <v>202609</v>
      </c>
      <c r="D2501" s="37" t="s">
        <v>62</v>
      </c>
      <c r="E2501" s="37" t="s">
        <v>97</v>
      </c>
      <c r="F2501" s="37" t="s">
        <v>194</v>
      </c>
      <c r="G2501" s="37" t="s">
        <v>354</v>
      </c>
      <c r="H2501" s="37"/>
      <c r="I2501" s="37" t="s">
        <v>355</v>
      </c>
      <c r="J2501" s="37" t="s">
        <v>1844</v>
      </c>
      <c r="K2501" s="45" t="n">
        <v>440.3</v>
      </c>
      <c r="L2501" s="46" t="n">
        <v>40508.78</v>
      </c>
    </row>
    <row r="2502" customFormat="false" ht="15" hidden="false" customHeight="false" outlineLevel="0" collapsed="false">
      <c r="A2502" s="37" t="n">
        <v>501590</v>
      </c>
      <c r="B2502" s="37" t="s">
        <v>1842</v>
      </c>
      <c r="C2502" s="37" t="n">
        <v>202609</v>
      </c>
      <c r="D2502" s="37" t="s">
        <v>62</v>
      </c>
      <c r="E2502" s="37" t="s">
        <v>106</v>
      </c>
      <c r="F2502" s="37" t="s">
        <v>194</v>
      </c>
      <c r="G2502" s="37" t="s">
        <v>354</v>
      </c>
      <c r="H2502" s="37"/>
      <c r="I2502" s="37" t="s">
        <v>355</v>
      </c>
      <c r="J2502" s="37" t="s">
        <v>1844</v>
      </c>
      <c r="K2502" s="45" t="n">
        <v>545.1</v>
      </c>
      <c r="L2502" s="46" t="n">
        <v>38704.72</v>
      </c>
    </row>
    <row r="2503" customFormat="false" ht="15" hidden="false" customHeight="false" outlineLevel="0" collapsed="false">
      <c r="A2503" s="37" t="n">
        <v>501670</v>
      </c>
      <c r="B2503" s="37" t="s">
        <v>1842</v>
      </c>
      <c r="C2503" s="37" t="n">
        <v>202609</v>
      </c>
      <c r="D2503" s="37" t="s">
        <v>63</v>
      </c>
      <c r="E2503" s="37" t="s">
        <v>97</v>
      </c>
      <c r="F2503" s="37" t="s">
        <v>194</v>
      </c>
      <c r="G2503" s="37" t="s">
        <v>354</v>
      </c>
      <c r="H2503" s="37"/>
      <c r="I2503" s="37" t="s">
        <v>355</v>
      </c>
      <c r="J2503" s="37" t="s">
        <v>1844</v>
      </c>
      <c r="K2503" s="45" t="n">
        <v>116.9</v>
      </c>
      <c r="L2503" s="46" t="n">
        <v>10757.55</v>
      </c>
    </row>
    <row r="2504" customFormat="false" ht="15" hidden="false" customHeight="false" outlineLevel="0" collapsed="false">
      <c r="A2504" s="37" t="n">
        <v>501764</v>
      </c>
      <c r="B2504" s="37" t="s">
        <v>1842</v>
      </c>
      <c r="C2504" s="37" t="n">
        <v>202609</v>
      </c>
      <c r="D2504" s="37" t="s">
        <v>63</v>
      </c>
      <c r="E2504" s="37" t="s">
        <v>102</v>
      </c>
      <c r="F2504" s="37" t="s">
        <v>205</v>
      </c>
      <c r="G2504" s="37" t="s">
        <v>358</v>
      </c>
      <c r="H2504" s="37" t="s">
        <v>891</v>
      </c>
      <c r="I2504" s="37" t="s">
        <v>892</v>
      </c>
      <c r="J2504" s="37" t="s">
        <v>1846</v>
      </c>
      <c r="K2504" s="45" t="n">
        <v>0</v>
      </c>
      <c r="L2504" s="46" t="n">
        <v>0</v>
      </c>
    </row>
    <row r="2505" customFormat="false" ht="15" hidden="false" customHeight="false" outlineLevel="0" collapsed="false">
      <c r="A2505" s="37" t="n">
        <v>501904</v>
      </c>
      <c r="B2505" s="37" t="s">
        <v>1842</v>
      </c>
      <c r="C2505" s="37" t="n">
        <v>202609</v>
      </c>
      <c r="D2505" s="37" t="s">
        <v>64</v>
      </c>
      <c r="E2505" s="37" t="s">
        <v>97</v>
      </c>
      <c r="F2505" s="37" t="s">
        <v>194</v>
      </c>
      <c r="G2505" s="37" t="s">
        <v>354</v>
      </c>
      <c r="H2505" s="37"/>
      <c r="I2505" s="37" t="s">
        <v>355</v>
      </c>
      <c r="J2505" s="37" t="s">
        <v>1844</v>
      </c>
      <c r="K2505" s="45" t="n">
        <v>227.8</v>
      </c>
      <c r="L2505" s="46" t="n">
        <v>20956.63</v>
      </c>
    </row>
    <row r="2506" customFormat="false" ht="15" hidden="false" customHeight="false" outlineLevel="0" collapsed="false">
      <c r="A2506" s="37" t="n">
        <v>502049</v>
      </c>
      <c r="B2506" s="37" t="s">
        <v>1842</v>
      </c>
      <c r="C2506" s="37" t="n">
        <v>202609</v>
      </c>
      <c r="D2506" s="37" t="s">
        <v>64</v>
      </c>
      <c r="E2506" s="37" t="s">
        <v>106</v>
      </c>
      <c r="F2506" s="37" t="s">
        <v>194</v>
      </c>
      <c r="G2506" s="37" t="s">
        <v>354</v>
      </c>
      <c r="H2506" s="37"/>
      <c r="I2506" s="37" t="s">
        <v>355</v>
      </c>
      <c r="J2506" s="37" t="s">
        <v>1844</v>
      </c>
      <c r="K2506" s="45" t="n">
        <v>432.7</v>
      </c>
      <c r="L2506" s="46" t="n">
        <v>30719.55</v>
      </c>
    </row>
    <row r="2507" customFormat="false" ht="15" hidden="false" customHeight="false" outlineLevel="0" collapsed="false">
      <c r="A2507" s="37" t="n">
        <v>502120</v>
      </c>
      <c r="B2507" s="37" t="s">
        <v>1842</v>
      </c>
      <c r="C2507" s="37" t="n">
        <v>202609</v>
      </c>
      <c r="D2507" s="37" t="s">
        <v>65</v>
      </c>
      <c r="E2507" s="37" t="s">
        <v>97</v>
      </c>
      <c r="F2507" s="37" t="s">
        <v>194</v>
      </c>
      <c r="G2507" s="37" t="s">
        <v>354</v>
      </c>
      <c r="H2507" s="37"/>
      <c r="I2507" s="37" t="s">
        <v>355</v>
      </c>
      <c r="J2507" s="37" t="s">
        <v>1844</v>
      </c>
      <c r="K2507" s="45" t="n">
        <v>307.8</v>
      </c>
      <c r="L2507" s="46" t="n">
        <v>28315.42</v>
      </c>
    </row>
    <row r="2508" customFormat="false" ht="15" hidden="false" customHeight="false" outlineLevel="0" collapsed="false">
      <c r="A2508" s="37" t="n">
        <v>502190</v>
      </c>
      <c r="B2508" s="37" t="s">
        <v>1842</v>
      </c>
      <c r="C2508" s="37" t="n">
        <v>202609</v>
      </c>
      <c r="D2508" s="37" t="s">
        <v>65</v>
      </c>
      <c r="E2508" s="37" t="s">
        <v>101</v>
      </c>
      <c r="F2508" s="37" t="s">
        <v>194</v>
      </c>
      <c r="G2508" s="37" t="s">
        <v>354</v>
      </c>
      <c r="H2508" s="37"/>
      <c r="I2508" s="37" t="s">
        <v>355</v>
      </c>
      <c r="J2508" s="37" t="s">
        <v>1844</v>
      </c>
      <c r="K2508" s="45" t="n">
        <v>0</v>
      </c>
      <c r="L2508" s="46" t="n">
        <v>0</v>
      </c>
    </row>
    <row r="2509" customFormat="false" ht="15" hidden="false" customHeight="false" outlineLevel="0" collapsed="false">
      <c r="A2509" s="37" t="n">
        <v>502241</v>
      </c>
      <c r="B2509" s="37" t="s">
        <v>1842</v>
      </c>
      <c r="C2509" s="37" t="n">
        <v>202609</v>
      </c>
      <c r="D2509" s="37" t="s">
        <v>65</v>
      </c>
      <c r="E2509" s="37" t="s">
        <v>106</v>
      </c>
      <c r="F2509" s="37" t="s">
        <v>194</v>
      </c>
      <c r="G2509" s="37" t="s">
        <v>354</v>
      </c>
      <c r="H2509" s="37"/>
      <c r="I2509" s="37" t="s">
        <v>355</v>
      </c>
      <c r="J2509" s="37" t="s">
        <v>1844</v>
      </c>
      <c r="K2509" s="45" t="n">
        <v>175.7</v>
      </c>
      <c r="L2509" s="46" t="n">
        <v>12474.37</v>
      </c>
    </row>
    <row r="2510" customFormat="false" ht="15" hidden="false" customHeight="false" outlineLevel="0" collapsed="false">
      <c r="A2510" s="37" t="n">
        <v>502303</v>
      </c>
      <c r="B2510" s="37" t="s">
        <v>1842</v>
      </c>
      <c r="C2510" s="37" t="n">
        <v>202609</v>
      </c>
      <c r="D2510" s="37" t="s">
        <v>66</v>
      </c>
      <c r="E2510" s="37" t="s">
        <v>97</v>
      </c>
      <c r="F2510" s="37" t="s">
        <v>194</v>
      </c>
      <c r="G2510" s="37" t="s">
        <v>354</v>
      </c>
      <c r="H2510" s="37"/>
      <c r="I2510" s="37" t="s">
        <v>355</v>
      </c>
      <c r="J2510" s="37" t="s">
        <v>1844</v>
      </c>
      <c r="K2510" s="45" t="n">
        <v>370.3</v>
      </c>
      <c r="L2510" s="46" t="n">
        <v>34071.31</v>
      </c>
    </row>
    <row r="2511" customFormat="false" ht="15" hidden="false" customHeight="false" outlineLevel="0" collapsed="false">
      <c r="A2511" s="37" t="n">
        <v>502368</v>
      </c>
      <c r="B2511" s="37" t="s">
        <v>1842</v>
      </c>
      <c r="C2511" s="37" t="n">
        <v>202609</v>
      </c>
      <c r="D2511" s="37" t="s">
        <v>66</v>
      </c>
      <c r="E2511" s="37" t="s">
        <v>101</v>
      </c>
      <c r="F2511" s="37" t="s">
        <v>194</v>
      </c>
      <c r="G2511" s="37" t="s">
        <v>354</v>
      </c>
      <c r="H2511" s="37"/>
      <c r="I2511" s="37" t="s">
        <v>355</v>
      </c>
      <c r="J2511" s="37" t="s">
        <v>1844</v>
      </c>
      <c r="K2511" s="45" t="n">
        <v>284.1</v>
      </c>
      <c r="L2511" s="46" t="n">
        <v>21026.03</v>
      </c>
    </row>
    <row r="2512" customFormat="false" ht="15" hidden="false" customHeight="false" outlineLevel="0" collapsed="false">
      <c r="A2512" s="37" t="n">
        <v>502410</v>
      </c>
      <c r="B2512" s="37" t="s">
        <v>1842</v>
      </c>
      <c r="C2512" s="37" t="n">
        <v>202609</v>
      </c>
      <c r="D2512" s="37" t="s">
        <v>66</v>
      </c>
      <c r="E2512" s="37" t="s">
        <v>106</v>
      </c>
      <c r="F2512" s="37" t="s">
        <v>194</v>
      </c>
      <c r="G2512" s="37" t="s">
        <v>354</v>
      </c>
      <c r="H2512" s="37"/>
      <c r="I2512" s="37" t="s">
        <v>355</v>
      </c>
      <c r="J2512" s="37" t="s">
        <v>1844</v>
      </c>
      <c r="K2512" s="45" t="n">
        <v>244.2</v>
      </c>
      <c r="L2512" s="46" t="n">
        <v>17336.12</v>
      </c>
    </row>
    <row r="2513" customFormat="false" ht="15" hidden="false" customHeight="false" outlineLevel="0" collapsed="false">
      <c r="A2513" s="37" t="n">
        <v>502446</v>
      </c>
      <c r="B2513" s="37" t="s">
        <v>1842</v>
      </c>
      <c r="C2513" s="37" t="n">
        <v>202609</v>
      </c>
      <c r="D2513" s="37" t="s">
        <v>67</v>
      </c>
      <c r="E2513" s="37" t="s">
        <v>97</v>
      </c>
      <c r="F2513" s="37" t="s">
        <v>194</v>
      </c>
      <c r="G2513" s="37" t="s">
        <v>354</v>
      </c>
      <c r="H2513" s="37"/>
      <c r="I2513" s="37" t="s">
        <v>355</v>
      </c>
      <c r="J2513" s="37" t="s">
        <v>1844</v>
      </c>
      <c r="K2513" s="45" t="n">
        <v>328.8</v>
      </c>
      <c r="L2513" s="46" t="n">
        <v>30252.55</v>
      </c>
    </row>
    <row r="2514" customFormat="false" ht="15" hidden="false" customHeight="false" outlineLevel="0" collapsed="false">
      <c r="A2514" s="37" t="n">
        <v>502500</v>
      </c>
      <c r="B2514" s="37" t="s">
        <v>1842</v>
      </c>
      <c r="C2514" s="37" t="n">
        <v>202609</v>
      </c>
      <c r="D2514" s="37" t="s">
        <v>67</v>
      </c>
      <c r="E2514" s="37" t="s">
        <v>101</v>
      </c>
      <c r="F2514" s="37" t="s">
        <v>194</v>
      </c>
      <c r="G2514" s="37" t="s">
        <v>354</v>
      </c>
      <c r="H2514" s="37"/>
      <c r="I2514" s="37" t="s">
        <v>355</v>
      </c>
      <c r="J2514" s="37" t="s">
        <v>1844</v>
      </c>
      <c r="K2514" s="45" t="n">
        <v>98.1</v>
      </c>
      <c r="L2514" s="46" t="n">
        <v>7261</v>
      </c>
    </row>
    <row r="2515" customFormat="false" ht="15" hidden="false" customHeight="false" outlineLevel="0" collapsed="false">
      <c r="A2515" s="37" t="n">
        <v>502534</v>
      </c>
      <c r="B2515" s="37" t="s">
        <v>1842</v>
      </c>
      <c r="C2515" s="37" t="n">
        <v>202609</v>
      </c>
      <c r="D2515" s="37" t="s">
        <v>67</v>
      </c>
      <c r="E2515" s="37" t="s">
        <v>106</v>
      </c>
      <c r="F2515" s="37" t="s">
        <v>194</v>
      </c>
      <c r="G2515" s="37" t="s">
        <v>354</v>
      </c>
      <c r="H2515" s="37"/>
      <c r="I2515" s="37" t="s">
        <v>355</v>
      </c>
      <c r="J2515" s="37" t="s">
        <v>1844</v>
      </c>
      <c r="K2515" s="45" t="n">
        <v>29.3</v>
      </c>
      <c r="L2515" s="46" t="n">
        <v>2077.45</v>
      </c>
    </row>
    <row r="2516" customFormat="false" ht="15" hidden="false" customHeight="false" outlineLevel="0" collapsed="false">
      <c r="A2516" s="37" t="n">
        <v>502562</v>
      </c>
      <c r="B2516" s="37" t="s">
        <v>1842</v>
      </c>
      <c r="C2516" s="37" t="n">
        <v>202609</v>
      </c>
      <c r="D2516" s="37" t="s">
        <v>68</v>
      </c>
      <c r="E2516" s="37" t="s">
        <v>97</v>
      </c>
      <c r="F2516" s="37" t="s">
        <v>194</v>
      </c>
      <c r="G2516" s="37" t="s">
        <v>354</v>
      </c>
      <c r="H2516" s="37"/>
      <c r="I2516" s="37" t="s">
        <v>355</v>
      </c>
      <c r="J2516" s="37" t="s">
        <v>1844</v>
      </c>
      <c r="K2516" s="45" t="n">
        <v>156.1</v>
      </c>
      <c r="L2516" s="46" t="n">
        <v>14362.15</v>
      </c>
    </row>
    <row r="2517" customFormat="false" ht="15" hidden="false" customHeight="false" outlineLevel="0" collapsed="false">
      <c r="A2517" s="37" t="n">
        <v>502599</v>
      </c>
      <c r="B2517" s="37" t="s">
        <v>1842</v>
      </c>
      <c r="C2517" s="37" t="n">
        <v>202609</v>
      </c>
      <c r="D2517" s="37" t="s">
        <v>68</v>
      </c>
      <c r="E2517" s="37" t="s">
        <v>101</v>
      </c>
      <c r="F2517" s="37" t="s">
        <v>194</v>
      </c>
      <c r="G2517" s="37" t="s">
        <v>354</v>
      </c>
      <c r="H2517" s="37"/>
      <c r="I2517" s="37" t="s">
        <v>355</v>
      </c>
      <c r="J2517" s="37" t="s">
        <v>1844</v>
      </c>
      <c r="K2517" s="45" t="n">
        <v>77.6</v>
      </c>
      <c r="L2517" s="46" t="n">
        <v>5738.81</v>
      </c>
    </row>
    <row r="2518" customFormat="false" ht="15" hidden="false" customHeight="false" outlineLevel="0" collapsed="false">
      <c r="A2518" s="37" t="n">
        <v>502609</v>
      </c>
      <c r="B2518" s="37" t="s">
        <v>1842</v>
      </c>
      <c r="C2518" s="37" t="n">
        <v>202609</v>
      </c>
      <c r="D2518" s="37" t="s">
        <v>68</v>
      </c>
      <c r="E2518" s="37" t="s">
        <v>102</v>
      </c>
      <c r="F2518" s="37" t="s">
        <v>205</v>
      </c>
      <c r="G2518" s="37" t="s">
        <v>358</v>
      </c>
      <c r="H2518" s="37" t="s">
        <v>1566</v>
      </c>
      <c r="I2518" s="37" t="s">
        <v>715</v>
      </c>
      <c r="J2518" s="37" t="s">
        <v>1847</v>
      </c>
      <c r="K2518" s="45" t="n">
        <v>0</v>
      </c>
      <c r="L2518" s="46" t="n">
        <v>24309.97</v>
      </c>
    </row>
    <row r="2519" customFormat="false" ht="15" hidden="false" customHeight="false" outlineLevel="0" collapsed="false">
      <c r="A2519" s="37" t="n">
        <v>502624</v>
      </c>
      <c r="B2519" s="37" t="s">
        <v>1842</v>
      </c>
      <c r="C2519" s="37" t="n">
        <v>202609</v>
      </c>
      <c r="D2519" s="37" t="s">
        <v>68</v>
      </c>
      <c r="E2519" s="37" t="s">
        <v>106</v>
      </c>
      <c r="F2519" s="37" t="s">
        <v>194</v>
      </c>
      <c r="G2519" s="37" t="s">
        <v>354</v>
      </c>
      <c r="H2519" s="37"/>
      <c r="I2519" s="37" t="s">
        <v>355</v>
      </c>
      <c r="J2519" s="37" t="s">
        <v>1844</v>
      </c>
      <c r="K2519" s="45" t="n">
        <v>3.3</v>
      </c>
      <c r="L2519" s="46" t="n">
        <v>234.22</v>
      </c>
    </row>
    <row r="2520" customFormat="false" ht="15" hidden="false" customHeight="false" outlineLevel="0" collapsed="false">
      <c r="A2520" s="37" t="n">
        <v>502641</v>
      </c>
      <c r="B2520" s="37" t="s">
        <v>1842</v>
      </c>
      <c r="C2520" s="37" t="n">
        <v>202609</v>
      </c>
      <c r="D2520" s="37" t="s">
        <v>69</v>
      </c>
      <c r="E2520" s="37" t="s">
        <v>97</v>
      </c>
      <c r="F2520" s="37" t="s">
        <v>194</v>
      </c>
      <c r="G2520" s="37" t="s">
        <v>354</v>
      </c>
      <c r="H2520" s="37"/>
      <c r="I2520" s="37" t="s">
        <v>355</v>
      </c>
      <c r="J2520" s="37" t="s">
        <v>1844</v>
      </c>
      <c r="K2520" s="45" t="n">
        <v>98.5</v>
      </c>
      <c r="L2520" s="46" t="n">
        <v>9061.52</v>
      </c>
    </row>
    <row r="2521" customFormat="false" ht="15" hidden="false" customHeight="false" outlineLevel="0" collapsed="false">
      <c r="A2521" s="37" t="n">
        <v>502648</v>
      </c>
      <c r="B2521" s="37" t="s">
        <v>1842</v>
      </c>
      <c r="C2521" s="37" t="n">
        <v>202609</v>
      </c>
      <c r="D2521" s="37" t="s">
        <v>69</v>
      </c>
      <c r="E2521" s="37" t="s">
        <v>98</v>
      </c>
      <c r="F2521" s="37" t="s">
        <v>196</v>
      </c>
      <c r="G2521" s="37" t="s">
        <v>358</v>
      </c>
      <c r="H2521" s="37" t="s">
        <v>359</v>
      </c>
      <c r="I2521" s="37" t="s">
        <v>360</v>
      </c>
      <c r="J2521" s="37" t="s">
        <v>1848</v>
      </c>
      <c r="K2521" s="45" t="n">
        <v>0</v>
      </c>
      <c r="L2521" s="46" t="n">
        <v>6959.28</v>
      </c>
    </row>
    <row r="2522" customFormat="false" ht="15" hidden="false" customHeight="false" outlineLevel="0" collapsed="false">
      <c r="A2522" s="37" t="n">
        <v>502661</v>
      </c>
      <c r="B2522" s="37" t="s">
        <v>1842</v>
      </c>
      <c r="C2522" s="37" t="n">
        <v>202609</v>
      </c>
      <c r="D2522" s="37" t="s">
        <v>69</v>
      </c>
      <c r="E2522" s="37" t="s">
        <v>101</v>
      </c>
      <c r="F2522" s="37" t="s">
        <v>194</v>
      </c>
      <c r="G2522" s="37" t="s">
        <v>354</v>
      </c>
      <c r="H2522" s="37"/>
      <c r="I2522" s="37" t="s">
        <v>355</v>
      </c>
      <c r="J2522" s="37" t="s">
        <v>1844</v>
      </c>
      <c r="K2522" s="45" t="n">
        <v>411.9</v>
      </c>
      <c r="L2522" s="46" t="n">
        <v>30480.32</v>
      </c>
    </row>
    <row r="2523" customFormat="false" ht="15" hidden="false" customHeight="false" outlineLevel="0" collapsed="false">
      <c r="A2523" s="37" t="n">
        <v>501192</v>
      </c>
      <c r="B2523" s="37" t="s">
        <v>1849</v>
      </c>
      <c r="C2523" s="37" t="n">
        <v>202609</v>
      </c>
      <c r="D2523" s="37" t="s">
        <v>61</v>
      </c>
      <c r="E2523" s="37" t="s">
        <v>98</v>
      </c>
      <c r="F2523" s="37" t="s">
        <v>196</v>
      </c>
      <c r="G2523" s="37" t="s">
        <v>358</v>
      </c>
      <c r="H2523" s="37" t="s">
        <v>359</v>
      </c>
      <c r="I2523" s="37" t="s">
        <v>360</v>
      </c>
      <c r="J2523" s="37" t="s">
        <v>1850</v>
      </c>
      <c r="K2523" s="45" t="n">
        <v>0</v>
      </c>
      <c r="L2523" s="46" t="n">
        <v>1244.99</v>
      </c>
    </row>
    <row r="2524" customFormat="false" ht="15" hidden="false" customHeight="false" outlineLevel="0" collapsed="false">
      <c r="A2524" s="37" t="n">
        <v>500569</v>
      </c>
      <c r="B2524" s="37" t="s">
        <v>1851</v>
      </c>
      <c r="C2524" s="37" t="n">
        <v>202609</v>
      </c>
      <c r="D2524" s="37" t="s">
        <v>59</v>
      </c>
      <c r="E2524" s="37" t="s">
        <v>98</v>
      </c>
      <c r="F2524" s="37" t="s">
        <v>196</v>
      </c>
      <c r="G2524" s="37" t="s">
        <v>358</v>
      </c>
      <c r="H2524" s="37" t="s">
        <v>359</v>
      </c>
      <c r="I2524" s="37" t="s">
        <v>360</v>
      </c>
      <c r="J2524" s="37" t="s">
        <v>1852</v>
      </c>
      <c r="K2524" s="45" t="n">
        <v>0</v>
      </c>
      <c r="L2524" s="46" t="n">
        <v>8853.03</v>
      </c>
    </row>
    <row r="2525" customFormat="false" ht="15" hidden="false" customHeight="false" outlineLevel="0" collapsed="false">
      <c r="A2525" s="37" t="n">
        <v>501781</v>
      </c>
      <c r="B2525" s="37" t="s">
        <v>1851</v>
      </c>
      <c r="C2525" s="37" t="n">
        <v>202609</v>
      </c>
      <c r="D2525" s="37" t="s">
        <v>63</v>
      </c>
      <c r="E2525" s="37" t="s">
        <v>103</v>
      </c>
      <c r="F2525" s="37" t="s">
        <v>205</v>
      </c>
      <c r="G2525" s="37" t="s">
        <v>358</v>
      </c>
      <c r="H2525" s="37" t="s">
        <v>921</v>
      </c>
      <c r="I2525" s="37" t="s">
        <v>728</v>
      </c>
      <c r="J2525" s="37" t="s">
        <v>1853</v>
      </c>
      <c r="K2525" s="45" t="n">
        <v>0</v>
      </c>
      <c r="L2525" s="46" t="n">
        <v>0</v>
      </c>
    </row>
    <row r="2526" customFormat="false" ht="15" hidden="false" customHeight="false" outlineLevel="0" collapsed="false">
      <c r="A2526" s="37" t="n">
        <v>502250</v>
      </c>
      <c r="B2526" s="37" t="s">
        <v>1851</v>
      </c>
      <c r="C2526" s="37" t="n">
        <v>202609</v>
      </c>
      <c r="D2526" s="37" t="s">
        <v>65</v>
      </c>
      <c r="E2526" s="37" t="s">
        <v>108</v>
      </c>
      <c r="F2526" s="37" t="s">
        <v>205</v>
      </c>
      <c r="G2526" s="37" t="s">
        <v>358</v>
      </c>
      <c r="H2526" s="37" t="s">
        <v>1725</v>
      </c>
      <c r="I2526" s="37" t="s">
        <v>1405</v>
      </c>
      <c r="J2526" s="37" t="s">
        <v>1854</v>
      </c>
      <c r="K2526" s="45" t="n">
        <v>0</v>
      </c>
      <c r="L2526" s="46" t="n">
        <v>27747.29</v>
      </c>
    </row>
    <row r="2527" customFormat="false" ht="15" hidden="false" customHeight="false" outlineLevel="0" collapsed="false">
      <c r="A2527" s="37" t="n">
        <v>502517</v>
      </c>
      <c r="B2527" s="37" t="s">
        <v>1851</v>
      </c>
      <c r="C2527" s="37" t="n">
        <v>202609</v>
      </c>
      <c r="D2527" s="37" t="s">
        <v>67</v>
      </c>
      <c r="E2527" s="37" t="s">
        <v>102</v>
      </c>
      <c r="F2527" s="37" t="s">
        <v>205</v>
      </c>
      <c r="G2527" s="37" t="s">
        <v>358</v>
      </c>
      <c r="H2527" s="37" t="s">
        <v>1375</v>
      </c>
      <c r="I2527" s="37" t="s">
        <v>892</v>
      </c>
      <c r="J2527" s="37" t="s">
        <v>1855</v>
      </c>
      <c r="K2527" s="45" t="n">
        <v>0</v>
      </c>
      <c r="L2527" s="46" t="n">
        <v>18676.19</v>
      </c>
    </row>
    <row r="2528" customFormat="false" ht="15" hidden="false" customHeight="false" outlineLevel="0" collapsed="false">
      <c r="A2528" s="37" t="n">
        <v>502618</v>
      </c>
      <c r="B2528" s="37" t="s">
        <v>1851</v>
      </c>
      <c r="C2528" s="37" t="n">
        <v>202609</v>
      </c>
      <c r="D2528" s="37" t="s">
        <v>68</v>
      </c>
      <c r="E2528" s="37" t="s">
        <v>103</v>
      </c>
      <c r="F2528" s="37" t="s">
        <v>205</v>
      </c>
      <c r="G2528" s="37" t="s">
        <v>358</v>
      </c>
      <c r="H2528" s="37" t="s">
        <v>1596</v>
      </c>
      <c r="I2528" s="37" t="s">
        <v>898</v>
      </c>
      <c r="J2528" s="37" t="s">
        <v>1856</v>
      </c>
      <c r="K2528" s="45" t="n">
        <v>0</v>
      </c>
      <c r="L2528" s="46" t="n">
        <v>28847.55</v>
      </c>
    </row>
    <row r="2529" customFormat="false" ht="15" hidden="false" customHeight="false" outlineLevel="0" collapsed="false">
      <c r="A2529" s="37" t="n">
        <v>502386</v>
      </c>
      <c r="B2529" s="37" t="s">
        <v>1857</v>
      </c>
      <c r="C2529" s="37" t="n">
        <v>202609</v>
      </c>
      <c r="D2529" s="37" t="s">
        <v>66</v>
      </c>
      <c r="E2529" s="37" t="s">
        <v>102</v>
      </c>
      <c r="F2529" s="37" t="s">
        <v>205</v>
      </c>
      <c r="G2529" s="37" t="s">
        <v>358</v>
      </c>
      <c r="H2529" s="37" t="s">
        <v>1323</v>
      </c>
      <c r="I2529" s="37" t="s">
        <v>715</v>
      </c>
      <c r="J2529" s="37" t="s">
        <v>1858</v>
      </c>
      <c r="K2529" s="45" t="n">
        <v>0</v>
      </c>
      <c r="L2529" s="46" t="n">
        <v>6426.52</v>
      </c>
    </row>
    <row r="2530" customFormat="false" ht="15" hidden="false" customHeight="false" outlineLevel="0" collapsed="false">
      <c r="A2530" s="37" t="n">
        <v>500998</v>
      </c>
      <c r="B2530" s="37" t="s">
        <v>1859</v>
      </c>
      <c r="C2530" s="37" t="n">
        <v>202609</v>
      </c>
      <c r="D2530" s="37" t="s">
        <v>60</v>
      </c>
      <c r="E2530" s="37" t="s">
        <v>103</v>
      </c>
      <c r="F2530" s="37" t="s">
        <v>205</v>
      </c>
      <c r="G2530" s="37" t="s">
        <v>358</v>
      </c>
      <c r="H2530" s="37" t="s">
        <v>727</v>
      </c>
      <c r="I2530" s="37" t="s">
        <v>728</v>
      </c>
      <c r="J2530" s="37" t="s">
        <v>1860</v>
      </c>
      <c r="K2530" s="45" t="n">
        <v>0</v>
      </c>
      <c r="L2530" s="46" t="n">
        <v>0</v>
      </c>
    </row>
    <row r="2531" customFormat="false" ht="15" hidden="false" customHeight="false" outlineLevel="0" collapsed="false">
      <c r="A2531" s="37" t="n">
        <v>501194</v>
      </c>
      <c r="B2531" s="37" t="s">
        <v>1859</v>
      </c>
      <c r="C2531" s="37" t="n">
        <v>202609</v>
      </c>
      <c r="D2531" s="37" t="s">
        <v>61</v>
      </c>
      <c r="E2531" s="37" t="s">
        <v>98</v>
      </c>
      <c r="F2531" s="37" t="s">
        <v>196</v>
      </c>
      <c r="G2531" s="37" t="s">
        <v>358</v>
      </c>
      <c r="H2531" s="37" t="s">
        <v>359</v>
      </c>
      <c r="I2531" s="37" t="s">
        <v>360</v>
      </c>
      <c r="J2531" s="37" t="s">
        <v>1861</v>
      </c>
      <c r="K2531" s="45" t="n">
        <v>0</v>
      </c>
      <c r="L2531" s="46" t="n">
        <v>2127.3</v>
      </c>
    </row>
    <row r="2532" customFormat="false" ht="15" hidden="false" customHeight="false" outlineLevel="0" collapsed="false">
      <c r="A2532" s="37" t="n">
        <v>502140</v>
      </c>
      <c r="B2532" s="37" t="s">
        <v>1859</v>
      </c>
      <c r="C2532" s="37" t="n">
        <v>202609</v>
      </c>
      <c r="D2532" s="37" t="s">
        <v>65</v>
      </c>
      <c r="E2532" s="37" t="s">
        <v>98</v>
      </c>
      <c r="F2532" s="37" t="s">
        <v>196</v>
      </c>
      <c r="G2532" s="37" t="s">
        <v>358</v>
      </c>
      <c r="H2532" s="37" t="s">
        <v>359</v>
      </c>
      <c r="I2532" s="37" t="s">
        <v>360</v>
      </c>
      <c r="J2532" s="37" t="s">
        <v>1862</v>
      </c>
      <c r="K2532" s="45" t="n">
        <v>0</v>
      </c>
      <c r="L2532" s="46" t="n">
        <v>18369.98</v>
      </c>
    </row>
    <row r="2533" customFormat="false" ht="15" hidden="false" customHeight="false" outlineLevel="0" collapsed="false">
      <c r="A2533" s="37" t="n">
        <v>502324</v>
      </c>
      <c r="B2533" s="37" t="s">
        <v>1859</v>
      </c>
      <c r="C2533" s="37" t="n">
        <v>202609</v>
      </c>
      <c r="D2533" s="37" t="s">
        <v>66</v>
      </c>
      <c r="E2533" s="37" t="s">
        <v>98</v>
      </c>
      <c r="F2533" s="37" t="s">
        <v>196</v>
      </c>
      <c r="G2533" s="37" t="s">
        <v>358</v>
      </c>
      <c r="H2533" s="37" t="s">
        <v>359</v>
      </c>
      <c r="I2533" s="37" t="s">
        <v>360</v>
      </c>
      <c r="J2533" s="37" t="s">
        <v>1863</v>
      </c>
      <c r="K2533" s="45" t="n">
        <v>0</v>
      </c>
      <c r="L2533" s="46" t="n">
        <v>17925.34</v>
      </c>
    </row>
    <row r="2534" customFormat="false" ht="15" hidden="false" customHeight="false" outlineLevel="0" collapsed="false">
      <c r="A2534" s="37" t="n">
        <v>502667</v>
      </c>
      <c r="B2534" s="37" t="s">
        <v>1859</v>
      </c>
      <c r="C2534" s="37" t="n">
        <v>202609</v>
      </c>
      <c r="D2534" s="37" t="s">
        <v>69</v>
      </c>
      <c r="E2534" s="37" t="s">
        <v>102</v>
      </c>
      <c r="F2534" s="37" t="s">
        <v>205</v>
      </c>
      <c r="G2534" s="37" t="s">
        <v>358</v>
      </c>
      <c r="H2534" s="37" t="s">
        <v>1715</v>
      </c>
      <c r="I2534" s="37" t="s">
        <v>715</v>
      </c>
      <c r="J2534" s="37" t="s">
        <v>1864</v>
      </c>
      <c r="K2534" s="45" t="n">
        <v>0</v>
      </c>
      <c r="L2534" s="46" t="n">
        <v>23905.62</v>
      </c>
    </row>
    <row r="2535" customFormat="false" ht="15" hidden="false" customHeight="false" outlineLevel="0" collapsed="false">
      <c r="A2535" s="37" t="n">
        <v>500568</v>
      </c>
      <c r="B2535" s="37" t="s">
        <v>1865</v>
      </c>
      <c r="C2535" s="37" t="n">
        <v>202609</v>
      </c>
      <c r="D2535" s="37" t="s">
        <v>59</v>
      </c>
      <c r="E2535" s="37" t="s">
        <v>98</v>
      </c>
      <c r="F2535" s="37" t="s">
        <v>196</v>
      </c>
      <c r="G2535" s="37" t="s">
        <v>358</v>
      </c>
      <c r="H2535" s="37" t="s">
        <v>359</v>
      </c>
      <c r="I2535" s="37" t="s">
        <v>360</v>
      </c>
      <c r="J2535" s="37" t="s">
        <v>1866</v>
      </c>
      <c r="K2535" s="45" t="n">
        <v>0</v>
      </c>
      <c r="L2535" s="46" t="n">
        <v>11467.59</v>
      </c>
    </row>
    <row r="2536" customFormat="false" ht="15" hidden="false" customHeight="false" outlineLevel="0" collapsed="false">
      <c r="A2536" s="37" t="n">
        <v>500297</v>
      </c>
      <c r="B2536" s="37" t="s">
        <v>1867</v>
      </c>
      <c r="C2536" s="37" t="n">
        <v>202609</v>
      </c>
      <c r="D2536" s="37" t="s">
        <v>58</v>
      </c>
      <c r="E2536" s="37" t="s">
        <v>103</v>
      </c>
      <c r="F2536" s="37" t="s">
        <v>205</v>
      </c>
      <c r="G2536" s="37" t="s">
        <v>358</v>
      </c>
      <c r="H2536" s="37" t="s">
        <v>400</v>
      </c>
      <c r="I2536" s="37" t="s">
        <v>401</v>
      </c>
      <c r="J2536" s="37" t="s">
        <v>1868</v>
      </c>
      <c r="K2536" s="45" t="n">
        <v>0</v>
      </c>
      <c r="L2536" s="46" t="n">
        <v>0.01</v>
      </c>
    </row>
    <row r="2537" customFormat="false" ht="15" hidden="false" customHeight="false" outlineLevel="0" collapsed="false">
      <c r="A2537" s="37" t="n">
        <v>501193</v>
      </c>
      <c r="B2537" s="37" t="s">
        <v>1867</v>
      </c>
      <c r="C2537" s="37" t="n">
        <v>202609</v>
      </c>
      <c r="D2537" s="37" t="s">
        <v>61</v>
      </c>
      <c r="E2537" s="37" t="s">
        <v>98</v>
      </c>
      <c r="F2537" s="37" t="s">
        <v>196</v>
      </c>
      <c r="G2537" s="37" t="s">
        <v>358</v>
      </c>
      <c r="H2537" s="37" t="s">
        <v>359</v>
      </c>
      <c r="I2537" s="37" t="s">
        <v>360</v>
      </c>
      <c r="J2537" s="37" t="s">
        <v>1869</v>
      </c>
      <c r="K2537" s="45" t="n">
        <v>0</v>
      </c>
      <c r="L2537" s="46" t="n">
        <v>2151.05</v>
      </c>
    </row>
    <row r="2538" customFormat="false" ht="15" hidden="false" customHeight="false" outlineLevel="0" collapsed="false">
      <c r="A2538" s="37" t="n">
        <v>502617</v>
      </c>
      <c r="B2538" s="37" t="s">
        <v>1867</v>
      </c>
      <c r="C2538" s="37" t="n">
        <v>202609</v>
      </c>
      <c r="D2538" s="37" t="s">
        <v>68</v>
      </c>
      <c r="E2538" s="37" t="s">
        <v>103</v>
      </c>
      <c r="F2538" s="37" t="s">
        <v>205</v>
      </c>
      <c r="G2538" s="37" t="s">
        <v>358</v>
      </c>
      <c r="H2538" s="37" t="s">
        <v>1596</v>
      </c>
      <c r="I2538" s="37" t="s">
        <v>898</v>
      </c>
      <c r="J2538" s="37" t="s">
        <v>1870</v>
      </c>
      <c r="K2538" s="45" t="n">
        <v>0</v>
      </c>
      <c r="L2538" s="46" t="n">
        <v>42932.22</v>
      </c>
    </row>
    <row r="2539" customFormat="false" ht="15" hidden="false" customHeight="false" outlineLevel="0" collapsed="false">
      <c r="A2539" s="37" t="n">
        <v>502666</v>
      </c>
      <c r="B2539" s="37" t="s">
        <v>1867</v>
      </c>
      <c r="C2539" s="37" t="n">
        <v>202609</v>
      </c>
      <c r="D2539" s="37" t="s">
        <v>69</v>
      </c>
      <c r="E2539" s="37" t="s">
        <v>102</v>
      </c>
      <c r="F2539" s="37" t="s">
        <v>205</v>
      </c>
      <c r="G2539" s="37" t="s">
        <v>358</v>
      </c>
      <c r="H2539" s="37" t="s">
        <v>1715</v>
      </c>
      <c r="I2539" s="37" t="s">
        <v>715</v>
      </c>
      <c r="J2539" s="37" t="s">
        <v>1871</v>
      </c>
      <c r="K2539" s="45" t="n">
        <v>0</v>
      </c>
      <c r="L2539" s="46" t="n">
        <v>34745.01</v>
      </c>
    </row>
    <row r="2540" customFormat="false" ht="15" hidden="false" customHeight="false" outlineLevel="0" collapsed="false">
      <c r="A2540" s="37" t="n">
        <v>500298</v>
      </c>
      <c r="B2540" s="37" t="s">
        <v>1872</v>
      </c>
      <c r="C2540" s="37" t="n">
        <v>202609</v>
      </c>
      <c r="D2540" s="37" t="s">
        <v>58</v>
      </c>
      <c r="E2540" s="37" t="s">
        <v>103</v>
      </c>
      <c r="F2540" s="37" t="s">
        <v>205</v>
      </c>
      <c r="G2540" s="37" t="s">
        <v>358</v>
      </c>
      <c r="H2540" s="37" t="s">
        <v>400</v>
      </c>
      <c r="I2540" s="37" t="s">
        <v>401</v>
      </c>
      <c r="J2540" s="37" t="s">
        <v>1873</v>
      </c>
      <c r="K2540" s="45" t="n">
        <v>0</v>
      </c>
      <c r="L2540" s="46" t="n">
        <v>0</v>
      </c>
    </row>
    <row r="2541" customFormat="false" ht="15" hidden="false" customHeight="false" outlineLevel="0" collapsed="false">
      <c r="A2541" s="37" t="n">
        <v>500528</v>
      </c>
      <c r="B2541" s="37" t="s">
        <v>1872</v>
      </c>
      <c r="C2541" s="37" t="n">
        <v>202609</v>
      </c>
      <c r="D2541" s="37" t="s">
        <v>59</v>
      </c>
      <c r="E2541" s="37" t="s">
        <v>97</v>
      </c>
      <c r="F2541" s="37" t="s">
        <v>194</v>
      </c>
      <c r="G2541" s="37" t="s">
        <v>354</v>
      </c>
      <c r="H2541" s="37"/>
      <c r="I2541" s="37" t="s">
        <v>355</v>
      </c>
      <c r="J2541" s="37" t="s">
        <v>1874</v>
      </c>
      <c r="K2541" s="45" t="n">
        <v>158.4</v>
      </c>
      <c r="L2541" s="46" t="n">
        <v>14572.68</v>
      </c>
    </row>
    <row r="2542" customFormat="false" ht="15" hidden="false" customHeight="false" outlineLevel="0" collapsed="false">
      <c r="A2542" s="37" t="n">
        <v>500730</v>
      </c>
      <c r="B2542" s="37" t="s">
        <v>1872</v>
      </c>
      <c r="C2542" s="37" t="n">
        <v>202609</v>
      </c>
      <c r="D2542" s="37" t="s">
        <v>59</v>
      </c>
      <c r="E2542" s="37" t="s">
        <v>106</v>
      </c>
      <c r="F2542" s="37" t="s">
        <v>194</v>
      </c>
      <c r="G2542" s="37" t="s">
        <v>354</v>
      </c>
      <c r="H2542" s="37"/>
      <c r="I2542" s="37" t="s">
        <v>355</v>
      </c>
      <c r="J2542" s="37" t="s">
        <v>1874</v>
      </c>
      <c r="K2542" s="45" t="n">
        <v>0</v>
      </c>
      <c r="L2542" s="46" t="n">
        <v>0</v>
      </c>
    </row>
    <row r="2543" customFormat="false" ht="15" hidden="false" customHeight="false" outlineLevel="0" collapsed="false">
      <c r="A2543" s="37" t="n">
        <v>500751</v>
      </c>
      <c r="B2543" s="37" t="s">
        <v>1872</v>
      </c>
      <c r="C2543" s="37" t="n">
        <v>202609</v>
      </c>
      <c r="D2543" s="37" t="s">
        <v>59</v>
      </c>
      <c r="E2543" s="37" t="s">
        <v>108</v>
      </c>
      <c r="F2543" s="37" t="s">
        <v>205</v>
      </c>
      <c r="G2543" s="37" t="s">
        <v>358</v>
      </c>
      <c r="H2543" s="37" t="s">
        <v>1385</v>
      </c>
      <c r="I2543" s="37" t="s">
        <v>1386</v>
      </c>
      <c r="J2543" s="37" t="s">
        <v>1875</v>
      </c>
      <c r="K2543" s="45" t="n">
        <v>0</v>
      </c>
      <c r="L2543" s="46" t="n">
        <v>20045.15</v>
      </c>
    </row>
    <row r="2544" customFormat="false" ht="15" hidden="false" customHeight="false" outlineLevel="0" collapsed="false">
      <c r="A2544" s="37" t="n">
        <v>500857</v>
      </c>
      <c r="B2544" s="37" t="s">
        <v>1872</v>
      </c>
      <c r="C2544" s="37" t="n">
        <v>202609</v>
      </c>
      <c r="D2544" s="37" t="s">
        <v>60</v>
      </c>
      <c r="E2544" s="37" t="s">
        <v>97</v>
      </c>
      <c r="F2544" s="37" t="s">
        <v>194</v>
      </c>
      <c r="G2544" s="37" t="s">
        <v>354</v>
      </c>
      <c r="H2544" s="37"/>
      <c r="I2544" s="37" t="s">
        <v>355</v>
      </c>
      <c r="J2544" s="37" t="s">
        <v>1874</v>
      </c>
      <c r="K2544" s="45" t="n">
        <v>127.5</v>
      </c>
      <c r="L2544" s="46" t="n">
        <v>11726.59</v>
      </c>
    </row>
    <row r="2545" customFormat="false" ht="15" hidden="false" customHeight="false" outlineLevel="0" collapsed="false">
      <c r="A2545" s="37" t="n">
        <v>501050</v>
      </c>
      <c r="B2545" s="37" t="s">
        <v>1872</v>
      </c>
      <c r="C2545" s="37" t="n">
        <v>202609</v>
      </c>
      <c r="D2545" s="37" t="s">
        <v>60</v>
      </c>
      <c r="E2545" s="37" t="s">
        <v>106</v>
      </c>
      <c r="F2545" s="37" t="s">
        <v>194</v>
      </c>
      <c r="G2545" s="37" t="s">
        <v>354</v>
      </c>
      <c r="H2545" s="37"/>
      <c r="I2545" s="37" t="s">
        <v>355</v>
      </c>
      <c r="J2545" s="37" t="s">
        <v>1874</v>
      </c>
      <c r="K2545" s="45" t="n">
        <v>104.1</v>
      </c>
      <c r="L2545" s="46" t="n">
        <v>7391.13</v>
      </c>
    </row>
    <row r="2546" customFormat="false" ht="15" hidden="false" customHeight="false" outlineLevel="0" collapsed="false">
      <c r="A2546" s="37" t="n">
        <v>501164</v>
      </c>
      <c r="B2546" s="37" t="s">
        <v>1872</v>
      </c>
      <c r="C2546" s="37" t="n">
        <v>202609</v>
      </c>
      <c r="D2546" s="37" t="s">
        <v>61</v>
      </c>
      <c r="E2546" s="37" t="s">
        <v>97</v>
      </c>
      <c r="F2546" s="37" t="s">
        <v>194</v>
      </c>
      <c r="G2546" s="37" t="s">
        <v>354</v>
      </c>
      <c r="H2546" s="37"/>
      <c r="I2546" s="37" t="s">
        <v>355</v>
      </c>
      <c r="J2546" s="37" t="s">
        <v>1874</v>
      </c>
      <c r="K2546" s="45" t="n">
        <v>70.3</v>
      </c>
      <c r="L2546" s="46" t="n">
        <v>6464.41</v>
      </c>
    </row>
    <row r="2547" customFormat="false" ht="15" hidden="false" customHeight="false" outlineLevel="0" collapsed="false">
      <c r="A2547" s="37" t="n">
        <v>501425</v>
      </c>
      <c r="B2547" s="37" t="s">
        <v>1872</v>
      </c>
      <c r="C2547" s="37" t="n">
        <v>202609</v>
      </c>
      <c r="D2547" s="37" t="s">
        <v>62</v>
      </c>
      <c r="E2547" s="37" t="s">
        <v>97</v>
      </c>
      <c r="F2547" s="37" t="s">
        <v>194</v>
      </c>
      <c r="G2547" s="37" t="s">
        <v>354</v>
      </c>
      <c r="H2547" s="37"/>
      <c r="I2547" s="37" t="s">
        <v>355</v>
      </c>
      <c r="J2547" s="37" t="s">
        <v>1874</v>
      </c>
      <c r="K2547" s="45" t="n">
        <v>432.5</v>
      </c>
      <c r="L2547" s="46" t="n">
        <v>39793.43</v>
      </c>
    </row>
    <row r="2548" customFormat="false" ht="15" hidden="false" customHeight="false" outlineLevel="0" collapsed="false">
      <c r="A2548" s="37" t="n">
        <v>501591</v>
      </c>
      <c r="B2548" s="37" t="s">
        <v>1872</v>
      </c>
      <c r="C2548" s="37" t="n">
        <v>202609</v>
      </c>
      <c r="D2548" s="37" t="s">
        <v>62</v>
      </c>
      <c r="E2548" s="37" t="s">
        <v>106</v>
      </c>
      <c r="F2548" s="37" t="s">
        <v>194</v>
      </c>
      <c r="G2548" s="37" t="s">
        <v>354</v>
      </c>
      <c r="H2548" s="37"/>
      <c r="I2548" s="37" t="s">
        <v>355</v>
      </c>
      <c r="J2548" s="37" t="s">
        <v>1874</v>
      </c>
      <c r="K2548" s="45" t="n">
        <v>549.9</v>
      </c>
      <c r="L2548" s="46" t="n">
        <v>39041.5</v>
      </c>
    </row>
    <row r="2549" customFormat="false" ht="15" hidden="false" customHeight="false" outlineLevel="0" collapsed="false">
      <c r="A2549" s="37" t="n">
        <v>501671</v>
      </c>
      <c r="B2549" s="37" t="s">
        <v>1872</v>
      </c>
      <c r="C2549" s="37" t="n">
        <v>202609</v>
      </c>
      <c r="D2549" s="37" t="s">
        <v>63</v>
      </c>
      <c r="E2549" s="37" t="s">
        <v>97</v>
      </c>
      <c r="F2549" s="37" t="s">
        <v>194</v>
      </c>
      <c r="G2549" s="37" t="s">
        <v>354</v>
      </c>
      <c r="H2549" s="37"/>
      <c r="I2549" s="37" t="s">
        <v>355</v>
      </c>
      <c r="J2549" s="37" t="s">
        <v>1874</v>
      </c>
      <c r="K2549" s="45" t="n">
        <v>159.6</v>
      </c>
      <c r="L2549" s="46" t="n">
        <v>14687.41</v>
      </c>
    </row>
    <row r="2550" customFormat="false" ht="15" hidden="false" customHeight="false" outlineLevel="0" collapsed="false">
      <c r="A2550" s="37" t="n">
        <v>501705</v>
      </c>
      <c r="B2550" s="37" t="s">
        <v>1872</v>
      </c>
      <c r="C2550" s="37" t="n">
        <v>202609</v>
      </c>
      <c r="D2550" s="37" t="s">
        <v>63</v>
      </c>
      <c r="E2550" s="37" t="s">
        <v>98</v>
      </c>
      <c r="F2550" s="37" t="s">
        <v>196</v>
      </c>
      <c r="G2550" s="37" t="s">
        <v>358</v>
      </c>
      <c r="H2550" s="37" t="s">
        <v>359</v>
      </c>
      <c r="I2550" s="37" t="s">
        <v>360</v>
      </c>
      <c r="J2550" s="37" t="s">
        <v>1876</v>
      </c>
      <c r="K2550" s="45" t="n">
        <v>0</v>
      </c>
      <c r="L2550" s="46" t="n">
        <v>6342.41</v>
      </c>
    </row>
    <row r="2551" customFormat="false" ht="15" hidden="false" customHeight="false" outlineLevel="0" collapsed="false">
      <c r="A2551" s="37" t="n">
        <v>501905</v>
      </c>
      <c r="B2551" s="37" t="s">
        <v>1872</v>
      </c>
      <c r="C2551" s="37" t="n">
        <v>202609</v>
      </c>
      <c r="D2551" s="37" t="s">
        <v>64</v>
      </c>
      <c r="E2551" s="37" t="s">
        <v>97</v>
      </c>
      <c r="F2551" s="37" t="s">
        <v>194</v>
      </c>
      <c r="G2551" s="37" t="s">
        <v>354</v>
      </c>
      <c r="H2551" s="37"/>
      <c r="I2551" s="37" t="s">
        <v>355</v>
      </c>
      <c r="J2551" s="37" t="s">
        <v>1874</v>
      </c>
      <c r="K2551" s="45" t="n">
        <v>332</v>
      </c>
      <c r="L2551" s="46" t="n">
        <v>30545.12</v>
      </c>
    </row>
    <row r="2552" customFormat="false" ht="15" hidden="false" customHeight="false" outlineLevel="0" collapsed="false">
      <c r="A2552" s="37" t="n">
        <v>502050</v>
      </c>
      <c r="B2552" s="37" t="s">
        <v>1872</v>
      </c>
      <c r="C2552" s="37" t="n">
        <v>202609</v>
      </c>
      <c r="D2552" s="37" t="s">
        <v>64</v>
      </c>
      <c r="E2552" s="37" t="s">
        <v>106</v>
      </c>
      <c r="F2552" s="37" t="s">
        <v>194</v>
      </c>
      <c r="G2552" s="37" t="s">
        <v>354</v>
      </c>
      <c r="H2552" s="37"/>
      <c r="I2552" s="37" t="s">
        <v>355</v>
      </c>
      <c r="J2552" s="37" t="s">
        <v>1874</v>
      </c>
      <c r="K2552" s="45" t="n">
        <v>262.2</v>
      </c>
      <c r="L2552" s="46" t="n">
        <v>18617.2</v>
      </c>
    </row>
    <row r="2553" customFormat="false" ht="15" hidden="false" customHeight="false" outlineLevel="0" collapsed="false">
      <c r="A2553" s="37" t="n">
        <v>502121</v>
      </c>
      <c r="B2553" s="37" t="s">
        <v>1872</v>
      </c>
      <c r="C2553" s="37" t="n">
        <v>202609</v>
      </c>
      <c r="D2553" s="37" t="s">
        <v>65</v>
      </c>
      <c r="E2553" s="37" t="s">
        <v>97</v>
      </c>
      <c r="F2553" s="37" t="s">
        <v>194</v>
      </c>
      <c r="G2553" s="37" t="s">
        <v>354</v>
      </c>
      <c r="H2553" s="37"/>
      <c r="I2553" s="37" t="s">
        <v>355</v>
      </c>
      <c r="J2553" s="37" t="s">
        <v>1874</v>
      </c>
      <c r="K2553" s="45" t="n">
        <v>350.9</v>
      </c>
      <c r="L2553" s="46" t="n">
        <v>32283.38</v>
      </c>
    </row>
    <row r="2554" customFormat="false" ht="15" hidden="false" customHeight="false" outlineLevel="0" collapsed="false">
      <c r="A2554" s="37" t="n">
        <v>502191</v>
      </c>
      <c r="B2554" s="37" t="s">
        <v>1872</v>
      </c>
      <c r="C2554" s="37" t="n">
        <v>202609</v>
      </c>
      <c r="D2554" s="37" t="s">
        <v>65</v>
      </c>
      <c r="E2554" s="37" t="s">
        <v>101</v>
      </c>
      <c r="F2554" s="37" t="s">
        <v>194</v>
      </c>
      <c r="G2554" s="37" t="s">
        <v>354</v>
      </c>
      <c r="H2554" s="37"/>
      <c r="I2554" s="37" t="s">
        <v>355</v>
      </c>
      <c r="J2554" s="37" t="s">
        <v>1874</v>
      </c>
      <c r="K2554" s="45" t="n">
        <v>0</v>
      </c>
      <c r="L2554" s="46" t="n">
        <v>0</v>
      </c>
    </row>
    <row r="2555" customFormat="false" ht="15" hidden="false" customHeight="false" outlineLevel="0" collapsed="false">
      <c r="A2555" s="37" t="n">
        <v>502242</v>
      </c>
      <c r="B2555" s="37" t="s">
        <v>1872</v>
      </c>
      <c r="C2555" s="37" t="n">
        <v>202609</v>
      </c>
      <c r="D2555" s="37" t="s">
        <v>65</v>
      </c>
      <c r="E2555" s="37" t="s">
        <v>106</v>
      </c>
      <c r="F2555" s="37" t="s">
        <v>194</v>
      </c>
      <c r="G2555" s="37" t="s">
        <v>354</v>
      </c>
      <c r="H2555" s="37"/>
      <c r="I2555" s="37" t="s">
        <v>355</v>
      </c>
      <c r="J2555" s="37" t="s">
        <v>1874</v>
      </c>
      <c r="K2555" s="45" t="n">
        <v>266.3</v>
      </c>
      <c r="L2555" s="46" t="n">
        <v>18906.8</v>
      </c>
    </row>
    <row r="2556" customFormat="false" ht="15" hidden="false" customHeight="false" outlineLevel="0" collapsed="false">
      <c r="A2556" s="37" t="n">
        <v>502304</v>
      </c>
      <c r="B2556" s="37" t="s">
        <v>1872</v>
      </c>
      <c r="C2556" s="37" t="n">
        <v>202609</v>
      </c>
      <c r="D2556" s="37" t="s">
        <v>66</v>
      </c>
      <c r="E2556" s="37" t="s">
        <v>97</v>
      </c>
      <c r="F2556" s="37" t="s">
        <v>194</v>
      </c>
      <c r="G2556" s="37" t="s">
        <v>354</v>
      </c>
      <c r="H2556" s="37"/>
      <c r="I2556" s="37" t="s">
        <v>355</v>
      </c>
      <c r="J2556" s="37" t="s">
        <v>1874</v>
      </c>
      <c r="K2556" s="45" t="n">
        <v>203.8</v>
      </c>
      <c r="L2556" s="46" t="n">
        <v>18747.66</v>
      </c>
    </row>
    <row r="2557" customFormat="false" ht="15" hidden="false" customHeight="false" outlineLevel="0" collapsed="false">
      <c r="A2557" s="37" t="n">
        <v>502369</v>
      </c>
      <c r="B2557" s="37" t="s">
        <v>1872</v>
      </c>
      <c r="C2557" s="37" t="n">
        <v>202609</v>
      </c>
      <c r="D2557" s="37" t="s">
        <v>66</v>
      </c>
      <c r="E2557" s="37" t="s">
        <v>101</v>
      </c>
      <c r="F2557" s="37" t="s">
        <v>194</v>
      </c>
      <c r="G2557" s="37" t="s">
        <v>354</v>
      </c>
      <c r="H2557" s="37"/>
      <c r="I2557" s="37" t="s">
        <v>355</v>
      </c>
      <c r="J2557" s="37" t="s">
        <v>1874</v>
      </c>
      <c r="K2557" s="45" t="n">
        <v>147.7</v>
      </c>
      <c r="L2557" s="46" t="n">
        <v>10930.1</v>
      </c>
    </row>
    <row r="2558" customFormat="false" ht="15" hidden="false" customHeight="false" outlineLevel="0" collapsed="false">
      <c r="A2558" s="37" t="n">
        <v>502411</v>
      </c>
      <c r="B2558" s="37" t="s">
        <v>1872</v>
      </c>
      <c r="C2558" s="37" t="n">
        <v>202609</v>
      </c>
      <c r="D2558" s="37" t="s">
        <v>66</v>
      </c>
      <c r="E2558" s="37" t="s">
        <v>106</v>
      </c>
      <c r="F2558" s="37" t="s">
        <v>194</v>
      </c>
      <c r="G2558" s="37" t="s">
        <v>354</v>
      </c>
      <c r="H2558" s="37"/>
      <c r="I2558" s="37" t="s">
        <v>355</v>
      </c>
      <c r="J2558" s="37" t="s">
        <v>1874</v>
      </c>
      <c r="K2558" s="45" t="n">
        <v>72.5</v>
      </c>
      <c r="L2558" s="46" t="n">
        <v>5149.73</v>
      </c>
    </row>
    <row r="2559" customFormat="false" ht="15" hidden="false" customHeight="false" outlineLevel="0" collapsed="false">
      <c r="A2559" s="37" t="n">
        <v>502447</v>
      </c>
      <c r="B2559" s="37" t="s">
        <v>1872</v>
      </c>
      <c r="C2559" s="37" t="n">
        <v>202609</v>
      </c>
      <c r="D2559" s="37" t="s">
        <v>67</v>
      </c>
      <c r="E2559" s="37" t="s">
        <v>97</v>
      </c>
      <c r="F2559" s="37" t="s">
        <v>194</v>
      </c>
      <c r="G2559" s="37" t="s">
        <v>354</v>
      </c>
      <c r="H2559" s="37"/>
      <c r="I2559" s="37" t="s">
        <v>355</v>
      </c>
      <c r="J2559" s="37" t="s">
        <v>1874</v>
      </c>
      <c r="K2559" s="45" t="n">
        <v>80.9</v>
      </c>
      <c r="L2559" s="46" t="n">
        <v>7441.94</v>
      </c>
    </row>
    <row r="2560" customFormat="false" ht="15" hidden="false" customHeight="false" outlineLevel="0" collapsed="false">
      <c r="A2560" s="37" t="n">
        <v>502501</v>
      </c>
      <c r="B2560" s="37" t="s">
        <v>1872</v>
      </c>
      <c r="C2560" s="37" t="n">
        <v>202609</v>
      </c>
      <c r="D2560" s="37" t="s">
        <v>67</v>
      </c>
      <c r="E2560" s="37" t="s">
        <v>101</v>
      </c>
      <c r="F2560" s="37" t="s">
        <v>194</v>
      </c>
      <c r="G2560" s="37" t="s">
        <v>354</v>
      </c>
      <c r="H2560" s="37"/>
      <c r="I2560" s="37" t="s">
        <v>355</v>
      </c>
      <c r="J2560" s="37" t="s">
        <v>1874</v>
      </c>
      <c r="K2560" s="45" t="n">
        <v>53.9</v>
      </c>
      <c r="L2560" s="46" t="n">
        <v>3986.92</v>
      </c>
    </row>
    <row r="2561" customFormat="false" ht="15" hidden="false" customHeight="false" outlineLevel="0" collapsed="false">
      <c r="A2561" s="37" t="n">
        <v>502535</v>
      </c>
      <c r="B2561" s="37" t="s">
        <v>1872</v>
      </c>
      <c r="C2561" s="37" t="n">
        <v>202609</v>
      </c>
      <c r="D2561" s="37" t="s">
        <v>67</v>
      </c>
      <c r="E2561" s="37" t="s">
        <v>106</v>
      </c>
      <c r="F2561" s="37" t="s">
        <v>194</v>
      </c>
      <c r="G2561" s="37" t="s">
        <v>354</v>
      </c>
      <c r="H2561" s="37"/>
      <c r="I2561" s="37" t="s">
        <v>355</v>
      </c>
      <c r="J2561" s="37" t="s">
        <v>1874</v>
      </c>
      <c r="K2561" s="45" t="n">
        <v>51.9</v>
      </c>
      <c r="L2561" s="46" t="n">
        <v>3682.87</v>
      </c>
    </row>
    <row r="2562" customFormat="false" ht="15" hidden="false" customHeight="false" outlineLevel="0" collapsed="false">
      <c r="A2562" s="37" t="n">
        <v>502563</v>
      </c>
      <c r="B2562" s="37" t="s">
        <v>1872</v>
      </c>
      <c r="C2562" s="37" t="n">
        <v>202609</v>
      </c>
      <c r="D2562" s="37" t="s">
        <v>68</v>
      </c>
      <c r="E2562" s="37" t="s">
        <v>97</v>
      </c>
      <c r="F2562" s="37" t="s">
        <v>194</v>
      </c>
      <c r="G2562" s="37" t="s">
        <v>354</v>
      </c>
      <c r="H2562" s="37"/>
      <c r="I2562" s="37" t="s">
        <v>355</v>
      </c>
      <c r="J2562" s="37" t="s">
        <v>1874</v>
      </c>
      <c r="K2562" s="45" t="n">
        <v>120.3</v>
      </c>
      <c r="L2562" s="46" t="n">
        <v>11069.9</v>
      </c>
    </row>
    <row r="2563" customFormat="false" ht="15" hidden="false" customHeight="false" outlineLevel="0" collapsed="false">
      <c r="A2563" s="37" t="n">
        <v>502600</v>
      </c>
      <c r="B2563" s="37" t="s">
        <v>1872</v>
      </c>
      <c r="C2563" s="37" t="n">
        <v>202609</v>
      </c>
      <c r="D2563" s="37" t="s">
        <v>68</v>
      </c>
      <c r="E2563" s="37" t="s">
        <v>101</v>
      </c>
      <c r="F2563" s="37" t="s">
        <v>194</v>
      </c>
      <c r="G2563" s="37" t="s">
        <v>354</v>
      </c>
      <c r="H2563" s="37"/>
      <c r="I2563" s="37" t="s">
        <v>355</v>
      </c>
      <c r="J2563" s="37" t="s">
        <v>1874</v>
      </c>
      <c r="K2563" s="45" t="n">
        <v>246.9</v>
      </c>
      <c r="L2563" s="46" t="n">
        <v>18273.61</v>
      </c>
    </row>
    <row r="2564" customFormat="false" ht="15" hidden="false" customHeight="false" outlineLevel="0" collapsed="false">
      <c r="A2564" s="37" t="n">
        <v>502625</v>
      </c>
      <c r="B2564" s="37" t="s">
        <v>1872</v>
      </c>
      <c r="C2564" s="37" t="n">
        <v>202609</v>
      </c>
      <c r="D2564" s="37" t="s">
        <v>68</v>
      </c>
      <c r="E2564" s="37" t="s">
        <v>106</v>
      </c>
      <c r="F2564" s="37" t="s">
        <v>194</v>
      </c>
      <c r="G2564" s="37" t="s">
        <v>354</v>
      </c>
      <c r="H2564" s="37"/>
      <c r="I2564" s="37" t="s">
        <v>355</v>
      </c>
      <c r="J2564" s="37" t="s">
        <v>1874</v>
      </c>
      <c r="K2564" s="45" t="n">
        <v>15</v>
      </c>
      <c r="L2564" s="46" t="n">
        <v>1068.39</v>
      </c>
    </row>
    <row r="2565" customFormat="false" ht="15" hidden="false" customHeight="false" outlineLevel="0" collapsed="false">
      <c r="A2565" s="37" t="n">
        <v>502642</v>
      </c>
      <c r="B2565" s="37" t="s">
        <v>1872</v>
      </c>
      <c r="C2565" s="37" t="n">
        <v>202609</v>
      </c>
      <c r="D2565" s="37" t="s">
        <v>69</v>
      </c>
      <c r="E2565" s="37" t="s">
        <v>97</v>
      </c>
      <c r="F2565" s="37" t="s">
        <v>194</v>
      </c>
      <c r="G2565" s="37" t="s">
        <v>354</v>
      </c>
      <c r="H2565" s="37"/>
      <c r="I2565" s="37" t="s">
        <v>355</v>
      </c>
      <c r="J2565" s="37" t="s">
        <v>1874</v>
      </c>
      <c r="K2565" s="45" t="n">
        <v>75.1</v>
      </c>
      <c r="L2565" s="46" t="n">
        <v>6906.14</v>
      </c>
    </row>
    <row r="2566" customFormat="false" ht="15" hidden="false" customHeight="false" outlineLevel="0" collapsed="false">
      <c r="A2566" s="37" t="n">
        <v>502662</v>
      </c>
      <c r="B2566" s="37" t="s">
        <v>1872</v>
      </c>
      <c r="C2566" s="37" t="n">
        <v>202609</v>
      </c>
      <c r="D2566" s="37" t="s">
        <v>69</v>
      </c>
      <c r="E2566" s="37" t="s">
        <v>101</v>
      </c>
      <c r="F2566" s="37" t="s">
        <v>194</v>
      </c>
      <c r="G2566" s="37" t="s">
        <v>354</v>
      </c>
      <c r="H2566" s="37"/>
      <c r="I2566" s="37" t="s">
        <v>355</v>
      </c>
      <c r="J2566" s="37" t="s">
        <v>1874</v>
      </c>
      <c r="K2566" s="45" t="n">
        <v>53.3</v>
      </c>
      <c r="L2566" s="46" t="n">
        <v>3941.92</v>
      </c>
    </row>
    <row r="2567" customFormat="false" ht="15" hidden="false" customHeight="false" outlineLevel="0" collapsed="false">
      <c r="A2567" s="37" t="n">
        <v>501068</v>
      </c>
      <c r="B2567" s="37" t="s">
        <v>1877</v>
      </c>
      <c r="C2567" s="37" t="n">
        <v>202609</v>
      </c>
      <c r="D2567" s="37" t="s">
        <v>60</v>
      </c>
      <c r="E2567" s="37" t="s">
        <v>108</v>
      </c>
      <c r="F2567" s="37" t="s">
        <v>205</v>
      </c>
      <c r="G2567" s="37" t="s">
        <v>358</v>
      </c>
      <c r="H2567" s="37" t="s">
        <v>1488</v>
      </c>
      <c r="I2567" s="37" t="s">
        <v>1489</v>
      </c>
      <c r="J2567" s="37" t="s">
        <v>1878</v>
      </c>
      <c r="K2567" s="45" t="n">
        <v>0</v>
      </c>
      <c r="L2567" s="46" t="n">
        <v>63605.61</v>
      </c>
    </row>
    <row r="2568" customFormat="false" ht="15" hidden="false" customHeight="false" outlineLevel="0" collapsed="false">
      <c r="A2568" s="37" t="n">
        <v>501452</v>
      </c>
      <c r="B2568" s="37" t="s">
        <v>1879</v>
      </c>
      <c r="C2568" s="37" t="n">
        <v>202609</v>
      </c>
      <c r="D2568" s="37" t="s">
        <v>62</v>
      </c>
      <c r="E2568" s="37" t="s">
        <v>98</v>
      </c>
      <c r="F2568" s="37" t="s">
        <v>196</v>
      </c>
      <c r="G2568" s="37" t="s">
        <v>358</v>
      </c>
      <c r="H2568" s="37" t="s">
        <v>359</v>
      </c>
      <c r="I2568" s="37" t="s">
        <v>360</v>
      </c>
      <c r="J2568" s="37" t="s">
        <v>1880</v>
      </c>
      <c r="K2568" s="45" t="n">
        <v>0</v>
      </c>
      <c r="L2568" s="46" t="n">
        <v>35778.24</v>
      </c>
    </row>
    <row r="2569" customFormat="false" ht="15" hidden="false" customHeight="false" outlineLevel="0" collapsed="false">
      <c r="A2569" s="37" t="n">
        <v>502402</v>
      </c>
      <c r="B2569" s="37" t="s">
        <v>1879</v>
      </c>
      <c r="C2569" s="37" t="n">
        <v>202609</v>
      </c>
      <c r="D2569" s="37" t="s">
        <v>66</v>
      </c>
      <c r="E2569" s="37" t="s">
        <v>103</v>
      </c>
      <c r="F2569" s="37" t="s">
        <v>205</v>
      </c>
      <c r="G2569" s="37" t="s">
        <v>358</v>
      </c>
      <c r="H2569" s="37" t="s">
        <v>1296</v>
      </c>
      <c r="I2569" s="37" t="s">
        <v>1297</v>
      </c>
      <c r="J2569" s="37" t="s">
        <v>1881</v>
      </c>
      <c r="K2569" s="45" t="n">
        <v>0</v>
      </c>
      <c r="L2569" s="46" t="n">
        <v>22505.93</v>
      </c>
    </row>
    <row r="2570" customFormat="false" ht="15" hidden="false" customHeight="false" outlineLevel="0" collapsed="false">
      <c r="A2570" s="37" t="n">
        <v>500656</v>
      </c>
      <c r="B2570" s="37" t="s">
        <v>1882</v>
      </c>
      <c r="C2570" s="37" t="n">
        <v>202609</v>
      </c>
      <c r="D2570" s="37" t="s">
        <v>59</v>
      </c>
      <c r="E2570" s="37" t="s">
        <v>102</v>
      </c>
      <c r="F2570" s="37" t="s">
        <v>205</v>
      </c>
      <c r="G2570" s="37" t="s">
        <v>358</v>
      </c>
      <c r="H2570" s="37" t="s">
        <v>591</v>
      </c>
      <c r="I2570" s="37" t="s">
        <v>592</v>
      </c>
      <c r="J2570" s="37" t="s">
        <v>1883</v>
      </c>
      <c r="K2570" s="45" t="n">
        <v>0</v>
      </c>
      <c r="L2570" s="46" t="n">
        <v>0</v>
      </c>
    </row>
    <row r="2571" customFormat="false" ht="15" hidden="false" customHeight="false" outlineLevel="0" collapsed="false">
      <c r="A2571" s="37" t="n">
        <v>501337</v>
      </c>
      <c r="B2571" s="37" t="s">
        <v>1882</v>
      </c>
      <c r="C2571" s="37" t="n">
        <v>202609</v>
      </c>
      <c r="D2571" s="37" t="s">
        <v>61</v>
      </c>
      <c r="E2571" s="37" t="s">
        <v>108</v>
      </c>
      <c r="F2571" s="37" t="s">
        <v>205</v>
      </c>
      <c r="G2571" s="37" t="s">
        <v>358</v>
      </c>
      <c r="H2571" s="37" t="s">
        <v>1404</v>
      </c>
      <c r="I2571" s="37" t="s">
        <v>1405</v>
      </c>
      <c r="J2571" s="37" t="s">
        <v>1884</v>
      </c>
      <c r="K2571" s="45" t="n">
        <v>0</v>
      </c>
      <c r="L2571" s="46" t="n">
        <v>5447.67</v>
      </c>
    </row>
    <row r="2572" customFormat="false" ht="15" hidden="false" customHeight="false" outlineLevel="0" collapsed="false">
      <c r="A2572" s="37" t="n">
        <v>501780</v>
      </c>
      <c r="B2572" s="37" t="s">
        <v>1882</v>
      </c>
      <c r="C2572" s="37" t="n">
        <v>202609</v>
      </c>
      <c r="D2572" s="37" t="s">
        <v>63</v>
      </c>
      <c r="E2572" s="37" t="s">
        <v>103</v>
      </c>
      <c r="F2572" s="37" t="s">
        <v>205</v>
      </c>
      <c r="G2572" s="37" t="s">
        <v>358</v>
      </c>
      <c r="H2572" s="37" t="s">
        <v>921</v>
      </c>
      <c r="I2572" s="37" t="s">
        <v>728</v>
      </c>
      <c r="J2572" s="37" t="s">
        <v>1885</v>
      </c>
      <c r="K2572" s="45" t="n">
        <v>0</v>
      </c>
      <c r="L2572" s="46" t="n">
        <v>0.01</v>
      </c>
    </row>
    <row r="2573" customFormat="false" ht="15" hidden="false" customHeight="false" outlineLevel="0" collapsed="false">
      <c r="A2573" s="37" t="n">
        <v>501832</v>
      </c>
      <c r="B2573" s="37" t="s">
        <v>1882</v>
      </c>
      <c r="C2573" s="37" t="n">
        <v>202609</v>
      </c>
      <c r="D2573" s="37" t="s">
        <v>63</v>
      </c>
      <c r="E2573" s="37" t="s">
        <v>108</v>
      </c>
      <c r="F2573" s="37" t="s">
        <v>205</v>
      </c>
      <c r="G2573" s="37" t="s">
        <v>358</v>
      </c>
      <c r="H2573" s="37" t="s">
        <v>1542</v>
      </c>
      <c r="I2573" s="37" t="s">
        <v>1489</v>
      </c>
      <c r="J2573" s="37" t="s">
        <v>1886</v>
      </c>
      <c r="K2573" s="45" t="n">
        <v>0</v>
      </c>
      <c r="L2573" s="46" t="n">
        <v>31863.27</v>
      </c>
    </row>
    <row r="2574" customFormat="false" ht="15" hidden="false" customHeight="false" outlineLevel="0" collapsed="false">
      <c r="A2574" s="37" t="n">
        <v>500655</v>
      </c>
      <c r="B2574" s="37" t="s">
        <v>1887</v>
      </c>
      <c r="C2574" s="37" t="n">
        <v>202609</v>
      </c>
      <c r="D2574" s="37" t="s">
        <v>59</v>
      </c>
      <c r="E2574" s="37" t="s">
        <v>102</v>
      </c>
      <c r="F2574" s="37" t="s">
        <v>205</v>
      </c>
      <c r="G2574" s="37" t="s">
        <v>358</v>
      </c>
      <c r="H2574" s="37" t="s">
        <v>591</v>
      </c>
      <c r="I2574" s="37" t="s">
        <v>592</v>
      </c>
      <c r="J2574" s="37" t="s">
        <v>1888</v>
      </c>
      <c r="K2574" s="45" t="n">
        <v>0</v>
      </c>
      <c r="L2574" s="46" t="n">
        <v>0.01</v>
      </c>
    </row>
    <row r="2575" customFormat="false" ht="15" hidden="false" customHeight="false" outlineLevel="0" collapsed="false">
      <c r="A2575" s="37" t="n">
        <v>501069</v>
      </c>
      <c r="B2575" s="37" t="s">
        <v>1887</v>
      </c>
      <c r="C2575" s="37" t="n">
        <v>202609</v>
      </c>
      <c r="D2575" s="37" t="s">
        <v>60</v>
      </c>
      <c r="E2575" s="37" t="s">
        <v>108</v>
      </c>
      <c r="F2575" s="37" t="s">
        <v>205</v>
      </c>
      <c r="G2575" s="37" t="s">
        <v>358</v>
      </c>
      <c r="H2575" s="37" t="s">
        <v>1488</v>
      </c>
      <c r="I2575" s="37" t="s">
        <v>1489</v>
      </c>
      <c r="J2575" s="37" t="s">
        <v>1889</v>
      </c>
      <c r="K2575" s="45" t="n">
        <v>0</v>
      </c>
      <c r="L2575" s="46" t="n">
        <v>34495.33</v>
      </c>
    </row>
    <row r="2576" customFormat="false" ht="15" hidden="false" customHeight="false" outlineLevel="0" collapsed="false">
      <c r="A2576" s="37" t="n">
        <v>502516</v>
      </c>
      <c r="B2576" s="37" t="s">
        <v>1887</v>
      </c>
      <c r="C2576" s="37" t="n">
        <v>202609</v>
      </c>
      <c r="D2576" s="37" t="s">
        <v>67</v>
      </c>
      <c r="E2576" s="37" t="s">
        <v>102</v>
      </c>
      <c r="F2576" s="37" t="s">
        <v>205</v>
      </c>
      <c r="G2576" s="37" t="s">
        <v>358</v>
      </c>
      <c r="H2576" s="37" t="s">
        <v>1375</v>
      </c>
      <c r="I2576" s="37" t="s">
        <v>892</v>
      </c>
      <c r="J2576" s="37" t="s">
        <v>1890</v>
      </c>
      <c r="K2576" s="45" t="n">
        <v>0</v>
      </c>
      <c r="L2576" s="46" t="n">
        <v>12688.38</v>
      </c>
    </row>
    <row r="2577" customFormat="false" ht="15" hidden="false" customHeight="false" outlineLevel="0" collapsed="false">
      <c r="A2577" s="37" t="n">
        <v>500973</v>
      </c>
      <c r="B2577" s="37" t="s">
        <v>1891</v>
      </c>
      <c r="C2577" s="37" t="n">
        <v>202609</v>
      </c>
      <c r="D2577" s="37" t="s">
        <v>60</v>
      </c>
      <c r="E2577" s="37" t="s">
        <v>102</v>
      </c>
      <c r="F2577" s="37" t="s">
        <v>205</v>
      </c>
      <c r="G2577" s="37" t="s">
        <v>358</v>
      </c>
      <c r="H2577" s="37" t="s">
        <v>670</v>
      </c>
      <c r="I2577" s="37" t="s">
        <v>671</v>
      </c>
      <c r="J2577" s="37" t="s">
        <v>1892</v>
      </c>
      <c r="K2577" s="45" t="n">
        <v>0</v>
      </c>
      <c r="L2577" s="46" t="n">
        <v>0</v>
      </c>
    </row>
    <row r="2578" customFormat="false" ht="15" hidden="false" customHeight="false" outlineLevel="0" collapsed="false">
      <c r="A2578" s="37" t="n">
        <v>500997</v>
      </c>
      <c r="B2578" s="37" t="s">
        <v>1891</v>
      </c>
      <c r="C2578" s="37" t="n">
        <v>202609</v>
      </c>
      <c r="D2578" s="37" t="s">
        <v>60</v>
      </c>
      <c r="E2578" s="37" t="s">
        <v>103</v>
      </c>
      <c r="F2578" s="37" t="s">
        <v>205</v>
      </c>
      <c r="G2578" s="37" t="s">
        <v>358</v>
      </c>
      <c r="H2578" s="37" t="s">
        <v>727</v>
      </c>
      <c r="I2578" s="37" t="s">
        <v>728</v>
      </c>
      <c r="J2578" s="37" t="s">
        <v>1893</v>
      </c>
      <c r="K2578" s="45" t="n">
        <v>0</v>
      </c>
      <c r="L2578" s="46" t="n">
        <v>0.01</v>
      </c>
    </row>
    <row r="2579" customFormat="false" ht="15" hidden="false" customHeight="false" outlineLevel="0" collapsed="false">
      <c r="A2579" s="37" t="n">
        <v>501763</v>
      </c>
      <c r="B2579" s="37" t="s">
        <v>1894</v>
      </c>
      <c r="C2579" s="37" t="n">
        <v>202609</v>
      </c>
      <c r="D2579" s="37" t="s">
        <v>63</v>
      </c>
      <c r="E2579" s="37" t="s">
        <v>102</v>
      </c>
      <c r="F2579" s="37" t="s">
        <v>205</v>
      </c>
      <c r="G2579" s="37" t="s">
        <v>358</v>
      </c>
      <c r="H2579" s="37" t="s">
        <v>891</v>
      </c>
      <c r="I2579" s="37" t="s">
        <v>892</v>
      </c>
      <c r="J2579" s="37" t="s">
        <v>1895</v>
      </c>
      <c r="K2579" s="45" t="n">
        <v>0</v>
      </c>
      <c r="L2579" s="46" t="n">
        <v>0</v>
      </c>
    </row>
    <row r="2580" customFormat="false" ht="15" hidden="false" customHeight="false" outlineLevel="0" collapsed="false">
      <c r="A2580" s="37" t="n">
        <v>502142</v>
      </c>
      <c r="B2580" s="37" t="s">
        <v>1894</v>
      </c>
      <c r="C2580" s="37" t="n">
        <v>202609</v>
      </c>
      <c r="D2580" s="37" t="s">
        <v>65</v>
      </c>
      <c r="E2580" s="37" t="s">
        <v>98</v>
      </c>
      <c r="F2580" s="37" t="s">
        <v>196</v>
      </c>
      <c r="G2580" s="37" t="s">
        <v>358</v>
      </c>
      <c r="H2580" s="37" t="s">
        <v>359</v>
      </c>
      <c r="I2580" s="37" t="s">
        <v>360</v>
      </c>
      <c r="J2580" s="37" t="s">
        <v>1896</v>
      </c>
      <c r="K2580" s="45" t="n">
        <v>0</v>
      </c>
      <c r="L2580" s="46" t="n">
        <v>5702.02</v>
      </c>
    </row>
    <row r="2581" customFormat="false" ht="15" hidden="false" customHeight="false" outlineLevel="0" collapsed="false">
      <c r="A2581" s="37" t="n">
        <v>502388</v>
      </c>
      <c r="B2581" s="37" t="s">
        <v>1894</v>
      </c>
      <c r="C2581" s="37" t="n">
        <v>202609</v>
      </c>
      <c r="D2581" s="37" t="s">
        <v>66</v>
      </c>
      <c r="E2581" s="37" t="s">
        <v>102</v>
      </c>
      <c r="F2581" s="37" t="s">
        <v>205</v>
      </c>
      <c r="G2581" s="37" t="s">
        <v>358</v>
      </c>
      <c r="H2581" s="37" t="s">
        <v>1323</v>
      </c>
      <c r="I2581" s="37" t="s">
        <v>715</v>
      </c>
      <c r="J2581" s="37" t="s">
        <v>1897</v>
      </c>
      <c r="K2581" s="45" t="n">
        <v>0</v>
      </c>
      <c r="L2581" s="46" t="n">
        <v>2458.94</v>
      </c>
    </row>
    <row r="2582" customFormat="false" ht="15" hidden="false" customHeight="false" outlineLevel="0" collapsed="false">
      <c r="A2582" s="37" t="n">
        <v>500204</v>
      </c>
      <c r="B2582" s="37" t="s">
        <v>1898</v>
      </c>
      <c r="C2582" s="37" t="n">
        <v>202609</v>
      </c>
      <c r="D2582" s="37" t="s">
        <v>58</v>
      </c>
      <c r="E2582" s="37" t="s">
        <v>100</v>
      </c>
      <c r="F2582" s="37" t="s">
        <v>201</v>
      </c>
      <c r="G2582" s="37" t="s">
        <v>358</v>
      </c>
      <c r="H2582" s="37" t="s">
        <v>369</v>
      </c>
      <c r="I2582" s="37" t="s">
        <v>370</v>
      </c>
      <c r="J2582" s="37" t="s">
        <v>1899</v>
      </c>
      <c r="K2582" s="45" t="n">
        <v>0</v>
      </c>
      <c r="L2582" s="46" t="n">
        <v>0.02</v>
      </c>
    </row>
    <row r="2583" customFormat="false" ht="15" hidden="false" customHeight="false" outlineLevel="0" collapsed="false">
      <c r="A2583" s="37" t="n">
        <v>500308</v>
      </c>
      <c r="B2583" s="37" t="s">
        <v>1898</v>
      </c>
      <c r="C2583" s="37" t="n">
        <v>202609</v>
      </c>
      <c r="D2583" s="37" t="s">
        <v>58</v>
      </c>
      <c r="E2583" s="37" t="s">
        <v>104</v>
      </c>
      <c r="F2583" s="37" t="s">
        <v>201</v>
      </c>
      <c r="G2583" s="37" t="s">
        <v>358</v>
      </c>
      <c r="H2583" s="37" t="s">
        <v>578</v>
      </c>
      <c r="I2583" s="37" t="s">
        <v>579</v>
      </c>
      <c r="J2583" s="37" t="s">
        <v>1899</v>
      </c>
      <c r="K2583" s="45" t="n">
        <v>0</v>
      </c>
      <c r="L2583" s="46" t="n">
        <v>0.01</v>
      </c>
    </row>
    <row r="2584" customFormat="false" ht="15" hidden="false" customHeight="false" outlineLevel="0" collapsed="false">
      <c r="A2584" s="37" t="n">
        <v>500377</v>
      </c>
      <c r="B2584" s="37" t="s">
        <v>1898</v>
      </c>
      <c r="C2584" s="37" t="n">
        <v>202609</v>
      </c>
      <c r="D2584" s="37" t="s">
        <v>58</v>
      </c>
      <c r="E2584" s="37" t="s">
        <v>107</v>
      </c>
      <c r="F2584" s="37" t="s">
        <v>201</v>
      </c>
      <c r="G2584" s="37" t="s">
        <v>358</v>
      </c>
      <c r="H2584" s="37" t="s">
        <v>684</v>
      </c>
      <c r="I2584" s="37" t="s">
        <v>685</v>
      </c>
      <c r="J2584" s="37" t="s">
        <v>1899</v>
      </c>
      <c r="K2584" s="45" t="n">
        <v>0</v>
      </c>
      <c r="L2584" s="46" t="n">
        <v>0.01</v>
      </c>
    </row>
    <row r="2585" customFormat="false" ht="15" hidden="false" customHeight="false" outlineLevel="0" collapsed="false">
      <c r="A2585" s="37" t="n">
        <v>500529</v>
      </c>
      <c r="B2585" s="37" t="s">
        <v>1898</v>
      </c>
      <c r="C2585" s="37" t="n">
        <v>202609</v>
      </c>
      <c r="D2585" s="37" t="s">
        <v>59</v>
      </c>
      <c r="E2585" s="37" t="s">
        <v>97</v>
      </c>
      <c r="F2585" s="37" t="s">
        <v>194</v>
      </c>
      <c r="G2585" s="37" t="s">
        <v>354</v>
      </c>
      <c r="H2585" s="37"/>
      <c r="I2585" s="37" t="s">
        <v>355</v>
      </c>
      <c r="J2585" s="37" t="s">
        <v>1900</v>
      </c>
      <c r="K2585" s="45" t="n">
        <v>95.5</v>
      </c>
      <c r="L2585" s="46" t="n">
        <v>8784.36</v>
      </c>
    </row>
    <row r="2586" customFormat="false" ht="15" hidden="false" customHeight="false" outlineLevel="0" collapsed="false">
      <c r="A2586" s="37" t="n">
        <v>500595</v>
      </c>
      <c r="B2586" s="37" t="s">
        <v>1898</v>
      </c>
      <c r="C2586" s="37" t="n">
        <v>202609</v>
      </c>
      <c r="D2586" s="37" t="s">
        <v>59</v>
      </c>
      <c r="E2586" s="37" t="s">
        <v>100</v>
      </c>
      <c r="F2586" s="37" t="s">
        <v>201</v>
      </c>
      <c r="G2586" s="37" t="s">
        <v>358</v>
      </c>
      <c r="H2586" s="37" t="s">
        <v>581</v>
      </c>
      <c r="I2586" s="37" t="s">
        <v>370</v>
      </c>
      <c r="J2586" s="37" t="s">
        <v>1899</v>
      </c>
      <c r="K2586" s="45" t="n">
        <v>0</v>
      </c>
      <c r="L2586" s="46" t="n">
        <v>0.01</v>
      </c>
    </row>
    <row r="2587" customFormat="false" ht="15" hidden="false" customHeight="false" outlineLevel="0" collapsed="false">
      <c r="A2587" s="37" t="n">
        <v>500731</v>
      </c>
      <c r="B2587" s="37" t="s">
        <v>1898</v>
      </c>
      <c r="C2587" s="37" t="n">
        <v>202609</v>
      </c>
      <c r="D2587" s="37" t="s">
        <v>59</v>
      </c>
      <c r="E2587" s="37" t="s">
        <v>106</v>
      </c>
      <c r="F2587" s="37" t="s">
        <v>194</v>
      </c>
      <c r="G2587" s="37" t="s">
        <v>354</v>
      </c>
      <c r="H2587" s="37"/>
      <c r="I2587" s="37" t="s">
        <v>355</v>
      </c>
      <c r="J2587" s="37" t="s">
        <v>1900</v>
      </c>
      <c r="K2587" s="45" t="n">
        <v>0</v>
      </c>
      <c r="L2587" s="46" t="n">
        <v>0</v>
      </c>
    </row>
    <row r="2588" customFormat="false" ht="15" hidden="false" customHeight="false" outlineLevel="0" collapsed="false">
      <c r="A2588" s="37" t="n">
        <v>500758</v>
      </c>
      <c r="B2588" s="37" t="s">
        <v>1898</v>
      </c>
      <c r="C2588" s="37" t="n">
        <v>202609</v>
      </c>
      <c r="D2588" s="37" t="s">
        <v>59</v>
      </c>
      <c r="E2588" s="37" t="s">
        <v>109</v>
      </c>
      <c r="F2588" s="37" t="s">
        <v>201</v>
      </c>
      <c r="G2588" s="37" t="s">
        <v>358</v>
      </c>
      <c r="H2588" s="37" t="s">
        <v>1433</v>
      </c>
      <c r="I2588" s="37" t="s">
        <v>929</v>
      </c>
      <c r="J2588" s="37" t="s">
        <v>1899</v>
      </c>
      <c r="K2588" s="45" t="n">
        <v>0</v>
      </c>
      <c r="L2588" s="46" t="n">
        <v>114475.43</v>
      </c>
    </row>
    <row r="2589" customFormat="false" ht="15" hidden="false" customHeight="false" outlineLevel="0" collapsed="false">
      <c r="A2589" s="37" t="n">
        <v>500771</v>
      </c>
      <c r="B2589" s="37" t="s">
        <v>1898</v>
      </c>
      <c r="C2589" s="37" t="n">
        <v>202609</v>
      </c>
      <c r="D2589" s="37" t="s">
        <v>59</v>
      </c>
      <c r="E2589" s="37" t="s">
        <v>110</v>
      </c>
      <c r="F2589" s="37" t="s">
        <v>201</v>
      </c>
      <c r="G2589" s="37" t="s">
        <v>358</v>
      </c>
      <c r="H2589" s="37" t="s">
        <v>849</v>
      </c>
      <c r="I2589" s="37" t="s">
        <v>850</v>
      </c>
      <c r="J2589" s="37" t="s">
        <v>1899</v>
      </c>
      <c r="K2589" s="45" t="n">
        <v>0</v>
      </c>
      <c r="L2589" s="46" t="n">
        <v>118949.22</v>
      </c>
    </row>
    <row r="2590" customFormat="false" ht="15" hidden="false" customHeight="false" outlineLevel="0" collapsed="false">
      <c r="A2590" s="37" t="n">
        <v>500784</v>
      </c>
      <c r="B2590" s="37" t="s">
        <v>1898</v>
      </c>
      <c r="C2590" s="37" t="n">
        <v>202609</v>
      </c>
      <c r="D2590" s="37" t="s">
        <v>59</v>
      </c>
      <c r="E2590" s="37" t="s">
        <v>111</v>
      </c>
      <c r="F2590" s="37" t="s">
        <v>201</v>
      </c>
      <c r="G2590" s="37" t="s">
        <v>358</v>
      </c>
      <c r="H2590" s="37" t="s">
        <v>851</v>
      </c>
      <c r="I2590" s="37" t="s">
        <v>852</v>
      </c>
      <c r="J2590" s="37" t="s">
        <v>1899</v>
      </c>
      <c r="K2590" s="45" t="n">
        <v>0</v>
      </c>
      <c r="L2590" s="46" t="n">
        <v>133731.5</v>
      </c>
    </row>
    <row r="2591" customFormat="false" ht="15" hidden="false" customHeight="false" outlineLevel="0" collapsed="false">
      <c r="A2591" s="37" t="n">
        <v>500858</v>
      </c>
      <c r="B2591" s="37" t="s">
        <v>1898</v>
      </c>
      <c r="C2591" s="37" t="n">
        <v>202609</v>
      </c>
      <c r="D2591" s="37" t="s">
        <v>60</v>
      </c>
      <c r="E2591" s="37" t="s">
        <v>97</v>
      </c>
      <c r="F2591" s="37" t="s">
        <v>194</v>
      </c>
      <c r="G2591" s="37" t="s">
        <v>354</v>
      </c>
      <c r="H2591" s="37"/>
      <c r="I2591" s="37" t="s">
        <v>355</v>
      </c>
      <c r="J2591" s="37" t="s">
        <v>1900</v>
      </c>
      <c r="K2591" s="45" t="n">
        <v>183.4</v>
      </c>
      <c r="L2591" s="46" t="n">
        <v>16871.33</v>
      </c>
    </row>
    <row r="2592" customFormat="false" ht="15" hidden="false" customHeight="false" outlineLevel="0" collapsed="false">
      <c r="A2592" s="37" t="n">
        <v>500917</v>
      </c>
      <c r="B2592" s="37" t="s">
        <v>1898</v>
      </c>
      <c r="C2592" s="37" t="n">
        <v>202609</v>
      </c>
      <c r="D2592" s="37" t="s">
        <v>60</v>
      </c>
      <c r="E2592" s="37" t="s">
        <v>100</v>
      </c>
      <c r="F2592" s="37" t="s">
        <v>201</v>
      </c>
      <c r="G2592" s="37" t="s">
        <v>358</v>
      </c>
      <c r="H2592" s="37" t="s">
        <v>645</v>
      </c>
      <c r="I2592" s="37" t="s">
        <v>646</v>
      </c>
      <c r="J2592" s="37" t="s">
        <v>1899</v>
      </c>
      <c r="K2592" s="45" t="n">
        <v>0</v>
      </c>
      <c r="L2592" s="46" t="n">
        <v>0.01</v>
      </c>
    </row>
    <row r="2593" customFormat="false" ht="15" hidden="false" customHeight="false" outlineLevel="0" collapsed="false">
      <c r="A2593" s="37" t="n">
        <v>501051</v>
      </c>
      <c r="B2593" s="37" t="s">
        <v>1898</v>
      </c>
      <c r="C2593" s="37" t="n">
        <v>202609</v>
      </c>
      <c r="D2593" s="37" t="s">
        <v>60</v>
      </c>
      <c r="E2593" s="37" t="s">
        <v>106</v>
      </c>
      <c r="F2593" s="37" t="s">
        <v>194</v>
      </c>
      <c r="G2593" s="37" t="s">
        <v>354</v>
      </c>
      <c r="H2593" s="37"/>
      <c r="I2593" s="37" t="s">
        <v>355</v>
      </c>
      <c r="J2593" s="37" t="s">
        <v>1900</v>
      </c>
      <c r="K2593" s="45" t="n">
        <v>57.1</v>
      </c>
      <c r="L2593" s="46" t="n">
        <v>4054.87</v>
      </c>
    </row>
    <row r="2594" customFormat="false" ht="15" hidden="false" customHeight="false" outlineLevel="0" collapsed="false">
      <c r="A2594" s="37" t="n">
        <v>501058</v>
      </c>
      <c r="B2594" s="37" t="s">
        <v>1898</v>
      </c>
      <c r="C2594" s="37" t="n">
        <v>202609</v>
      </c>
      <c r="D2594" s="37" t="s">
        <v>60</v>
      </c>
      <c r="E2594" s="37" t="s">
        <v>107</v>
      </c>
      <c r="F2594" s="37" t="s">
        <v>201</v>
      </c>
      <c r="G2594" s="37" t="s">
        <v>358</v>
      </c>
      <c r="H2594" s="37" t="s">
        <v>1253</v>
      </c>
      <c r="I2594" s="37" t="s">
        <v>1254</v>
      </c>
      <c r="J2594" s="37" t="s">
        <v>1899</v>
      </c>
      <c r="K2594" s="45" t="n">
        <v>0</v>
      </c>
      <c r="L2594" s="46" t="n">
        <v>0.01</v>
      </c>
    </row>
    <row r="2595" customFormat="false" ht="15" hidden="false" customHeight="false" outlineLevel="0" collapsed="false">
      <c r="A2595" s="37" t="n">
        <v>501074</v>
      </c>
      <c r="B2595" s="37" t="s">
        <v>1898</v>
      </c>
      <c r="C2595" s="37" t="n">
        <v>202609</v>
      </c>
      <c r="D2595" s="37" t="s">
        <v>60</v>
      </c>
      <c r="E2595" s="37" t="s">
        <v>109</v>
      </c>
      <c r="F2595" s="37" t="s">
        <v>201</v>
      </c>
      <c r="G2595" s="37" t="s">
        <v>358</v>
      </c>
      <c r="H2595" s="37" t="s">
        <v>1527</v>
      </c>
      <c r="I2595" s="37" t="s">
        <v>1436</v>
      </c>
      <c r="J2595" s="37" t="s">
        <v>1899</v>
      </c>
      <c r="K2595" s="45" t="n">
        <v>0</v>
      </c>
      <c r="L2595" s="46" t="n">
        <v>394688.63</v>
      </c>
    </row>
    <row r="2596" customFormat="false" ht="15" hidden="false" customHeight="false" outlineLevel="0" collapsed="false">
      <c r="A2596" s="37" t="n">
        <v>501085</v>
      </c>
      <c r="B2596" s="37" t="s">
        <v>1898</v>
      </c>
      <c r="C2596" s="37" t="n">
        <v>202609</v>
      </c>
      <c r="D2596" s="37" t="s">
        <v>60</v>
      </c>
      <c r="E2596" s="37" t="s">
        <v>110</v>
      </c>
      <c r="F2596" s="37" t="s">
        <v>201</v>
      </c>
      <c r="G2596" s="37" t="s">
        <v>358</v>
      </c>
      <c r="H2596" s="37" t="s">
        <v>1010</v>
      </c>
      <c r="I2596" s="37" t="s">
        <v>548</v>
      </c>
      <c r="J2596" s="37" t="s">
        <v>1899</v>
      </c>
      <c r="K2596" s="45" t="n">
        <v>0</v>
      </c>
      <c r="L2596" s="46" t="n">
        <v>147833.17</v>
      </c>
    </row>
    <row r="2597" customFormat="false" ht="15" hidden="false" customHeight="false" outlineLevel="0" collapsed="false">
      <c r="A2597" s="37" t="n">
        <v>501096</v>
      </c>
      <c r="B2597" s="37" t="s">
        <v>1898</v>
      </c>
      <c r="C2597" s="37" t="n">
        <v>202609</v>
      </c>
      <c r="D2597" s="37" t="s">
        <v>60</v>
      </c>
      <c r="E2597" s="37" t="s">
        <v>111</v>
      </c>
      <c r="F2597" s="37" t="s">
        <v>201</v>
      </c>
      <c r="G2597" s="37" t="s">
        <v>358</v>
      </c>
      <c r="H2597" s="37" t="s">
        <v>1011</v>
      </c>
      <c r="I2597" s="37" t="s">
        <v>1012</v>
      </c>
      <c r="J2597" s="37" t="s">
        <v>1899</v>
      </c>
      <c r="K2597" s="45" t="n">
        <v>0</v>
      </c>
      <c r="L2597" s="46" t="n">
        <v>127494.37</v>
      </c>
    </row>
    <row r="2598" customFormat="false" ht="15" hidden="false" customHeight="false" outlineLevel="0" collapsed="false">
      <c r="A2598" s="37" t="n">
        <v>501165</v>
      </c>
      <c r="B2598" s="37" t="s">
        <v>1898</v>
      </c>
      <c r="C2598" s="37" t="n">
        <v>202609</v>
      </c>
      <c r="D2598" s="37" t="s">
        <v>61</v>
      </c>
      <c r="E2598" s="37" t="s">
        <v>97</v>
      </c>
      <c r="F2598" s="37" t="s">
        <v>194</v>
      </c>
      <c r="G2598" s="37" t="s">
        <v>354</v>
      </c>
      <c r="H2598" s="37"/>
      <c r="I2598" s="37" t="s">
        <v>355</v>
      </c>
      <c r="J2598" s="37" t="s">
        <v>1900</v>
      </c>
      <c r="K2598" s="45" t="n">
        <v>57.9</v>
      </c>
      <c r="L2598" s="46" t="n">
        <v>5329.65</v>
      </c>
    </row>
    <row r="2599" customFormat="false" ht="15" hidden="false" customHeight="false" outlineLevel="0" collapsed="false">
      <c r="A2599" s="37" t="n">
        <v>501323</v>
      </c>
      <c r="B2599" s="37" t="s">
        <v>1898</v>
      </c>
      <c r="C2599" s="37" t="n">
        <v>202609</v>
      </c>
      <c r="D2599" s="37" t="s">
        <v>61</v>
      </c>
      <c r="E2599" s="37" t="s">
        <v>107</v>
      </c>
      <c r="F2599" s="37" t="s">
        <v>201</v>
      </c>
      <c r="G2599" s="37" t="s">
        <v>358</v>
      </c>
      <c r="H2599" s="37" t="s">
        <v>1176</v>
      </c>
      <c r="I2599" s="37" t="s">
        <v>1096</v>
      </c>
      <c r="J2599" s="37" t="s">
        <v>1899</v>
      </c>
      <c r="K2599" s="45" t="n">
        <v>0</v>
      </c>
      <c r="L2599" s="46" t="n">
        <v>0.01</v>
      </c>
    </row>
    <row r="2600" customFormat="false" ht="15" hidden="false" customHeight="false" outlineLevel="0" collapsed="false">
      <c r="A2600" s="37" t="n">
        <v>501343</v>
      </c>
      <c r="B2600" s="37" t="s">
        <v>1898</v>
      </c>
      <c r="C2600" s="37" t="n">
        <v>202609</v>
      </c>
      <c r="D2600" s="37" t="s">
        <v>61</v>
      </c>
      <c r="E2600" s="37" t="s">
        <v>109</v>
      </c>
      <c r="F2600" s="37" t="s">
        <v>201</v>
      </c>
      <c r="G2600" s="37" t="s">
        <v>358</v>
      </c>
      <c r="H2600" s="37" t="s">
        <v>1435</v>
      </c>
      <c r="I2600" s="37" t="s">
        <v>1436</v>
      </c>
      <c r="J2600" s="37" t="s">
        <v>1899</v>
      </c>
      <c r="K2600" s="45" t="n">
        <v>0</v>
      </c>
      <c r="L2600" s="46" t="n">
        <v>22754.02</v>
      </c>
    </row>
    <row r="2601" customFormat="false" ht="15" hidden="false" customHeight="false" outlineLevel="0" collapsed="false">
      <c r="A2601" s="37" t="n">
        <v>501354</v>
      </c>
      <c r="B2601" s="37" t="s">
        <v>1898</v>
      </c>
      <c r="C2601" s="37" t="n">
        <v>202609</v>
      </c>
      <c r="D2601" s="37" t="s">
        <v>61</v>
      </c>
      <c r="E2601" s="37" t="s">
        <v>110</v>
      </c>
      <c r="F2601" s="37" t="s">
        <v>201</v>
      </c>
      <c r="G2601" s="37" t="s">
        <v>358</v>
      </c>
      <c r="H2601" s="37" t="s">
        <v>1014</v>
      </c>
      <c r="I2601" s="37" t="s">
        <v>1015</v>
      </c>
      <c r="J2601" s="37" t="s">
        <v>1899</v>
      </c>
      <c r="K2601" s="45" t="n">
        <v>0</v>
      </c>
      <c r="L2601" s="46" t="n">
        <v>37550.94</v>
      </c>
    </row>
    <row r="2602" customFormat="false" ht="15" hidden="false" customHeight="false" outlineLevel="0" collapsed="false">
      <c r="A2602" s="37" t="n">
        <v>501365</v>
      </c>
      <c r="B2602" s="37" t="s">
        <v>1898</v>
      </c>
      <c r="C2602" s="37" t="n">
        <v>202609</v>
      </c>
      <c r="D2602" s="37" t="s">
        <v>61</v>
      </c>
      <c r="E2602" s="37" t="s">
        <v>111</v>
      </c>
      <c r="F2602" s="37" t="s">
        <v>201</v>
      </c>
      <c r="G2602" s="37" t="s">
        <v>358</v>
      </c>
      <c r="H2602" s="37" t="s">
        <v>1016</v>
      </c>
      <c r="I2602" s="37" t="s">
        <v>1017</v>
      </c>
      <c r="J2602" s="37" t="s">
        <v>1899</v>
      </c>
      <c r="K2602" s="45" t="n">
        <v>0</v>
      </c>
      <c r="L2602" s="46" t="n">
        <v>45685.69</v>
      </c>
    </row>
    <row r="2603" customFormat="false" ht="15" hidden="false" customHeight="false" outlineLevel="0" collapsed="false">
      <c r="A2603" s="37" t="n">
        <v>501426</v>
      </c>
      <c r="B2603" s="37" t="s">
        <v>1898</v>
      </c>
      <c r="C2603" s="37" t="n">
        <v>202609</v>
      </c>
      <c r="D2603" s="37" t="s">
        <v>62</v>
      </c>
      <c r="E2603" s="37" t="s">
        <v>97</v>
      </c>
      <c r="F2603" s="37" t="s">
        <v>194</v>
      </c>
      <c r="G2603" s="37" t="s">
        <v>354</v>
      </c>
      <c r="H2603" s="37"/>
      <c r="I2603" s="37" t="s">
        <v>355</v>
      </c>
      <c r="J2603" s="37" t="s">
        <v>1900</v>
      </c>
      <c r="K2603" s="45" t="n">
        <v>267.7</v>
      </c>
      <c r="L2603" s="46" t="n">
        <v>24631.88</v>
      </c>
    </row>
    <row r="2604" customFormat="false" ht="15" hidden="false" customHeight="false" outlineLevel="0" collapsed="false">
      <c r="A2604" s="37" t="n">
        <v>501557</v>
      </c>
      <c r="B2604" s="37" t="s">
        <v>1898</v>
      </c>
      <c r="C2604" s="37" t="n">
        <v>202609</v>
      </c>
      <c r="D2604" s="37" t="s">
        <v>62</v>
      </c>
      <c r="E2604" s="37" t="s">
        <v>104</v>
      </c>
      <c r="F2604" s="37" t="s">
        <v>201</v>
      </c>
      <c r="G2604" s="37" t="s">
        <v>358</v>
      </c>
      <c r="H2604" s="37" t="s">
        <v>1339</v>
      </c>
      <c r="I2604" s="37" t="s">
        <v>1340</v>
      </c>
      <c r="J2604" s="37" t="s">
        <v>1899</v>
      </c>
      <c r="K2604" s="45" t="n">
        <v>0</v>
      </c>
      <c r="L2604" s="46" t="n">
        <v>60339.19</v>
      </c>
    </row>
    <row r="2605" customFormat="false" ht="15" hidden="false" customHeight="false" outlineLevel="0" collapsed="false">
      <c r="A2605" s="37" t="n">
        <v>501566</v>
      </c>
      <c r="B2605" s="37" t="s">
        <v>1898</v>
      </c>
      <c r="C2605" s="37" t="n">
        <v>202609</v>
      </c>
      <c r="D2605" s="37" t="s">
        <v>62</v>
      </c>
      <c r="E2605" s="37" t="s">
        <v>105</v>
      </c>
      <c r="F2605" s="37" t="s">
        <v>201</v>
      </c>
      <c r="G2605" s="37" t="s">
        <v>358</v>
      </c>
      <c r="H2605" s="37" t="s">
        <v>1178</v>
      </c>
      <c r="I2605" s="37" t="s">
        <v>1179</v>
      </c>
      <c r="J2605" s="37" t="s">
        <v>1899</v>
      </c>
      <c r="K2605" s="45" t="n">
        <v>0</v>
      </c>
      <c r="L2605" s="46" t="n">
        <v>0.01</v>
      </c>
    </row>
    <row r="2606" customFormat="false" ht="15" hidden="false" customHeight="false" outlineLevel="0" collapsed="false">
      <c r="A2606" s="37" t="n">
        <v>501592</v>
      </c>
      <c r="B2606" s="37" t="s">
        <v>1898</v>
      </c>
      <c r="C2606" s="37" t="n">
        <v>202609</v>
      </c>
      <c r="D2606" s="37" t="s">
        <v>62</v>
      </c>
      <c r="E2606" s="37" t="s">
        <v>106</v>
      </c>
      <c r="F2606" s="37" t="s">
        <v>194</v>
      </c>
      <c r="G2606" s="37" t="s">
        <v>354</v>
      </c>
      <c r="H2606" s="37"/>
      <c r="I2606" s="37" t="s">
        <v>355</v>
      </c>
      <c r="J2606" s="37" t="s">
        <v>1900</v>
      </c>
      <c r="K2606" s="45" t="n">
        <v>732.8</v>
      </c>
      <c r="L2606" s="46" t="n">
        <v>52027.99</v>
      </c>
    </row>
    <row r="2607" customFormat="false" ht="15" hidden="false" customHeight="false" outlineLevel="0" collapsed="false">
      <c r="A2607" s="37" t="n">
        <v>501597</v>
      </c>
      <c r="B2607" s="37" t="s">
        <v>1898</v>
      </c>
      <c r="C2607" s="37" t="n">
        <v>202609</v>
      </c>
      <c r="D2607" s="37" t="s">
        <v>62</v>
      </c>
      <c r="E2607" s="37" t="s">
        <v>107</v>
      </c>
      <c r="F2607" s="37" t="s">
        <v>201</v>
      </c>
      <c r="G2607" s="37" t="s">
        <v>358</v>
      </c>
      <c r="H2607" s="37" t="s">
        <v>1529</v>
      </c>
      <c r="I2607" s="37" t="s">
        <v>1530</v>
      </c>
      <c r="J2607" s="37" t="s">
        <v>1899</v>
      </c>
      <c r="K2607" s="45" t="n">
        <v>0</v>
      </c>
      <c r="L2607" s="46" t="n">
        <v>353313.72</v>
      </c>
    </row>
    <row r="2608" customFormat="false" ht="15" hidden="false" customHeight="false" outlineLevel="0" collapsed="false">
      <c r="A2608" s="37" t="n">
        <v>501600</v>
      </c>
      <c r="B2608" s="37" t="s">
        <v>1898</v>
      </c>
      <c r="C2608" s="37" t="n">
        <v>202609</v>
      </c>
      <c r="D2608" s="37" t="s">
        <v>62</v>
      </c>
      <c r="E2608" s="37" t="s">
        <v>109</v>
      </c>
      <c r="F2608" s="37" t="s">
        <v>201</v>
      </c>
      <c r="G2608" s="37" t="s">
        <v>358</v>
      </c>
      <c r="H2608" s="37" t="s">
        <v>1901</v>
      </c>
      <c r="I2608" s="37" t="s">
        <v>1436</v>
      </c>
      <c r="J2608" s="37" t="s">
        <v>1899</v>
      </c>
      <c r="K2608" s="45" t="n">
        <v>0</v>
      </c>
      <c r="L2608" s="46" t="n">
        <v>94023.73</v>
      </c>
    </row>
    <row r="2609" customFormat="false" ht="15" hidden="false" customHeight="false" outlineLevel="0" collapsed="false">
      <c r="A2609" s="37" t="n">
        <v>501608</v>
      </c>
      <c r="B2609" s="37" t="s">
        <v>1898</v>
      </c>
      <c r="C2609" s="37" t="n">
        <v>202609</v>
      </c>
      <c r="D2609" s="37" t="s">
        <v>62</v>
      </c>
      <c r="E2609" s="37" t="s">
        <v>110</v>
      </c>
      <c r="F2609" s="37" t="s">
        <v>201</v>
      </c>
      <c r="G2609" s="37" t="s">
        <v>358</v>
      </c>
      <c r="H2609" s="37" t="s">
        <v>1257</v>
      </c>
      <c r="I2609" s="37" t="s">
        <v>548</v>
      </c>
      <c r="J2609" s="37" t="s">
        <v>1899</v>
      </c>
      <c r="K2609" s="45" t="n">
        <v>0</v>
      </c>
      <c r="L2609" s="46" t="n">
        <v>421360.94</v>
      </c>
    </row>
    <row r="2610" customFormat="false" ht="15" hidden="false" customHeight="false" outlineLevel="0" collapsed="false">
      <c r="A2610" s="37" t="n">
        <v>501616</v>
      </c>
      <c r="B2610" s="37" t="s">
        <v>1898</v>
      </c>
      <c r="C2610" s="37" t="n">
        <v>202609</v>
      </c>
      <c r="D2610" s="37" t="s">
        <v>62</v>
      </c>
      <c r="E2610" s="37" t="s">
        <v>111</v>
      </c>
      <c r="F2610" s="37" t="s">
        <v>201</v>
      </c>
      <c r="G2610" s="37" t="s">
        <v>358</v>
      </c>
      <c r="H2610" s="37" t="s">
        <v>1258</v>
      </c>
      <c r="I2610" s="37" t="s">
        <v>1259</v>
      </c>
      <c r="J2610" s="37" t="s">
        <v>1899</v>
      </c>
      <c r="K2610" s="45" t="n">
        <v>0</v>
      </c>
      <c r="L2610" s="46" t="n">
        <v>303986.04</v>
      </c>
    </row>
    <row r="2611" customFormat="false" ht="15" hidden="false" customHeight="false" outlineLevel="0" collapsed="false">
      <c r="A2611" s="37" t="n">
        <v>501672</v>
      </c>
      <c r="B2611" s="37" t="s">
        <v>1898</v>
      </c>
      <c r="C2611" s="37" t="n">
        <v>202609</v>
      </c>
      <c r="D2611" s="37" t="s">
        <v>63</v>
      </c>
      <c r="E2611" s="37" t="s">
        <v>97</v>
      </c>
      <c r="F2611" s="37" t="s">
        <v>194</v>
      </c>
      <c r="G2611" s="37" t="s">
        <v>354</v>
      </c>
      <c r="H2611" s="37"/>
      <c r="I2611" s="37" t="s">
        <v>355</v>
      </c>
      <c r="J2611" s="37" t="s">
        <v>1900</v>
      </c>
      <c r="K2611" s="45" t="n">
        <v>41.4</v>
      </c>
      <c r="L2611" s="46" t="n">
        <v>3812.07</v>
      </c>
    </row>
    <row r="2612" customFormat="false" ht="15" hidden="false" customHeight="false" outlineLevel="0" collapsed="false">
      <c r="A2612" s="37" t="n">
        <v>501724</v>
      </c>
      <c r="B2612" s="37" t="s">
        <v>1898</v>
      </c>
      <c r="C2612" s="37" t="n">
        <v>202609</v>
      </c>
      <c r="D2612" s="37" t="s">
        <v>63</v>
      </c>
      <c r="E2612" s="37" t="s">
        <v>100</v>
      </c>
      <c r="F2612" s="37" t="s">
        <v>201</v>
      </c>
      <c r="G2612" s="37" t="s">
        <v>358</v>
      </c>
      <c r="H2612" s="37" t="s">
        <v>853</v>
      </c>
      <c r="I2612" s="37" t="s">
        <v>854</v>
      </c>
      <c r="J2612" s="37" t="s">
        <v>1899</v>
      </c>
      <c r="K2612" s="45" t="n">
        <v>0</v>
      </c>
      <c r="L2612" s="46" t="n">
        <v>0.02</v>
      </c>
    </row>
    <row r="2613" customFormat="false" ht="15" hidden="false" customHeight="false" outlineLevel="0" collapsed="false">
      <c r="A2613" s="37" t="n">
        <v>501836</v>
      </c>
      <c r="B2613" s="37" t="s">
        <v>1898</v>
      </c>
      <c r="C2613" s="37" t="n">
        <v>202609</v>
      </c>
      <c r="D2613" s="37" t="s">
        <v>63</v>
      </c>
      <c r="E2613" s="37" t="s">
        <v>109</v>
      </c>
      <c r="F2613" s="37" t="s">
        <v>201</v>
      </c>
      <c r="G2613" s="37" t="s">
        <v>358</v>
      </c>
      <c r="H2613" s="37" t="s">
        <v>1613</v>
      </c>
      <c r="I2613" s="37" t="s">
        <v>1614</v>
      </c>
      <c r="J2613" s="37" t="s">
        <v>1899</v>
      </c>
      <c r="K2613" s="45" t="n">
        <v>0</v>
      </c>
      <c r="L2613" s="46" t="n">
        <v>183722.62</v>
      </c>
    </row>
    <row r="2614" customFormat="false" ht="15" hidden="false" customHeight="false" outlineLevel="0" collapsed="false">
      <c r="A2614" s="37" t="n">
        <v>501845</v>
      </c>
      <c r="B2614" s="37" t="s">
        <v>1898</v>
      </c>
      <c r="C2614" s="37" t="n">
        <v>202609</v>
      </c>
      <c r="D2614" s="37" t="s">
        <v>63</v>
      </c>
      <c r="E2614" s="37" t="s">
        <v>110</v>
      </c>
      <c r="F2614" s="37" t="s">
        <v>201</v>
      </c>
      <c r="G2614" s="37" t="s">
        <v>358</v>
      </c>
      <c r="H2614" s="37" t="s">
        <v>1180</v>
      </c>
      <c r="I2614" s="37" t="s">
        <v>1181</v>
      </c>
      <c r="J2614" s="37" t="s">
        <v>1899</v>
      </c>
      <c r="K2614" s="45" t="n">
        <v>0</v>
      </c>
      <c r="L2614" s="46" t="n">
        <v>111003.13</v>
      </c>
    </row>
    <row r="2615" customFormat="false" ht="15" hidden="false" customHeight="false" outlineLevel="0" collapsed="false">
      <c r="A2615" s="37" t="n">
        <v>501854</v>
      </c>
      <c r="B2615" s="37" t="s">
        <v>1898</v>
      </c>
      <c r="C2615" s="37" t="n">
        <v>202609</v>
      </c>
      <c r="D2615" s="37" t="s">
        <v>63</v>
      </c>
      <c r="E2615" s="37" t="s">
        <v>111</v>
      </c>
      <c r="F2615" s="37" t="s">
        <v>201</v>
      </c>
      <c r="G2615" s="37" t="s">
        <v>358</v>
      </c>
      <c r="H2615" s="37" t="s">
        <v>1182</v>
      </c>
      <c r="I2615" s="37" t="s">
        <v>852</v>
      </c>
      <c r="J2615" s="37" t="s">
        <v>1899</v>
      </c>
      <c r="K2615" s="45" t="n">
        <v>0</v>
      </c>
      <c r="L2615" s="46" t="n">
        <v>79350.75</v>
      </c>
    </row>
    <row r="2616" customFormat="false" ht="15" hidden="false" customHeight="false" outlineLevel="0" collapsed="false">
      <c r="A2616" s="37" t="n">
        <v>501906</v>
      </c>
      <c r="B2616" s="37" t="s">
        <v>1898</v>
      </c>
      <c r="C2616" s="37" t="n">
        <v>202609</v>
      </c>
      <c r="D2616" s="37" t="s">
        <v>64</v>
      </c>
      <c r="E2616" s="37" t="s">
        <v>97</v>
      </c>
      <c r="F2616" s="37" t="s">
        <v>194</v>
      </c>
      <c r="G2616" s="37" t="s">
        <v>354</v>
      </c>
      <c r="H2616" s="37"/>
      <c r="I2616" s="37" t="s">
        <v>355</v>
      </c>
      <c r="J2616" s="37" t="s">
        <v>1900</v>
      </c>
      <c r="K2616" s="45" t="n">
        <v>69.6</v>
      </c>
      <c r="L2616" s="46" t="n">
        <v>6399.19</v>
      </c>
    </row>
    <row r="2617" customFormat="false" ht="15" hidden="false" customHeight="false" outlineLevel="0" collapsed="false">
      <c r="A2617" s="37" t="n">
        <v>502023</v>
      </c>
      <c r="B2617" s="37" t="s">
        <v>1898</v>
      </c>
      <c r="C2617" s="37" t="n">
        <v>202609</v>
      </c>
      <c r="D2617" s="37" t="s">
        <v>64</v>
      </c>
      <c r="E2617" s="37" t="s">
        <v>104</v>
      </c>
      <c r="F2617" s="37" t="s">
        <v>201</v>
      </c>
      <c r="G2617" s="37" t="s">
        <v>358</v>
      </c>
      <c r="H2617" s="37" t="s">
        <v>1439</v>
      </c>
      <c r="I2617" s="37" t="s">
        <v>1340</v>
      </c>
      <c r="J2617" s="37" t="s">
        <v>1899</v>
      </c>
      <c r="K2617" s="45" t="n">
        <v>0</v>
      </c>
      <c r="L2617" s="46" t="n">
        <v>39167.07</v>
      </c>
    </row>
    <row r="2618" customFormat="false" ht="15" hidden="false" customHeight="false" outlineLevel="0" collapsed="false">
      <c r="A2618" s="37" t="n">
        <v>502051</v>
      </c>
      <c r="B2618" s="37" t="s">
        <v>1898</v>
      </c>
      <c r="C2618" s="37" t="n">
        <v>202609</v>
      </c>
      <c r="D2618" s="37" t="s">
        <v>64</v>
      </c>
      <c r="E2618" s="37" t="s">
        <v>106</v>
      </c>
      <c r="F2618" s="37" t="s">
        <v>194</v>
      </c>
      <c r="G2618" s="37" t="s">
        <v>354</v>
      </c>
      <c r="H2618" s="37"/>
      <c r="I2618" s="37" t="s">
        <v>355</v>
      </c>
      <c r="J2618" s="37" t="s">
        <v>1900</v>
      </c>
      <c r="K2618" s="45" t="n">
        <v>184</v>
      </c>
      <c r="L2618" s="46" t="n">
        <v>13065.51</v>
      </c>
    </row>
    <row r="2619" customFormat="false" ht="15" hidden="false" customHeight="false" outlineLevel="0" collapsed="false">
      <c r="A2619" s="37" t="n">
        <v>502055</v>
      </c>
      <c r="B2619" s="37" t="s">
        <v>1898</v>
      </c>
      <c r="C2619" s="37" t="n">
        <v>202609</v>
      </c>
      <c r="D2619" s="37" t="s">
        <v>64</v>
      </c>
      <c r="E2619" s="37" t="s">
        <v>107</v>
      </c>
      <c r="F2619" s="37" t="s">
        <v>201</v>
      </c>
      <c r="G2619" s="37" t="s">
        <v>358</v>
      </c>
      <c r="H2619" s="37" t="s">
        <v>1615</v>
      </c>
      <c r="I2619" s="37" t="s">
        <v>685</v>
      </c>
      <c r="J2619" s="37" t="s">
        <v>1899</v>
      </c>
      <c r="K2619" s="45" t="n">
        <v>0</v>
      </c>
      <c r="L2619" s="46" t="n">
        <v>157057.82</v>
      </c>
    </row>
    <row r="2620" customFormat="false" ht="15" hidden="false" customHeight="false" outlineLevel="0" collapsed="false">
      <c r="A2620" s="37" t="n">
        <v>502061</v>
      </c>
      <c r="B2620" s="37" t="s">
        <v>1898</v>
      </c>
      <c r="C2620" s="37" t="n">
        <v>202609</v>
      </c>
      <c r="D2620" s="37" t="s">
        <v>64</v>
      </c>
      <c r="E2620" s="37" t="s">
        <v>109</v>
      </c>
      <c r="F2620" s="37" t="s">
        <v>201</v>
      </c>
      <c r="G2620" s="37" t="s">
        <v>358</v>
      </c>
      <c r="H2620" s="37" t="s">
        <v>1785</v>
      </c>
      <c r="I2620" s="37" t="s">
        <v>1436</v>
      </c>
      <c r="J2620" s="37" t="s">
        <v>1899</v>
      </c>
      <c r="K2620" s="45" t="n">
        <v>0</v>
      </c>
      <c r="L2620" s="46" t="n">
        <v>71850.96</v>
      </c>
    </row>
    <row r="2621" customFormat="false" ht="15" hidden="false" customHeight="false" outlineLevel="0" collapsed="false">
      <c r="A2621" s="37" t="n">
        <v>502068</v>
      </c>
      <c r="B2621" s="37" t="s">
        <v>1898</v>
      </c>
      <c r="C2621" s="37" t="n">
        <v>202609</v>
      </c>
      <c r="D2621" s="37" t="s">
        <v>64</v>
      </c>
      <c r="E2621" s="37" t="s">
        <v>110</v>
      </c>
      <c r="F2621" s="37" t="s">
        <v>201</v>
      </c>
      <c r="G2621" s="37" t="s">
        <v>358</v>
      </c>
      <c r="H2621" s="37" t="s">
        <v>1342</v>
      </c>
      <c r="I2621" s="37" t="s">
        <v>1343</v>
      </c>
      <c r="J2621" s="37" t="s">
        <v>1899</v>
      </c>
      <c r="K2621" s="45" t="n">
        <v>0</v>
      </c>
      <c r="L2621" s="46" t="n">
        <v>274740.16</v>
      </c>
    </row>
    <row r="2622" customFormat="false" ht="15" hidden="false" customHeight="false" outlineLevel="0" collapsed="false">
      <c r="A2622" s="37" t="n">
        <v>502075</v>
      </c>
      <c r="B2622" s="37" t="s">
        <v>1898</v>
      </c>
      <c r="C2622" s="37" t="n">
        <v>202609</v>
      </c>
      <c r="D2622" s="37" t="s">
        <v>64</v>
      </c>
      <c r="E2622" s="37" t="s">
        <v>111</v>
      </c>
      <c r="F2622" s="37" t="s">
        <v>201</v>
      </c>
      <c r="G2622" s="37" t="s">
        <v>358</v>
      </c>
      <c r="H2622" s="37" t="s">
        <v>1344</v>
      </c>
      <c r="I2622" s="37" t="s">
        <v>1345</v>
      </c>
      <c r="J2622" s="37" t="s">
        <v>1899</v>
      </c>
      <c r="K2622" s="45" t="n">
        <v>0</v>
      </c>
      <c r="L2622" s="46" t="n">
        <v>141831.89</v>
      </c>
    </row>
    <row r="2623" customFormat="false" ht="15" hidden="false" customHeight="false" outlineLevel="0" collapsed="false">
      <c r="A2623" s="37" t="n">
        <v>502122</v>
      </c>
      <c r="B2623" s="37" t="s">
        <v>1898</v>
      </c>
      <c r="C2623" s="37" t="n">
        <v>202609</v>
      </c>
      <c r="D2623" s="37" t="s">
        <v>65</v>
      </c>
      <c r="E2623" s="37" t="s">
        <v>97</v>
      </c>
      <c r="F2623" s="37" t="s">
        <v>194</v>
      </c>
      <c r="G2623" s="37" t="s">
        <v>354</v>
      </c>
      <c r="H2623" s="37"/>
      <c r="I2623" s="37" t="s">
        <v>355</v>
      </c>
      <c r="J2623" s="37" t="s">
        <v>1900</v>
      </c>
      <c r="K2623" s="45" t="n">
        <v>318.9</v>
      </c>
      <c r="L2623" s="46" t="n">
        <v>29335.18</v>
      </c>
    </row>
    <row r="2624" customFormat="false" ht="15" hidden="false" customHeight="false" outlineLevel="0" collapsed="false">
      <c r="A2624" s="37" t="n">
        <v>502192</v>
      </c>
      <c r="B2624" s="37" t="s">
        <v>1898</v>
      </c>
      <c r="C2624" s="37" t="n">
        <v>202609</v>
      </c>
      <c r="D2624" s="37" t="s">
        <v>65</v>
      </c>
      <c r="E2624" s="37" t="s">
        <v>101</v>
      </c>
      <c r="F2624" s="37" t="s">
        <v>194</v>
      </c>
      <c r="G2624" s="37" t="s">
        <v>354</v>
      </c>
      <c r="H2624" s="37"/>
      <c r="I2624" s="37" t="s">
        <v>355</v>
      </c>
      <c r="J2624" s="37" t="s">
        <v>1900</v>
      </c>
      <c r="K2624" s="45" t="n">
        <v>0</v>
      </c>
      <c r="L2624" s="46" t="n">
        <v>0.01</v>
      </c>
    </row>
    <row r="2625" customFormat="false" ht="15" hidden="false" customHeight="false" outlineLevel="0" collapsed="false">
      <c r="A2625" s="37" t="n">
        <v>502221</v>
      </c>
      <c r="B2625" s="37" t="s">
        <v>1898</v>
      </c>
      <c r="C2625" s="37" t="n">
        <v>202609</v>
      </c>
      <c r="D2625" s="37" t="s">
        <v>65</v>
      </c>
      <c r="E2625" s="37" t="s">
        <v>105</v>
      </c>
      <c r="F2625" s="37" t="s">
        <v>201</v>
      </c>
      <c r="G2625" s="37" t="s">
        <v>358</v>
      </c>
      <c r="H2625" s="37" t="s">
        <v>1346</v>
      </c>
      <c r="I2625" s="37" t="s">
        <v>934</v>
      </c>
      <c r="J2625" s="37" t="s">
        <v>1899</v>
      </c>
      <c r="K2625" s="45" t="n">
        <v>0</v>
      </c>
      <c r="L2625" s="46" t="n">
        <v>0.01</v>
      </c>
    </row>
    <row r="2626" customFormat="false" ht="15" hidden="false" customHeight="false" outlineLevel="0" collapsed="false">
      <c r="A2626" s="37" t="n">
        <v>502243</v>
      </c>
      <c r="B2626" s="37" t="s">
        <v>1898</v>
      </c>
      <c r="C2626" s="37" t="n">
        <v>202609</v>
      </c>
      <c r="D2626" s="37" t="s">
        <v>65</v>
      </c>
      <c r="E2626" s="37" t="s">
        <v>106</v>
      </c>
      <c r="F2626" s="37" t="s">
        <v>194</v>
      </c>
      <c r="G2626" s="37" t="s">
        <v>354</v>
      </c>
      <c r="H2626" s="37"/>
      <c r="I2626" s="37" t="s">
        <v>355</v>
      </c>
      <c r="J2626" s="37" t="s">
        <v>1900</v>
      </c>
      <c r="K2626" s="45" t="n">
        <v>190.8</v>
      </c>
      <c r="L2626" s="46" t="n">
        <v>13547.04</v>
      </c>
    </row>
    <row r="2627" customFormat="false" ht="15" hidden="false" customHeight="false" outlineLevel="0" collapsed="false">
      <c r="A2627" s="37" t="n">
        <v>502247</v>
      </c>
      <c r="B2627" s="37" t="s">
        <v>1898</v>
      </c>
      <c r="C2627" s="37" t="n">
        <v>202609</v>
      </c>
      <c r="D2627" s="37" t="s">
        <v>65</v>
      </c>
      <c r="E2627" s="37" t="s">
        <v>107</v>
      </c>
      <c r="F2627" s="37" t="s">
        <v>201</v>
      </c>
      <c r="G2627" s="37" t="s">
        <v>358</v>
      </c>
      <c r="H2627" s="37" t="s">
        <v>1616</v>
      </c>
      <c r="I2627" s="37" t="s">
        <v>1096</v>
      </c>
      <c r="J2627" s="37" t="s">
        <v>1899</v>
      </c>
      <c r="K2627" s="45" t="n">
        <v>0</v>
      </c>
      <c r="L2627" s="46" t="n">
        <v>185235.04</v>
      </c>
    </row>
    <row r="2628" customFormat="false" ht="15" hidden="false" customHeight="false" outlineLevel="0" collapsed="false">
      <c r="A2628" s="37" t="n">
        <v>502252</v>
      </c>
      <c r="B2628" s="37" t="s">
        <v>1898</v>
      </c>
      <c r="C2628" s="37" t="n">
        <v>202609</v>
      </c>
      <c r="D2628" s="37" t="s">
        <v>65</v>
      </c>
      <c r="E2628" s="37" t="s">
        <v>109</v>
      </c>
      <c r="F2628" s="37" t="s">
        <v>201</v>
      </c>
      <c r="G2628" s="37" t="s">
        <v>358</v>
      </c>
      <c r="H2628" s="37" t="s">
        <v>1787</v>
      </c>
      <c r="I2628" s="37" t="s">
        <v>1788</v>
      </c>
      <c r="J2628" s="37" t="s">
        <v>1899</v>
      </c>
      <c r="K2628" s="45" t="n">
        <v>0</v>
      </c>
      <c r="L2628" s="46" t="n">
        <v>77366.21</v>
      </c>
    </row>
    <row r="2629" customFormat="false" ht="15" hidden="false" customHeight="false" outlineLevel="0" collapsed="false">
      <c r="A2629" s="37" t="n">
        <v>502259</v>
      </c>
      <c r="B2629" s="37" t="s">
        <v>1898</v>
      </c>
      <c r="C2629" s="37" t="n">
        <v>202609</v>
      </c>
      <c r="D2629" s="37" t="s">
        <v>65</v>
      </c>
      <c r="E2629" s="37" t="s">
        <v>110</v>
      </c>
      <c r="F2629" s="37" t="s">
        <v>201</v>
      </c>
      <c r="G2629" s="37" t="s">
        <v>358</v>
      </c>
      <c r="H2629" s="37" t="s">
        <v>1347</v>
      </c>
      <c r="I2629" s="37" t="s">
        <v>1181</v>
      </c>
      <c r="J2629" s="37" t="s">
        <v>1899</v>
      </c>
      <c r="K2629" s="45" t="n">
        <v>0</v>
      </c>
      <c r="L2629" s="46" t="n">
        <v>451148.46</v>
      </c>
    </row>
    <row r="2630" customFormat="false" ht="15" hidden="false" customHeight="false" outlineLevel="0" collapsed="false">
      <c r="A2630" s="37" t="n">
        <v>502266</v>
      </c>
      <c r="B2630" s="37" t="s">
        <v>1898</v>
      </c>
      <c r="C2630" s="37" t="n">
        <v>202609</v>
      </c>
      <c r="D2630" s="37" t="s">
        <v>65</v>
      </c>
      <c r="E2630" s="37" t="s">
        <v>111</v>
      </c>
      <c r="F2630" s="37" t="s">
        <v>201</v>
      </c>
      <c r="G2630" s="37" t="s">
        <v>358</v>
      </c>
      <c r="H2630" s="37" t="s">
        <v>1348</v>
      </c>
      <c r="I2630" s="37" t="s">
        <v>1017</v>
      </c>
      <c r="J2630" s="37" t="s">
        <v>1899</v>
      </c>
      <c r="K2630" s="45" t="n">
        <v>0</v>
      </c>
      <c r="L2630" s="46" t="n">
        <v>285482.86</v>
      </c>
    </row>
    <row r="2631" customFormat="false" ht="15" hidden="false" customHeight="false" outlineLevel="0" collapsed="false">
      <c r="A2631" s="37" t="n">
        <v>502305</v>
      </c>
      <c r="B2631" s="37" t="s">
        <v>1898</v>
      </c>
      <c r="C2631" s="37" t="n">
        <v>202609</v>
      </c>
      <c r="D2631" s="37" t="s">
        <v>66</v>
      </c>
      <c r="E2631" s="37" t="s">
        <v>97</v>
      </c>
      <c r="F2631" s="37" t="s">
        <v>194</v>
      </c>
      <c r="G2631" s="37" t="s">
        <v>354</v>
      </c>
      <c r="H2631" s="37"/>
      <c r="I2631" s="37" t="s">
        <v>355</v>
      </c>
      <c r="J2631" s="37" t="s">
        <v>1900</v>
      </c>
      <c r="K2631" s="45" t="n">
        <v>348.1</v>
      </c>
      <c r="L2631" s="46" t="n">
        <v>32029.3</v>
      </c>
    </row>
    <row r="2632" customFormat="false" ht="15" hidden="false" customHeight="false" outlineLevel="0" collapsed="false">
      <c r="A2632" s="37" t="n">
        <v>502370</v>
      </c>
      <c r="B2632" s="37" t="s">
        <v>1898</v>
      </c>
      <c r="C2632" s="37" t="n">
        <v>202609</v>
      </c>
      <c r="D2632" s="37" t="s">
        <v>66</v>
      </c>
      <c r="E2632" s="37" t="s">
        <v>101</v>
      </c>
      <c r="F2632" s="37" t="s">
        <v>194</v>
      </c>
      <c r="G2632" s="37" t="s">
        <v>354</v>
      </c>
      <c r="H2632" s="37"/>
      <c r="I2632" s="37" t="s">
        <v>355</v>
      </c>
      <c r="J2632" s="37" t="s">
        <v>1900</v>
      </c>
      <c r="K2632" s="45" t="n">
        <v>142.1</v>
      </c>
      <c r="L2632" s="46" t="n">
        <v>10516.01</v>
      </c>
    </row>
    <row r="2633" customFormat="false" ht="15" hidden="false" customHeight="false" outlineLevel="0" collapsed="false">
      <c r="A2633" s="37" t="n">
        <v>502404</v>
      </c>
      <c r="B2633" s="37" t="s">
        <v>1898</v>
      </c>
      <c r="C2633" s="37" t="n">
        <v>202609</v>
      </c>
      <c r="D2633" s="37" t="s">
        <v>66</v>
      </c>
      <c r="E2633" s="37" t="s">
        <v>104</v>
      </c>
      <c r="F2633" s="37" t="s">
        <v>201</v>
      </c>
      <c r="G2633" s="37" t="s">
        <v>358</v>
      </c>
      <c r="H2633" s="37" t="s">
        <v>1790</v>
      </c>
      <c r="I2633" s="37" t="s">
        <v>1791</v>
      </c>
      <c r="J2633" s="37" t="s">
        <v>1899</v>
      </c>
      <c r="K2633" s="45" t="n">
        <v>0</v>
      </c>
      <c r="L2633" s="46" t="n">
        <v>147324.89</v>
      </c>
    </row>
    <row r="2634" customFormat="false" ht="15" hidden="false" customHeight="false" outlineLevel="0" collapsed="false">
      <c r="A2634" s="37" t="n">
        <v>502408</v>
      </c>
      <c r="B2634" s="37" t="s">
        <v>1898</v>
      </c>
      <c r="C2634" s="37" t="n">
        <v>202609</v>
      </c>
      <c r="D2634" s="37" t="s">
        <v>66</v>
      </c>
      <c r="E2634" s="37" t="s">
        <v>105</v>
      </c>
      <c r="F2634" s="37" t="s">
        <v>201</v>
      </c>
      <c r="G2634" s="37" t="s">
        <v>358</v>
      </c>
      <c r="H2634" s="37" t="s">
        <v>1617</v>
      </c>
      <c r="I2634" s="37" t="s">
        <v>1101</v>
      </c>
      <c r="J2634" s="37" t="s">
        <v>1899</v>
      </c>
      <c r="K2634" s="45" t="n">
        <v>0</v>
      </c>
      <c r="L2634" s="46" t="n">
        <v>213102.62</v>
      </c>
    </row>
    <row r="2635" customFormat="false" ht="15" hidden="false" customHeight="false" outlineLevel="0" collapsed="false">
      <c r="A2635" s="37" t="n">
        <v>502412</v>
      </c>
      <c r="B2635" s="37" t="s">
        <v>1898</v>
      </c>
      <c r="C2635" s="37" t="n">
        <v>202609</v>
      </c>
      <c r="D2635" s="37" t="s">
        <v>66</v>
      </c>
      <c r="E2635" s="37" t="s">
        <v>106</v>
      </c>
      <c r="F2635" s="37" t="s">
        <v>194</v>
      </c>
      <c r="G2635" s="37" t="s">
        <v>354</v>
      </c>
      <c r="H2635" s="37"/>
      <c r="I2635" s="37" t="s">
        <v>355</v>
      </c>
      <c r="J2635" s="37" t="s">
        <v>1900</v>
      </c>
      <c r="K2635" s="45" t="n">
        <v>461.1</v>
      </c>
      <c r="L2635" s="46" t="n">
        <v>32740.91</v>
      </c>
    </row>
    <row r="2636" customFormat="false" ht="15" hidden="false" customHeight="false" outlineLevel="0" collapsed="false">
      <c r="A2636" s="37" t="n">
        <v>502415</v>
      </c>
      <c r="B2636" s="37" t="s">
        <v>1898</v>
      </c>
      <c r="C2636" s="37" t="n">
        <v>202609</v>
      </c>
      <c r="D2636" s="37" t="s">
        <v>66</v>
      </c>
      <c r="E2636" s="37" t="s">
        <v>110</v>
      </c>
      <c r="F2636" s="37" t="s">
        <v>201</v>
      </c>
      <c r="G2636" s="37" t="s">
        <v>358</v>
      </c>
      <c r="H2636" s="37" t="s">
        <v>1692</v>
      </c>
      <c r="I2636" s="37" t="s">
        <v>1181</v>
      </c>
      <c r="J2636" s="37" t="s">
        <v>1899</v>
      </c>
      <c r="K2636" s="45" t="n">
        <v>0</v>
      </c>
      <c r="L2636" s="46" t="n">
        <v>107060.35</v>
      </c>
    </row>
    <row r="2637" customFormat="false" ht="15" hidden="false" customHeight="false" outlineLevel="0" collapsed="false">
      <c r="A2637" s="37" t="n">
        <v>502418</v>
      </c>
      <c r="B2637" s="37" t="s">
        <v>1898</v>
      </c>
      <c r="C2637" s="37" t="n">
        <v>202609</v>
      </c>
      <c r="D2637" s="37" t="s">
        <v>66</v>
      </c>
      <c r="E2637" s="37" t="s">
        <v>111</v>
      </c>
      <c r="F2637" s="37" t="s">
        <v>201</v>
      </c>
      <c r="G2637" s="37" t="s">
        <v>358</v>
      </c>
      <c r="H2637" s="37" t="s">
        <v>1693</v>
      </c>
      <c r="I2637" s="37" t="s">
        <v>1012</v>
      </c>
      <c r="J2637" s="37" t="s">
        <v>1899</v>
      </c>
      <c r="K2637" s="45" t="n">
        <v>0</v>
      </c>
      <c r="L2637" s="46" t="n">
        <v>119321.96</v>
      </c>
    </row>
    <row r="2638" customFormat="false" ht="15" hidden="false" customHeight="false" outlineLevel="0" collapsed="false">
      <c r="A2638" s="37" t="n">
        <v>502448</v>
      </c>
      <c r="B2638" s="37" t="s">
        <v>1898</v>
      </c>
      <c r="C2638" s="37" t="n">
        <v>202609</v>
      </c>
      <c r="D2638" s="37" t="s">
        <v>67</v>
      </c>
      <c r="E2638" s="37" t="s">
        <v>97</v>
      </c>
      <c r="F2638" s="37" t="s">
        <v>194</v>
      </c>
      <c r="G2638" s="37" t="s">
        <v>354</v>
      </c>
      <c r="H2638" s="37"/>
      <c r="I2638" s="37" t="s">
        <v>355</v>
      </c>
      <c r="J2638" s="37" t="s">
        <v>1900</v>
      </c>
      <c r="K2638" s="45" t="n">
        <v>309.9</v>
      </c>
      <c r="L2638" s="46" t="n">
        <v>28510.56</v>
      </c>
    </row>
    <row r="2639" customFormat="false" ht="15" hidden="false" customHeight="false" outlineLevel="0" collapsed="false">
      <c r="A2639" s="37" t="n">
        <v>502476</v>
      </c>
      <c r="B2639" s="37" t="s">
        <v>1898</v>
      </c>
      <c r="C2639" s="37" t="n">
        <v>202609</v>
      </c>
      <c r="D2639" s="37" t="s">
        <v>67</v>
      </c>
      <c r="E2639" s="37" t="s">
        <v>100</v>
      </c>
      <c r="F2639" s="37" t="s">
        <v>201</v>
      </c>
      <c r="G2639" s="37" t="s">
        <v>358</v>
      </c>
      <c r="H2639" s="37" t="s">
        <v>1350</v>
      </c>
      <c r="I2639" s="37" t="s">
        <v>646</v>
      </c>
      <c r="J2639" s="37" t="s">
        <v>1899</v>
      </c>
      <c r="K2639" s="45" t="n">
        <v>0</v>
      </c>
      <c r="L2639" s="46" t="n">
        <v>0.01</v>
      </c>
    </row>
    <row r="2640" customFormat="false" ht="15" hidden="false" customHeight="false" outlineLevel="0" collapsed="false">
      <c r="A2640" s="37" t="n">
        <v>502502</v>
      </c>
      <c r="B2640" s="37" t="s">
        <v>1898</v>
      </c>
      <c r="C2640" s="37" t="n">
        <v>202609</v>
      </c>
      <c r="D2640" s="37" t="s">
        <v>67</v>
      </c>
      <c r="E2640" s="37" t="s">
        <v>101</v>
      </c>
      <c r="F2640" s="37" t="s">
        <v>194</v>
      </c>
      <c r="G2640" s="37" t="s">
        <v>354</v>
      </c>
      <c r="H2640" s="37"/>
      <c r="I2640" s="37" t="s">
        <v>355</v>
      </c>
      <c r="J2640" s="37" t="s">
        <v>1900</v>
      </c>
      <c r="K2640" s="45" t="n">
        <v>220.9</v>
      </c>
      <c r="L2640" s="46" t="n">
        <v>16348.38</v>
      </c>
    </row>
    <row r="2641" customFormat="false" ht="15" hidden="false" customHeight="false" outlineLevel="0" collapsed="false">
      <c r="A2641" s="37" t="n">
        <v>502532</v>
      </c>
      <c r="B2641" s="37" t="s">
        <v>1898</v>
      </c>
      <c r="C2641" s="37" t="n">
        <v>202609</v>
      </c>
      <c r="D2641" s="37" t="s">
        <v>67</v>
      </c>
      <c r="E2641" s="37" t="s">
        <v>105</v>
      </c>
      <c r="F2641" s="37" t="s">
        <v>201</v>
      </c>
      <c r="G2641" s="37" t="s">
        <v>358</v>
      </c>
      <c r="H2641" s="37" t="s">
        <v>1694</v>
      </c>
      <c r="I2641" s="37" t="s">
        <v>796</v>
      </c>
      <c r="J2641" s="37" t="s">
        <v>1899</v>
      </c>
      <c r="K2641" s="45" t="n">
        <v>0</v>
      </c>
      <c r="L2641" s="46" t="n">
        <v>543447.09</v>
      </c>
    </row>
    <row r="2642" customFormat="false" ht="15" hidden="false" customHeight="false" outlineLevel="0" collapsed="false">
      <c r="A2642" s="37" t="n">
        <v>502536</v>
      </c>
      <c r="B2642" s="37" t="s">
        <v>1898</v>
      </c>
      <c r="C2642" s="37" t="n">
        <v>202609</v>
      </c>
      <c r="D2642" s="37" t="s">
        <v>67</v>
      </c>
      <c r="E2642" s="37" t="s">
        <v>106</v>
      </c>
      <c r="F2642" s="37" t="s">
        <v>194</v>
      </c>
      <c r="G2642" s="37" t="s">
        <v>354</v>
      </c>
      <c r="H2642" s="37"/>
      <c r="I2642" s="37" t="s">
        <v>355</v>
      </c>
      <c r="J2642" s="37" t="s">
        <v>1900</v>
      </c>
      <c r="K2642" s="45" t="n">
        <v>21.1</v>
      </c>
      <c r="L2642" s="46" t="n">
        <v>1498.66</v>
      </c>
    </row>
    <row r="2643" customFormat="false" ht="15" hidden="false" customHeight="false" outlineLevel="0" collapsed="false">
      <c r="A2643" s="37" t="n">
        <v>502539</v>
      </c>
      <c r="B2643" s="37" t="s">
        <v>1898</v>
      </c>
      <c r="C2643" s="37" t="n">
        <v>202609</v>
      </c>
      <c r="D2643" s="37" t="s">
        <v>67</v>
      </c>
      <c r="E2643" s="37" t="s">
        <v>110</v>
      </c>
      <c r="F2643" s="37" t="s">
        <v>201</v>
      </c>
      <c r="G2643" s="37" t="s">
        <v>358</v>
      </c>
      <c r="H2643" s="37" t="s">
        <v>1695</v>
      </c>
      <c r="I2643" s="37" t="s">
        <v>1343</v>
      </c>
      <c r="J2643" s="37" t="s">
        <v>1899</v>
      </c>
      <c r="K2643" s="45" t="n">
        <v>0</v>
      </c>
      <c r="L2643" s="46" t="n">
        <v>97468.13</v>
      </c>
    </row>
    <row r="2644" customFormat="false" ht="15" hidden="false" customHeight="false" outlineLevel="0" collapsed="false">
      <c r="A2644" s="37" t="n">
        <v>502542</v>
      </c>
      <c r="B2644" s="37" t="s">
        <v>1898</v>
      </c>
      <c r="C2644" s="37" t="n">
        <v>202609</v>
      </c>
      <c r="D2644" s="37" t="s">
        <v>67</v>
      </c>
      <c r="E2644" s="37" t="s">
        <v>111</v>
      </c>
      <c r="F2644" s="37" t="s">
        <v>201</v>
      </c>
      <c r="G2644" s="37" t="s">
        <v>358</v>
      </c>
      <c r="H2644" s="37" t="s">
        <v>1696</v>
      </c>
      <c r="I2644" s="37" t="s">
        <v>550</v>
      </c>
      <c r="J2644" s="37" t="s">
        <v>1899</v>
      </c>
      <c r="K2644" s="45" t="n">
        <v>0</v>
      </c>
      <c r="L2644" s="46" t="n">
        <v>107222.98</v>
      </c>
    </row>
    <row r="2645" customFormat="false" ht="15" hidden="false" customHeight="false" outlineLevel="0" collapsed="false">
      <c r="A2645" s="37" t="n">
        <v>502564</v>
      </c>
      <c r="B2645" s="37" t="s">
        <v>1898</v>
      </c>
      <c r="C2645" s="37" t="n">
        <v>202609</v>
      </c>
      <c r="D2645" s="37" t="s">
        <v>68</v>
      </c>
      <c r="E2645" s="37" t="s">
        <v>97</v>
      </c>
      <c r="F2645" s="37" t="s">
        <v>194</v>
      </c>
      <c r="G2645" s="37" t="s">
        <v>354</v>
      </c>
      <c r="H2645" s="37"/>
      <c r="I2645" s="37" t="s">
        <v>355</v>
      </c>
      <c r="J2645" s="37" t="s">
        <v>1900</v>
      </c>
      <c r="K2645" s="45" t="n">
        <v>192.4</v>
      </c>
      <c r="L2645" s="46" t="n">
        <v>17700.97</v>
      </c>
    </row>
    <row r="2646" customFormat="false" ht="15" hidden="false" customHeight="false" outlineLevel="0" collapsed="false">
      <c r="A2646" s="37" t="n">
        <v>502584</v>
      </c>
      <c r="B2646" s="37" t="s">
        <v>1898</v>
      </c>
      <c r="C2646" s="37" t="n">
        <v>202609</v>
      </c>
      <c r="D2646" s="37" t="s">
        <v>68</v>
      </c>
      <c r="E2646" s="37" t="s">
        <v>100</v>
      </c>
      <c r="F2646" s="37" t="s">
        <v>201</v>
      </c>
      <c r="G2646" s="37" t="s">
        <v>358</v>
      </c>
      <c r="H2646" s="37" t="s">
        <v>1531</v>
      </c>
      <c r="I2646" s="37" t="s">
        <v>370</v>
      </c>
      <c r="J2646" s="37" t="s">
        <v>1899</v>
      </c>
      <c r="K2646" s="45" t="n">
        <v>0</v>
      </c>
      <c r="L2646" s="46" t="n">
        <v>0.01</v>
      </c>
    </row>
    <row r="2647" customFormat="false" ht="15" hidden="false" customHeight="false" outlineLevel="0" collapsed="false">
      <c r="A2647" s="37" t="n">
        <v>502601</v>
      </c>
      <c r="B2647" s="37" t="s">
        <v>1898</v>
      </c>
      <c r="C2647" s="37" t="n">
        <v>202609</v>
      </c>
      <c r="D2647" s="37" t="s">
        <v>68</v>
      </c>
      <c r="E2647" s="37" t="s">
        <v>101</v>
      </c>
      <c r="F2647" s="37" t="s">
        <v>194</v>
      </c>
      <c r="G2647" s="37" t="s">
        <v>354</v>
      </c>
      <c r="H2647" s="37"/>
      <c r="I2647" s="37" t="s">
        <v>355</v>
      </c>
      <c r="J2647" s="37" t="s">
        <v>1900</v>
      </c>
      <c r="K2647" s="45" t="n">
        <v>326.4</v>
      </c>
      <c r="L2647" s="46" t="n">
        <v>24157.05</v>
      </c>
    </row>
    <row r="2648" customFormat="false" ht="15" hidden="false" customHeight="false" outlineLevel="0" collapsed="false">
      <c r="A2648" s="37" t="n">
        <v>502620</v>
      </c>
      <c r="B2648" s="37" t="s">
        <v>1898</v>
      </c>
      <c r="C2648" s="37" t="n">
        <v>202609</v>
      </c>
      <c r="D2648" s="37" t="s">
        <v>68</v>
      </c>
      <c r="E2648" s="37" t="s">
        <v>104</v>
      </c>
      <c r="F2648" s="37" t="s">
        <v>201</v>
      </c>
      <c r="G2648" s="37" t="s">
        <v>358</v>
      </c>
      <c r="H2648" s="37" t="s">
        <v>1902</v>
      </c>
      <c r="I2648" s="37" t="s">
        <v>1903</v>
      </c>
      <c r="J2648" s="37" t="s">
        <v>1899</v>
      </c>
      <c r="K2648" s="45" t="n">
        <v>0</v>
      </c>
      <c r="L2648" s="46" t="n">
        <v>28087.4</v>
      </c>
    </row>
    <row r="2649" customFormat="false" ht="15" hidden="false" customHeight="false" outlineLevel="0" collapsed="false">
      <c r="A2649" s="37" t="n">
        <v>502622</v>
      </c>
      <c r="B2649" s="37" t="s">
        <v>1898</v>
      </c>
      <c r="C2649" s="37" t="n">
        <v>202609</v>
      </c>
      <c r="D2649" s="37" t="s">
        <v>68</v>
      </c>
      <c r="E2649" s="37" t="s">
        <v>105</v>
      </c>
      <c r="F2649" s="37" t="s">
        <v>201</v>
      </c>
      <c r="G2649" s="37" t="s">
        <v>358</v>
      </c>
      <c r="H2649" s="37" t="s">
        <v>1793</v>
      </c>
      <c r="I2649" s="37" t="s">
        <v>934</v>
      </c>
      <c r="J2649" s="37" t="s">
        <v>1899</v>
      </c>
      <c r="K2649" s="45" t="n">
        <v>0</v>
      </c>
      <c r="L2649" s="46" t="n">
        <v>269749.44</v>
      </c>
    </row>
    <row r="2650" customFormat="false" ht="15" hidden="false" customHeight="false" outlineLevel="0" collapsed="false">
      <c r="A2650" s="37" t="n">
        <v>502626</v>
      </c>
      <c r="B2650" s="37" t="s">
        <v>1898</v>
      </c>
      <c r="C2650" s="37" t="n">
        <v>202609</v>
      </c>
      <c r="D2650" s="37" t="s">
        <v>68</v>
      </c>
      <c r="E2650" s="37" t="s">
        <v>106</v>
      </c>
      <c r="F2650" s="37" t="s">
        <v>194</v>
      </c>
      <c r="G2650" s="37" t="s">
        <v>354</v>
      </c>
      <c r="H2650" s="37"/>
      <c r="I2650" s="37" t="s">
        <v>355</v>
      </c>
      <c r="J2650" s="37" t="s">
        <v>1900</v>
      </c>
      <c r="K2650" s="45" t="n">
        <v>9.2</v>
      </c>
      <c r="L2650" s="46" t="n">
        <v>650.95</v>
      </c>
    </row>
    <row r="2651" customFormat="false" ht="15" hidden="false" customHeight="false" outlineLevel="0" collapsed="false">
      <c r="A2651" s="37" t="n">
        <v>502628</v>
      </c>
      <c r="B2651" s="37" t="s">
        <v>1898</v>
      </c>
      <c r="C2651" s="37" t="n">
        <v>202609</v>
      </c>
      <c r="D2651" s="37" t="s">
        <v>68</v>
      </c>
      <c r="E2651" s="37" t="s">
        <v>110</v>
      </c>
      <c r="F2651" s="37" t="s">
        <v>201</v>
      </c>
      <c r="G2651" s="37" t="s">
        <v>358</v>
      </c>
      <c r="H2651" s="37" t="s">
        <v>1794</v>
      </c>
      <c r="I2651" s="37" t="s">
        <v>548</v>
      </c>
      <c r="J2651" s="37" t="s">
        <v>1899</v>
      </c>
      <c r="K2651" s="45" t="n">
        <v>0</v>
      </c>
      <c r="L2651" s="46" t="n">
        <v>51874.95</v>
      </c>
    </row>
    <row r="2652" customFormat="false" ht="15" hidden="false" customHeight="false" outlineLevel="0" collapsed="false">
      <c r="A2652" s="37" t="n">
        <v>502630</v>
      </c>
      <c r="B2652" s="37" t="s">
        <v>1898</v>
      </c>
      <c r="C2652" s="37" t="n">
        <v>202609</v>
      </c>
      <c r="D2652" s="37" t="s">
        <v>68</v>
      </c>
      <c r="E2652" s="37" t="s">
        <v>111</v>
      </c>
      <c r="F2652" s="37" t="s">
        <v>201</v>
      </c>
      <c r="G2652" s="37" t="s">
        <v>358</v>
      </c>
      <c r="H2652" s="37" t="s">
        <v>1795</v>
      </c>
      <c r="I2652" s="37" t="s">
        <v>1012</v>
      </c>
      <c r="J2652" s="37" t="s">
        <v>1899</v>
      </c>
      <c r="K2652" s="45" t="n">
        <v>0</v>
      </c>
      <c r="L2652" s="46" t="n">
        <v>39165.94</v>
      </c>
    </row>
    <row r="2653" customFormat="false" ht="15" hidden="false" customHeight="false" outlineLevel="0" collapsed="false">
      <c r="A2653" s="37" t="n">
        <v>502643</v>
      </c>
      <c r="B2653" s="37" t="s">
        <v>1898</v>
      </c>
      <c r="C2653" s="37" t="n">
        <v>202609</v>
      </c>
      <c r="D2653" s="37" t="s">
        <v>69</v>
      </c>
      <c r="E2653" s="37" t="s">
        <v>97</v>
      </c>
      <c r="F2653" s="37" t="s">
        <v>194</v>
      </c>
      <c r="G2653" s="37" t="s">
        <v>354</v>
      </c>
      <c r="H2653" s="37"/>
      <c r="I2653" s="37" t="s">
        <v>355</v>
      </c>
      <c r="J2653" s="37" t="s">
        <v>1900</v>
      </c>
      <c r="K2653" s="45" t="n">
        <v>88.7</v>
      </c>
      <c r="L2653" s="46" t="n">
        <v>8161.76</v>
      </c>
    </row>
    <row r="2654" customFormat="false" ht="15" hidden="false" customHeight="false" outlineLevel="0" collapsed="false">
      <c r="A2654" s="37" t="n">
        <v>502655</v>
      </c>
      <c r="B2654" s="37" t="s">
        <v>1898</v>
      </c>
      <c r="C2654" s="37" t="n">
        <v>202609</v>
      </c>
      <c r="D2654" s="37" t="s">
        <v>69</v>
      </c>
      <c r="E2654" s="37" t="s">
        <v>100</v>
      </c>
      <c r="F2654" s="37" t="s">
        <v>201</v>
      </c>
      <c r="G2654" s="37" t="s">
        <v>358</v>
      </c>
      <c r="H2654" s="37" t="s">
        <v>1697</v>
      </c>
      <c r="I2654" s="37" t="s">
        <v>854</v>
      </c>
      <c r="J2654" s="37" t="s">
        <v>1899</v>
      </c>
      <c r="K2654" s="45" t="n">
        <v>0</v>
      </c>
      <c r="L2654" s="46" t="n">
        <v>71109.21</v>
      </c>
    </row>
    <row r="2655" customFormat="false" ht="15" hidden="false" customHeight="false" outlineLevel="0" collapsed="false">
      <c r="A2655" s="37" t="n">
        <v>502663</v>
      </c>
      <c r="B2655" s="37" t="s">
        <v>1898</v>
      </c>
      <c r="C2655" s="37" t="n">
        <v>202609</v>
      </c>
      <c r="D2655" s="37" t="s">
        <v>69</v>
      </c>
      <c r="E2655" s="37" t="s">
        <v>101</v>
      </c>
      <c r="F2655" s="37" t="s">
        <v>194</v>
      </c>
      <c r="G2655" s="37" t="s">
        <v>354</v>
      </c>
      <c r="H2655" s="37"/>
      <c r="I2655" s="37" t="s">
        <v>355</v>
      </c>
      <c r="J2655" s="37" t="s">
        <v>1900</v>
      </c>
      <c r="K2655" s="45" t="n">
        <v>216.5</v>
      </c>
      <c r="L2655" s="46" t="n">
        <v>16022.2</v>
      </c>
    </row>
    <row r="2656" customFormat="false" ht="15" hidden="false" customHeight="false" outlineLevel="0" collapsed="false">
      <c r="A2656" s="37" t="n">
        <v>502670</v>
      </c>
      <c r="B2656" s="37" t="s">
        <v>1898</v>
      </c>
      <c r="C2656" s="37" t="n">
        <v>202609</v>
      </c>
      <c r="D2656" s="37" t="s">
        <v>69</v>
      </c>
      <c r="E2656" s="37" t="s">
        <v>103</v>
      </c>
      <c r="F2656" s="37" t="s">
        <v>205</v>
      </c>
      <c r="G2656" s="37" t="s">
        <v>358</v>
      </c>
      <c r="H2656" s="37" t="s">
        <v>1735</v>
      </c>
      <c r="I2656" s="37" t="s">
        <v>1369</v>
      </c>
      <c r="J2656" s="37" t="s">
        <v>1904</v>
      </c>
      <c r="K2656" s="45" t="n">
        <v>0</v>
      </c>
      <c r="L2656" s="46" t="n">
        <v>17698.1</v>
      </c>
    </row>
    <row r="2657" customFormat="false" ht="15" hidden="false" customHeight="false" outlineLevel="0" collapsed="false">
      <c r="A2657" s="37" t="n">
        <v>500750</v>
      </c>
      <c r="B2657" s="37" t="s">
        <v>1905</v>
      </c>
      <c r="C2657" s="37" t="n">
        <v>202609</v>
      </c>
      <c r="D2657" s="37" t="s">
        <v>59</v>
      </c>
      <c r="E2657" s="37" t="s">
        <v>108</v>
      </c>
      <c r="F2657" s="37" t="s">
        <v>205</v>
      </c>
      <c r="G2657" s="37" t="s">
        <v>358</v>
      </c>
      <c r="H2657" s="37" t="s">
        <v>1385</v>
      </c>
      <c r="I2657" s="37" t="s">
        <v>1386</v>
      </c>
      <c r="J2657" s="37" t="s">
        <v>1906</v>
      </c>
      <c r="K2657" s="45" t="n">
        <v>0</v>
      </c>
      <c r="L2657" s="46" t="n">
        <v>17581.66</v>
      </c>
    </row>
    <row r="2658" customFormat="false" ht="15" hidden="false" customHeight="false" outlineLevel="0" collapsed="false">
      <c r="A2658" s="37" t="n">
        <v>500972</v>
      </c>
      <c r="B2658" s="37" t="s">
        <v>1905</v>
      </c>
      <c r="C2658" s="37" t="n">
        <v>202609</v>
      </c>
      <c r="D2658" s="37" t="s">
        <v>60</v>
      </c>
      <c r="E2658" s="37" t="s">
        <v>102</v>
      </c>
      <c r="F2658" s="37" t="s">
        <v>205</v>
      </c>
      <c r="G2658" s="37" t="s">
        <v>358</v>
      </c>
      <c r="H2658" s="37" t="s">
        <v>670</v>
      </c>
      <c r="I2658" s="37" t="s">
        <v>671</v>
      </c>
      <c r="J2658" s="37" t="s">
        <v>1907</v>
      </c>
      <c r="K2658" s="45" t="n">
        <v>0</v>
      </c>
      <c r="L2658" s="46" t="n">
        <v>0.01</v>
      </c>
    </row>
    <row r="2659" customFormat="false" ht="15" hidden="false" customHeight="false" outlineLevel="0" collapsed="false">
      <c r="A2659" s="37" t="n">
        <v>501336</v>
      </c>
      <c r="B2659" s="37" t="s">
        <v>1908</v>
      </c>
      <c r="C2659" s="37" t="n">
        <v>202609</v>
      </c>
      <c r="D2659" s="37" t="s">
        <v>61</v>
      </c>
      <c r="E2659" s="37" t="s">
        <v>108</v>
      </c>
      <c r="F2659" s="37" t="s">
        <v>205</v>
      </c>
      <c r="G2659" s="37" t="s">
        <v>358</v>
      </c>
      <c r="H2659" s="37" t="s">
        <v>1404</v>
      </c>
      <c r="I2659" s="37" t="s">
        <v>1405</v>
      </c>
      <c r="J2659" s="37" t="s">
        <v>1909</v>
      </c>
      <c r="K2659" s="45" t="n">
        <v>0</v>
      </c>
      <c r="L2659" s="46" t="n">
        <v>1170.22</v>
      </c>
    </row>
    <row r="2660" customFormat="false" ht="15" hidden="false" customHeight="false" outlineLevel="0" collapsed="false">
      <c r="A2660" s="37" t="n">
        <v>501996</v>
      </c>
      <c r="B2660" s="37" t="s">
        <v>1908</v>
      </c>
      <c r="C2660" s="37" t="n">
        <v>202609</v>
      </c>
      <c r="D2660" s="37" t="s">
        <v>64</v>
      </c>
      <c r="E2660" s="37" t="s">
        <v>102</v>
      </c>
      <c r="F2660" s="37" t="s">
        <v>205</v>
      </c>
      <c r="G2660" s="37" t="s">
        <v>358</v>
      </c>
      <c r="H2660" s="37" t="s">
        <v>947</v>
      </c>
      <c r="I2660" s="37" t="s">
        <v>811</v>
      </c>
      <c r="J2660" s="37" t="s">
        <v>1910</v>
      </c>
      <c r="K2660" s="45" t="n">
        <v>0</v>
      </c>
      <c r="L2660" s="46" t="n">
        <v>0.01</v>
      </c>
    </row>
    <row r="2661" customFormat="false" ht="15" hidden="false" customHeight="false" outlineLevel="0" collapsed="false">
      <c r="A2661" s="37" t="n">
        <v>502249</v>
      </c>
      <c r="B2661" s="37" t="s">
        <v>1908</v>
      </c>
      <c r="C2661" s="37" t="n">
        <v>202609</v>
      </c>
      <c r="D2661" s="37" t="s">
        <v>65</v>
      </c>
      <c r="E2661" s="37" t="s">
        <v>108</v>
      </c>
      <c r="F2661" s="37" t="s">
        <v>205</v>
      </c>
      <c r="G2661" s="37" t="s">
        <v>358</v>
      </c>
      <c r="H2661" s="37" t="s">
        <v>1725</v>
      </c>
      <c r="I2661" s="37" t="s">
        <v>1405</v>
      </c>
      <c r="J2661" s="37" t="s">
        <v>1911</v>
      </c>
      <c r="K2661" s="45" t="n">
        <v>0</v>
      </c>
      <c r="L2661" s="46" t="n">
        <v>11411.01</v>
      </c>
    </row>
    <row r="2662" customFormat="false" ht="15" hidden="false" customHeight="false" outlineLevel="0" collapsed="false">
      <c r="A2662" s="37" t="n">
        <v>500588</v>
      </c>
      <c r="B2662" s="37" t="s">
        <v>1912</v>
      </c>
      <c r="C2662" s="37" t="n">
        <v>202609</v>
      </c>
      <c r="D2662" s="37" t="s">
        <v>59</v>
      </c>
      <c r="E2662" s="37" t="s">
        <v>99</v>
      </c>
      <c r="F2662" s="37" t="s">
        <v>198</v>
      </c>
      <c r="G2662" s="37" t="s">
        <v>375</v>
      </c>
      <c r="H2662" s="37"/>
      <c r="I2662" s="37" t="s">
        <v>376</v>
      </c>
      <c r="J2662" s="37" t="s">
        <v>377</v>
      </c>
      <c r="K2662" s="45" t="n">
        <v>0</v>
      </c>
      <c r="L2662" s="46" t="n">
        <v>4140.76</v>
      </c>
    </row>
    <row r="2663" customFormat="false" ht="15" hidden="false" customHeight="false" outlineLevel="0" collapsed="false">
      <c r="A2663" s="37" t="n">
        <v>500910</v>
      </c>
      <c r="B2663" s="37" t="s">
        <v>1912</v>
      </c>
      <c r="C2663" s="37" t="n">
        <v>202609</v>
      </c>
      <c r="D2663" s="37" t="s">
        <v>60</v>
      </c>
      <c r="E2663" s="37" t="s">
        <v>99</v>
      </c>
      <c r="F2663" s="37" t="s">
        <v>198</v>
      </c>
      <c r="G2663" s="37" t="s">
        <v>375</v>
      </c>
      <c r="H2663" s="37"/>
      <c r="I2663" s="37" t="s">
        <v>376</v>
      </c>
      <c r="J2663" s="37" t="s">
        <v>377</v>
      </c>
      <c r="K2663" s="45" t="n">
        <v>0</v>
      </c>
      <c r="L2663" s="46" t="n">
        <v>9976.15</v>
      </c>
    </row>
    <row r="2664" customFormat="false" ht="15" hidden="false" customHeight="false" outlineLevel="0" collapsed="false">
      <c r="A2664" s="37" t="n">
        <v>501468</v>
      </c>
      <c r="B2664" s="37" t="s">
        <v>1912</v>
      </c>
      <c r="C2664" s="37" t="n">
        <v>202609</v>
      </c>
      <c r="D2664" s="37" t="s">
        <v>62</v>
      </c>
      <c r="E2664" s="37" t="s">
        <v>99</v>
      </c>
      <c r="F2664" s="37" t="s">
        <v>198</v>
      </c>
      <c r="G2664" s="37" t="s">
        <v>375</v>
      </c>
      <c r="H2664" s="37"/>
      <c r="I2664" s="37" t="s">
        <v>376</v>
      </c>
      <c r="J2664" s="37" t="s">
        <v>377</v>
      </c>
      <c r="K2664" s="45" t="n">
        <v>0</v>
      </c>
      <c r="L2664" s="46" t="n">
        <v>39685.82</v>
      </c>
    </row>
    <row r="2665" customFormat="false" ht="15" hidden="false" customHeight="false" outlineLevel="0" collapsed="false">
      <c r="A2665" s="37" t="n">
        <v>501719</v>
      </c>
      <c r="B2665" s="37" t="s">
        <v>1912</v>
      </c>
      <c r="C2665" s="37" t="n">
        <v>202609</v>
      </c>
      <c r="D2665" s="37" t="s">
        <v>63</v>
      </c>
      <c r="E2665" s="37" t="s">
        <v>99</v>
      </c>
      <c r="F2665" s="37" t="s">
        <v>198</v>
      </c>
      <c r="G2665" s="37" t="s">
        <v>375</v>
      </c>
      <c r="H2665" s="37"/>
      <c r="I2665" s="37" t="s">
        <v>376</v>
      </c>
      <c r="J2665" s="37" t="s">
        <v>377</v>
      </c>
      <c r="K2665" s="45" t="n">
        <v>0</v>
      </c>
      <c r="L2665" s="46" t="n">
        <v>4106.24</v>
      </c>
    </row>
    <row r="2666" customFormat="false" ht="15" hidden="false" customHeight="false" outlineLevel="0" collapsed="false">
      <c r="A2666" s="37" t="n">
        <v>501944</v>
      </c>
      <c r="B2666" s="37" t="s">
        <v>1912</v>
      </c>
      <c r="C2666" s="37" t="n">
        <v>202609</v>
      </c>
      <c r="D2666" s="37" t="s">
        <v>64</v>
      </c>
      <c r="E2666" s="37" t="s">
        <v>99</v>
      </c>
      <c r="F2666" s="37" t="s">
        <v>198</v>
      </c>
      <c r="G2666" s="37" t="s">
        <v>375</v>
      </c>
      <c r="H2666" s="37"/>
      <c r="I2666" s="37" t="s">
        <v>376</v>
      </c>
      <c r="J2666" s="37" t="s">
        <v>377</v>
      </c>
      <c r="K2666" s="45" t="n">
        <v>0</v>
      </c>
      <c r="L2666" s="46" t="n">
        <v>22872.99</v>
      </c>
    </row>
    <row r="2667" customFormat="false" ht="15" hidden="false" customHeight="false" outlineLevel="0" collapsed="false">
      <c r="A2667" s="37" t="n">
        <v>502153</v>
      </c>
      <c r="B2667" s="37" t="s">
        <v>1912</v>
      </c>
      <c r="C2667" s="37" t="n">
        <v>202609</v>
      </c>
      <c r="D2667" s="37" t="s">
        <v>65</v>
      </c>
      <c r="E2667" s="37" t="s">
        <v>99</v>
      </c>
      <c r="F2667" s="37" t="s">
        <v>198</v>
      </c>
      <c r="G2667" s="37" t="s">
        <v>375</v>
      </c>
      <c r="H2667" s="37"/>
      <c r="I2667" s="37" t="s">
        <v>376</v>
      </c>
      <c r="J2667" s="37" t="s">
        <v>377</v>
      </c>
      <c r="K2667" s="45" t="n">
        <v>0</v>
      </c>
      <c r="L2667" s="46" t="n">
        <v>42365.58</v>
      </c>
    </row>
    <row r="2668" customFormat="false" ht="15" hidden="false" customHeight="false" outlineLevel="0" collapsed="false">
      <c r="A2668" s="37" t="n">
        <v>502334</v>
      </c>
      <c r="B2668" s="37" t="s">
        <v>1912</v>
      </c>
      <c r="C2668" s="37" t="n">
        <v>202609</v>
      </c>
      <c r="D2668" s="37" t="s">
        <v>66</v>
      </c>
      <c r="E2668" s="37" t="s">
        <v>99</v>
      </c>
      <c r="F2668" s="37" t="s">
        <v>198</v>
      </c>
      <c r="G2668" s="37" t="s">
        <v>375</v>
      </c>
      <c r="H2668" s="37"/>
      <c r="I2668" s="37" t="s">
        <v>376</v>
      </c>
      <c r="J2668" s="37" t="s">
        <v>377</v>
      </c>
      <c r="K2668" s="45" t="n">
        <v>0</v>
      </c>
      <c r="L2668" s="46" t="n">
        <v>56234.84</v>
      </c>
    </row>
    <row r="2669" customFormat="false" ht="15" hidden="false" customHeight="false" outlineLevel="0" collapsed="false">
      <c r="A2669" s="37" t="n">
        <v>502471</v>
      </c>
      <c r="B2669" s="37" t="s">
        <v>1912</v>
      </c>
      <c r="C2669" s="37" t="n">
        <v>202609</v>
      </c>
      <c r="D2669" s="37" t="s">
        <v>67</v>
      </c>
      <c r="E2669" s="37" t="s">
        <v>99</v>
      </c>
      <c r="F2669" s="37" t="s">
        <v>198</v>
      </c>
      <c r="G2669" s="37" t="s">
        <v>375</v>
      </c>
      <c r="H2669" s="37"/>
      <c r="I2669" s="37" t="s">
        <v>376</v>
      </c>
      <c r="J2669" s="37" t="s">
        <v>377</v>
      </c>
      <c r="K2669" s="45" t="n">
        <v>0</v>
      </c>
      <c r="L2669" s="46" t="n">
        <v>63416.51</v>
      </c>
    </row>
    <row r="2670" customFormat="false" ht="15" hidden="false" customHeight="false" outlineLevel="0" collapsed="false">
      <c r="A2670" s="37" t="n">
        <v>502579</v>
      </c>
      <c r="B2670" s="37" t="s">
        <v>1912</v>
      </c>
      <c r="C2670" s="37" t="n">
        <v>202609</v>
      </c>
      <c r="D2670" s="37" t="s">
        <v>68</v>
      </c>
      <c r="E2670" s="37" t="s">
        <v>99</v>
      </c>
      <c r="F2670" s="37" t="s">
        <v>198</v>
      </c>
      <c r="G2670" s="37" t="s">
        <v>375</v>
      </c>
      <c r="H2670" s="37"/>
      <c r="I2670" s="37" t="s">
        <v>376</v>
      </c>
      <c r="J2670" s="37" t="s">
        <v>377</v>
      </c>
      <c r="K2670" s="45" t="n">
        <v>0</v>
      </c>
      <c r="L2670" s="46" t="n">
        <v>40585.42</v>
      </c>
    </row>
    <row r="2671" customFormat="false" ht="15" hidden="false" customHeight="false" outlineLevel="0" collapsed="false">
      <c r="A2671" s="37" t="n">
        <v>502652</v>
      </c>
      <c r="B2671" s="37" t="s">
        <v>1912</v>
      </c>
      <c r="C2671" s="37" t="n">
        <v>202609</v>
      </c>
      <c r="D2671" s="37" t="s">
        <v>69</v>
      </c>
      <c r="E2671" s="37" t="s">
        <v>99</v>
      </c>
      <c r="F2671" s="37" t="s">
        <v>198</v>
      </c>
      <c r="G2671" s="37" t="s">
        <v>375</v>
      </c>
      <c r="H2671" s="37"/>
      <c r="I2671" s="37" t="s">
        <v>376</v>
      </c>
      <c r="J2671" s="37" t="s">
        <v>377</v>
      </c>
      <c r="K2671" s="45" t="n">
        <v>0</v>
      </c>
      <c r="L2671" s="46" t="n">
        <v>9226.83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5"/>
  </cols>
  <sheetData>
    <row r="1" customFormat="false" ht="19.5" hidden="false" customHeight="true" outlineLevel="0" collapsed="false">
      <c r="A1" s="11" t="s">
        <v>1913</v>
      </c>
      <c r="B1" s="11" t="s">
        <v>1914</v>
      </c>
      <c r="C1" s="11" t="s">
        <v>347</v>
      </c>
      <c r="D1" s="11" t="s">
        <v>122</v>
      </c>
      <c r="E1" s="11" t="s">
        <v>1915</v>
      </c>
      <c r="F1" s="11" t="s">
        <v>1916</v>
      </c>
      <c r="G1" s="11" t="s">
        <v>1917</v>
      </c>
    </row>
    <row r="2" customFormat="false" ht="15" hidden="false" customHeight="false" outlineLevel="0" collapsed="false">
      <c r="A2" s="37" t="s">
        <v>1918</v>
      </c>
      <c r="B2" s="37" t="s">
        <v>374</v>
      </c>
      <c r="C2" s="37" t="n">
        <v>202406</v>
      </c>
      <c r="D2" s="37" t="s">
        <v>58</v>
      </c>
      <c r="E2" s="46" t="n">
        <v>41354.12</v>
      </c>
      <c r="F2" s="46" t="n">
        <v>4135.41</v>
      </c>
      <c r="G2" s="46" t="n">
        <v>37218.71</v>
      </c>
    </row>
    <row r="3" customFormat="false" ht="15" hidden="false" customHeight="false" outlineLevel="0" collapsed="false">
      <c r="A3" s="37" t="s">
        <v>1919</v>
      </c>
      <c r="B3" s="37" t="s">
        <v>389</v>
      </c>
      <c r="C3" s="37" t="n">
        <v>202407</v>
      </c>
      <c r="D3" s="37" t="s">
        <v>58</v>
      </c>
      <c r="E3" s="46" t="n">
        <v>101455.73</v>
      </c>
      <c r="F3" s="46" t="n">
        <v>10145.57</v>
      </c>
      <c r="G3" s="46" t="n">
        <v>91310.16</v>
      </c>
    </row>
    <row r="4" customFormat="false" ht="15" hidden="false" customHeight="false" outlineLevel="0" collapsed="false">
      <c r="A4" s="37" t="s">
        <v>1920</v>
      </c>
      <c r="B4" s="37" t="s">
        <v>418</v>
      </c>
      <c r="C4" s="37" t="n">
        <v>202408</v>
      </c>
      <c r="D4" s="37" t="s">
        <v>58</v>
      </c>
      <c r="E4" s="46" t="n">
        <v>196718.69</v>
      </c>
      <c r="F4" s="46" t="n">
        <v>19671.87</v>
      </c>
      <c r="G4" s="46" t="n">
        <v>177046.82</v>
      </c>
    </row>
    <row r="5" customFormat="false" ht="15" hidden="false" customHeight="false" outlineLevel="0" collapsed="false">
      <c r="A5" s="37" t="s">
        <v>1921</v>
      </c>
      <c r="B5" s="37" t="s">
        <v>441</v>
      </c>
      <c r="C5" s="37" t="n">
        <v>202409</v>
      </c>
      <c r="D5" s="37" t="s">
        <v>58</v>
      </c>
      <c r="E5" s="46" t="n">
        <v>261620.38</v>
      </c>
      <c r="F5" s="46" t="n">
        <v>26162.04</v>
      </c>
      <c r="G5" s="46" t="n">
        <v>235458.34</v>
      </c>
    </row>
    <row r="6" customFormat="false" ht="15" hidden="false" customHeight="false" outlineLevel="0" collapsed="false">
      <c r="A6" s="37" t="s">
        <v>1922</v>
      </c>
      <c r="B6" s="37" t="s">
        <v>464</v>
      </c>
      <c r="C6" s="37" t="n">
        <v>202410</v>
      </c>
      <c r="D6" s="37" t="s">
        <v>58</v>
      </c>
      <c r="E6" s="46" t="n">
        <v>365807.03</v>
      </c>
      <c r="F6" s="46" t="n">
        <v>36580.7</v>
      </c>
      <c r="G6" s="46" t="n">
        <v>329226.33</v>
      </c>
    </row>
    <row r="7" customFormat="false" ht="15" hidden="false" customHeight="false" outlineLevel="0" collapsed="false">
      <c r="A7" s="37" t="s">
        <v>1923</v>
      </c>
      <c r="B7" s="37" t="s">
        <v>486</v>
      </c>
      <c r="C7" s="37" t="n">
        <v>202411</v>
      </c>
      <c r="D7" s="37" t="s">
        <v>58</v>
      </c>
      <c r="E7" s="46" t="n">
        <v>424141.02</v>
      </c>
      <c r="F7" s="46" t="n">
        <v>42414.1</v>
      </c>
      <c r="G7" s="46" t="n">
        <v>381726.92</v>
      </c>
    </row>
    <row r="8" customFormat="false" ht="15" hidden="false" customHeight="false" outlineLevel="0" collapsed="false">
      <c r="A8" s="37" t="s">
        <v>1924</v>
      </c>
      <c r="B8" s="37" t="s">
        <v>513</v>
      </c>
      <c r="C8" s="37" t="n">
        <v>202412</v>
      </c>
      <c r="D8" s="37" t="s">
        <v>58</v>
      </c>
      <c r="E8" s="46" t="n">
        <v>474156.55</v>
      </c>
      <c r="F8" s="46" t="n">
        <v>47415.65</v>
      </c>
      <c r="G8" s="46" t="n">
        <v>426740.9</v>
      </c>
    </row>
    <row r="9" customFormat="false" ht="15" hidden="false" customHeight="false" outlineLevel="0" collapsed="false">
      <c r="A9" s="37" t="s">
        <v>1925</v>
      </c>
      <c r="B9" s="37" t="s">
        <v>532</v>
      </c>
      <c r="C9" s="37" t="n">
        <v>202501</v>
      </c>
      <c r="D9" s="37" t="s">
        <v>58</v>
      </c>
      <c r="E9" s="46" t="n">
        <v>593859.7</v>
      </c>
      <c r="F9" s="46" t="n">
        <v>59385.97</v>
      </c>
      <c r="G9" s="46" t="n">
        <v>534473.73</v>
      </c>
    </row>
    <row r="10" customFormat="false" ht="15" hidden="false" customHeight="false" outlineLevel="0" collapsed="false">
      <c r="A10" s="37" t="s">
        <v>1926</v>
      </c>
      <c r="B10" s="37" t="s">
        <v>554</v>
      </c>
      <c r="C10" s="37" t="n">
        <v>202502</v>
      </c>
      <c r="D10" s="37" t="s">
        <v>58</v>
      </c>
      <c r="E10" s="46" t="n">
        <v>553873.35</v>
      </c>
      <c r="F10" s="46" t="n">
        <v>55387.33</v>
      </c>
      <c r="G10" s="46" t="n">
        <v>498486.02</v>
      </c>
    </row>
    <row r="11" customFormat="false" ht="15" hidden="false" customHeight="false" outlineLevel="0" collapsed="false">
      <c r="A11" s="37" t="s">
        <v>1927</v>
      </c>
      <c r="B11" s="37" t="s">
        <v>584</v>
      </c>
      <c r="C11" s="37" t="n">
        <v>202503</v>
      </c>
      <c r="D11" s="37" t="s">
        <v>58</v>
      </c>
      <c r="E11" s="46" t="n">
        <v>733027.19</v>
      </c>
      <c r="F11" s="46" t="n">
        <v>73302.72</v>
      </c>
      <c r="G11" s="46" t="n">
        <v>659724.47</v>
      </c>
    </row>
    <row r="12" customFormat="false" ht="15" hidden="false" customHeight="false" outlineLevel="0" collapsed="false">
      <c r="A12" s="37" t="s">
        <v>1928</v>
      </c>
      <c r="B12" s="37" t="s">
        <v>610</v>
      </c>
      <c r="C12" s="37" t="n">
        <v>202504</v>
      </c>
      <c r="D12" s="37" t="s">
        <v>58</v>
      </c>
      <c r="E12" s="46" t="n">
        <v>754750.62</v>
      </c>
      <c r="F12" s="46" t="n">
        <v>75475.06</v>
      </c>
      <c r="G12" s="46" t="n">
        <v>679275.56</v>
      </c>
    </row>
    <row r="13" customFormat="false" ht="15" hidden="false" customHeight="false" outlineLevel="0" collapsed="false">
      <c r="A13" s="37" t="s">
        <v>1929</v>
      </c>
      <c r="B13" s="37" t="s">
        <v>653</v>
      </c>
      <c r="C13" s="37" t="n">
        <v>202505</v>
      </c>
      <c r="D13" s="37" t="s">
        <v>58</v>
      </c>
      <c r="E13" s="46" t="n">
        <v>760584.22</v>
      </c>
      <c r="F13" s="46" t="n">
        <v>76058.42</v>
      </c>
      <c r="G13" s="46" t="n">
        <v>684525.8</v>
      </c>
    </row>
    <row r="14" customFormat="false" ht="15" hidden="false" customHeight="false" outlineLevel="0" collapsed="false">
      <c r="A14" s="37" t="s">
        <v>1930</v>
      </c>
      <c r="B14" s="37" t="s">
        <v>694</v>
      </c>
      <c r="C14" s="37" t="n">
        <v>202506</v>
      </c>
      <c r="D14" s="37" t="s">
        <v>58</v>
      </c>
      <c r="E14" s="46" t="n">
        <v>814737.86</v>
      </c>
      <c r="F14" s="46" t="n">
        <v>81473.79</v>
      </c>
      <c r="G14" s="46" t="n">
        <v>733264.07</v>
      </c>
    </row>
    <row r="15" customFormat="false" ht="15" hidden="false" customHeight="false" outlineLevel="0" collapsed="false">
      <c r="A15" s="37" t="s">
        <v>1931</v>
      </c>
      <c r="B15" s="37" t="s">
        <v>746</v>
      </c>
      <c r="C15" s="37" t="n">
        <v>202507</v>
      </c>
      <c r="D15" s="37" t="s">
        <v>58</v>
      </c>
      <c r="E15" s="46" t="n">
        <v>902535.5</v>
      </c>
      <c r="F15" s="46" t="n">
        <v>90253.55</v>
      </c>
      <c r="G15" s="46" t="n">
        <v>812281.95</v>
      </c>
    </row>
    <row r="16" customFormat="false" ht="15" hidden="false" customHeight="false" outlineLevel="0" collapsed="false">
      <c r="A16" s="37" t="s">
        <v>1932</v>
      </c>
      <c r="B16" s="37" t="s">
        <v>802</v>
      </c>
      <c r="C16" s="37" t="n">
        <v>202508</v>
      </c>
      <c r="D16" s="37" t="s">
        <v>58</v>
      </c>
      <c r="E16" s="46" t="n">
        <v>954895.62</v>
      </c>
      <c r="F16" s="46" t="n">
        <v>95489.56</v>
      </c>
      <c r="G16" s="46" t="n">
        <v>859406.06</v>
      </c>
    </row>
    <row r="17" customFormat="false" ht="15" hidden="false" customHeight="false" outlineLevel="0" collapsed="false">
      <c r="A17" s="37" t="s">
        <v>1933</v>
      </c>
      <c r="B17" s="37" t="s">
        <v>863</v>
      </c>
      <c r="C17" s="37" t="n">
        <v>202509</v>
      </c>
      <c r="D17" s="37" t="s">
        <v>58</v>
      </c>
      <c r="E17" s="46" t="n">
        <v>916197.29</v>
      </c>
      <c r="F17" s="46" t="n">
        <v>91619.73</v>
      </c>
      <c r="G17" s="46" t="n">
        <v>824577.56</v>
      </c>
    </row>
    <row r="18" customFormat="false" ht="15" hidden="false" customHeight="false" outlineLevel="0" collapsed="false">
      <c r="A18" s="37" t="s">
        <v>1934</v>
      </c>
      <c r="B18" s="37" t="s">
        <v>941</v>
      </c>
      <c r="C18" s="37" t="n">
        <v>202510</v>
      </c>
      <c r="D18" s="37" t="s">
        <v>58</v>
      </c>
      <c r="E18" s="46" t="n">
        <v>1006109.93</v>
      </c>
      <c r="F18" s="46" t="n">
        <v>100610.99</v>
      </c>
      <c r="G18" s="46" t="n">
        <v>905498.94</v>
      </c>
    </row>
    <row r="19" customFormat="false" ht="15" hidden="false" customHeight="false" outlineLevel="0" collapsed="false">
      <c r="A19" s="37" t="s">
        <v>1935</v>
      </c>
      <c r="B19" s="37" t="s">
        <v>1024</v>
      </c>
      <c r="C19" s="37" t="n">
        <v>202511</v>
      </c>
      <c r="D19" s="37" t="s">
        <v>58</v>
      </c>
      <c r="E19" s="46" t="n">
        <v>850788.29</v>
      </c>
      <c r="F19" s="46" t="n">
        <v>85078.83</v>
      </c>
      <c r="G19" s="46" t="n">
        <v>765709.46</v>
      </c>
    </row>
    <row r="20" customFormat="false" ht="15" hidden="false" customHeight="false" outlineLevel="0" collapsed="false">
      <c r="A20" s="37" t="s">
        <v>1936</v>
      </c>
      <c r="B20" s="37" t="s">
        <v>1108</v>
      </c>
      <c r="C20" s="37" t="n">
        <v>202512</v>
      </c>
      <c r="D20" s="37" t="s">
        <v>58</v>
      </c>
      <c r="E20" s="46" t="n">
        <v>898561.07</v>
      </c>
      <c r="F20" s="46" t="n">
        <v>89856.11</v>
      </c>
      <c r="G20" s="46" t="n">
        <v>808704.96</v>
      </c>
    </row>
    <row r="21" customFormat="false" ht="15" hidden="false" customHeight="false" outlineLevel="0" collapsed="false">
      <c r="A21" s="37" t="s">
        <v>1937</v>
      </c>
      <c r="B21" s="37" t="s">
        <v>1193</v>
      </c>
      <c r="C21" s="37" t="n">
        <v>202601</v>
      </c>
      <c r="D21" s="37" t="s">
        <v>58</v>
      </c>
      <c r="E21" s="46" t="n">
        <v>917126.43</v>
      </c>
      <c r="F21" s="46" t="n">
        <v>91712.64</v>
      </c>
      <c r="G21" s="46" t="n">
        <v>825413.79</v>
      </c>
    </row>
    <row r="22" customFormat="false" ht="15" hidden="false" customHeight="false" outlineLevel="0" collapsed="false">
      <c r="A22" s="37" t="s">
        <v>1938</v>
      </c>
      <c r="B22" s="37" t="s">
        <v>1273</v>
      </c>
      <c r="C22" s="37" t="n">
        <v>202602</v>
      </c>
      <c r="D22" s="37" t="s">
        <v>58</v>
      </c>
      <c r="E22" s="46" t="n">
        <v>765108.43</v>
      </c>
      <c r="F22" s="46" t="n">
        <v>76510.84</v>
      </c>
      <c r="G22" s="46" t="n">
        <v>688597.59</v>
      </c>
    </row>
    <row r="23" customFormat="false" ht="15" hidden="false" customHeight="false" outlineLevel="0" collapsed="false">
      <c r="A23" s="37" t="s">
        <v>1939</v>
      </c>
      <c r="B23" s="37" t="s">
        <v>1358</v>
      </c>
      <c r="C23" s="37" t="n">
        <v>202603</v>
      </c>
      <c r="D23" s="37" t="s">
        <v>58</v>
      </c>
      <c r="E23" s="46" t="n">
        <v>767765.61</v>
      </c>
      <c r="F23" s="46" t="n">
        <v>76776.56</v>
      </c>
      <c r="G23" s="46" t="n">
        <v>690989.05</v>
      </c>
    </row>
    <row r="24" customFormat="false" ht="15" hidden="false" customHeight="false" outlineLevel="0" collapsed="false">
      <c r="A24" s="37" t="s">
        <v>1940</v>
      </c>
      <c r="B24" s="37" t="s">
        <v>1446</v>
      </c>
      <c r="C24" s="37" t="n">
        <v>202604</v>
      </c>
      <c r="D24" s="37" t="s">
        <v>58</v>
      </c>
      <c r="E24" s="46" t="n">
        <v>537130.85</v>
      </c>
      <c r="F24" s="46" t="n">
        <v>53713.08</v>
      </c>
      <c r="G24" s="46" t="n">
        <v>483417.77</v>
      </c>
    </row>
    <row r="25" customFormat="false" ht="15" hidden="false" customHeight="false" outlineLevel="0" collapsed="false">
      <c r="A25" s="37" t="s">
        <v>1941</v>
      </c>
      <c r="B25" s="37" t="s">
        <v>1536</v>
      </c>
      <c r="C25" s="37" t="n">
        <v>202605</v>
      </c>
      <c r="D25" s="37" t="s">
        <v>58</v>
      </c>
      <c r="E25" s="46" t="n">
        <v>350717.49</v>
      </c>
      <c r="F25" s="46" t="n">
        <v>35071.75</v>
      </c>
      <c r="G25" s="46" t="n">
        <v>315645.74</v>
      </c>
    </row>
    <row r="26" customFormat="false" ht="15" hidden="false" customHeight="false" outlineLevel="0" collapsed="false">
      <c r="A26" s="37" t="s">
        <v>1942</v>
      </c>
      <c r="B26" s="37" t="s">
        <v>1624</v>
      </c>
      <c r="C26" s="37" t="n">
        <v>202606</v>
      </c>
      <c r="D26" s="37" t="s">
        <v>58</v>
      </c>
      <c r="E26" s="46" t="n">
        <v>230829.7</v>
      </c>
      <c r="F26" s="46" t="n">
        <v>23082.97</v>
      </c>
      <c r="G26" s="46" t="n">
        <v>207746.73</v>
      </c>
    </row>
    <row r="27" customFormat="false" ht="15" hidden="false" customHeight="false" outlineLevel="0" collapsed="false">
      <c r="A27" s="37" t="s">
        <v>1943</v>
      </c>
      <c r="B27" s="37" t="s">
        <v>1703</v>
      </c>
      <c r="C27" s="37" t="n">
        <v>202607</v>
      </c>
      <c r="D27" s="37" t="s">
        <v>58</v>
      </c>
      <c r="E27" s="46" t="n">
        <v>123779.62</v>
      </c>
      <c r="F27" s="46" t="n">
        <v>12377.96</v>
      </c>
      <c r="G27" s="46" t="n">
        <v>111401.66</v>
      </c>
    </row>
    <row r="28" customFormat="false" ht="15" hidden="false" customHeight="false" outlineLevel="0" collapsed="false">
      <c r="A28" s="37" t="s">
        <v>1944</v>
      </c>
      <c r="B28" s="37" t="s">
        <v>1802</v>
      </c>
      <c r="C28" s="37" t="n">
        <v>202608</v>
      </c>
      <c r="D28" s="37" t="s">
        <v>58</v>
      </c>
      <c r="E28" s="46" t="n">
        <v>21955.17</v>
      </c>
      <c r="F28" s="46" t="n">
        <v>2195.52</v>
      </c>
      <c r="G28" s="46" t="n">
        <v>19759.65</v>
      </c>
    </row>
    <row r="29" customFormat="false" ht="15" hidden="false" customHeight="false" outlineLevel="0" collapsed="false">
      <c r="A29" s="37" t="s">
        <v>1945</v>
      </c>
      <c r="B29" s="37" t="s">
        <v>584</v>
      </c>
      <c r="C29" s="37" t="n">
        <v>202503</v>
      </c>
      <c r="D29" s="37" t="s">
        <v>59</v>
      </c>
      <c r="E29" s="46" t="n">
        <v>171021.25</v>
      </c>
      <c r="F29" s="46" t="n">
        <v>17102.12</v>
      </c>
      <c r="G29" s="46" t="n">
        <v>153919.12</v>
      </c>
    </row>
    <row r="30" customFormat="false" ht="15" hidden="false" customHeight="false" outlineLevel="0" collapsed="false">
      <c r="A30" s="37" t="s">
        <v>1946</v>
      </c>
      <c r="B30" s="37" t="s">
        <v>610</v>
      </c>
      <c r="C30" s="37" t="n">
        <v>202504</v>
      </c>
      <c r="D30" s="37" t="s">
        <v>59</v>
      </c>
      <c r="E30" s="46" t="n">
        <v>457316.79</v>
      </c>
      <c r="F30" s="46" t="n">
        <v>45731.68</v>
      </c>
      <c r="G30" s="46" t="n">
        <v>411585.11</v>
      </c>
    </row>
    <row r="31" customFormat="false" ht="15" hidden="false" customHeight="false" outlineLevel="0" collapsed="false">
      <c r="A31" s="37" t="s">
        <v>1947</v>
      </c>
      <c r="B31" s="37" t="s">
        <v>653</v>
      </c>
      <c r="C31" s="37" t="n">
        <v>202505</v>
      </c>
      <c r="D31" s="37" t="s">
        <v>59</v>
      </c>
      <c r="E31" s="46" t="n">
        <v>952525</v>
      </c>
      <c r="F31" s="46" t="n">
        <v>95252.5</v>
      </c>
      <c r="G31" s="46" t="n">
        <v>857272.5</v>
      </c>
    </row>
    <row r="32" customFormat="false" ht="15" hidden="false" customHeight="false" outlineLevel="0" collapsed="false">
      <c r="A32" s="37" t="s">
        <v>1948</v>
      </c>
      <c r="B32" s="37" t="s">
        <v>694</v>
      </c>
      <c r="C32" s="37" t="n">
        <v>202506</v>
      </c>
      <c r="D32" s="37" t="s">
        <v>59</v>
      </c>
      <c r="E32" s="46" t="n">
        <v>1048851.07</v>
      </c>
      <c r="F32" s="46" t="n">
        <v>104885.11</v>
      </c>
      <c r="G32" s="46" t="n">
        <v>943965.96</v>
      </c>
    </row>
    <row r="33" customFormat="false" ht="15" hidden="false" customHeight="false" outlineLevel="0" collapsed="false">
      <c r="A33" s="37" t="s">
        <v>1949</v>
      </c>
      <c r="B33" s="37" t="s">
        <v>746</v>
      </c>
      <c r="C33" s="37" t="n">
        <v>202507</v>
      </c>
      <c r="D33" s="37" t="s">
        <v>59</v>
      </c>
      <c r="E33" s="46" t="n">
        <v>1189927.96</v>
      </c>
      <c r="F33" s="46" t="n">
        <v>118992.8</v>
      </c>
      <c r="G33" s="46" t="n">
        <v>1070935.16</v>
      </c>
    </row>
    <row r="34" customFormat="false" ht="15" hidden="false" customHeight="false" outlineLevel="0" collapsed="false">
      <c r="A34" s="37" t="s">
        <v>1950</v>
      </c>
      <c r="B34" s="37" t="s">
        <v>802</v>
      </c>
      <c r="C34" s="37" t="n">
        <v>202508</v>
      </c>
      <c r="D34" s="37" t="s">
        <v>59</v>
      </c>
      <c r="E34" s="46" t="n">
        <v>1389876.71</v>
      </c>
      <c r="F34" s="46" t="n">
        <v>138987.67</v>
      </c>
      <c r="G34" s="46" t="n">
        <v>1250889.04</v>
      </c>
    </row>
    <row r="35" customFormat="false" ht="15" hidden="false" customHeight="false" outlineLevel="0" collapsed="false">
      <c r="A35" s="37" t="s">
        <v>1951</v>
      </c>
      <c r="B35" s="37" t="s">
        <v>863</v>
      </c>
      <c r="C35" s="37" t="n">
        <v>202509</v>
      </c>
      <c r="D35" s="37" t="s">
        <v>59</v>
      </c>
      <c r="E35" s="46" t="n">
        <v>1511774.13</v>
      </c>
      <c r="F35" s="46" t="n">
        <v>151177.41</v>
      </c>
      <c r="G35" s="46" t="n">
        <v>1360596.72</v>
      </c>
    </row>
    <row r="36" customFormat="false" ht="15" hidden="false" customHeight="false" outlineLevel="0" collapsed="false">
      <c r="A36" s="37" t="s">
        <v>1952</v>
      </c>
      <c r="B36" s="37" t="s">
        <v>941</v>
      </c>
      <c r="C36" s="37" t="n">
        <v>202510</v>
      </c>
      <c r="D36" s="37" t="s">
        <v>59</v>
      </c>
      <c r="E36" s="46" t="n">
        <v>1959820.04</v>
      </c>
      <c r="F36" s="46" t="n">
        <v>195982</v>
      </c>
      <c r="G36" s="46" t="n">
        <v>1763838.04</v>
      </c>
    </row>
    <row r="37" customFormat="false" ht="15" hidden="false" customHeight="false" outlineLevel="0" collapsed="false">
      <c r="A37" s="37" t="s">
        <v>1953</v>
      </c>
      <c r="B37" s="37" t="s">
        <v>1024</v>
      </c>
      <c r="C37" s="37" t="n">
        <v>202511</v>
      </c>
      <c r="D37" s="37" t="s">
        <v>59</v>
      </c>
      <c r="E37" s="46" t="n">
        <v>1665286.46</v>
      </c>
      <c r="F37" s="46" t="n">
        <v>166528.65</v>
      </c>
      <c r="G37" s="46" t="n">
        <v>1498757.81</v>
      </c>
    </row>
    <row r="38" customFormat="false" ht="15" hidden="false" customHeight="false" outlineLevel="0" collapsed="false">
      <c r="A38" s="37" t="s">
        <v>1954</v>
      </c>
      <c r="B38" s="37" t="s">
        <v>1108</v>
      </c>
      <c r="C38" s="37" t="n">
        <v>202512</v>
      </c>
      <c r="D38" s="37" t="s">
        <v>59</v>
      </c>
      <c r="E38" s="46" t="n">
        <v>1772071.45</v>
      </c>
      <c r="F38" s="46" t="n">
        <v>177207.15</v>
      </c>
      <c r="G38" s="46" t="n">
        <v>1594864.3</v>
      </c>
    </row>
    <row r="39" customFormat="false" ht="15" hidden="false" customHeight="false" outlineLevel="0" collapsed="false">
      <c r="A39" s="37" t="s">
        <v>1955</v>
      </c>
      <c r="B39" s="37" t="s">
        <v>1193</v>
      </c>
      <c r="C39" s="37" t="n">
        <v>202601</v>
      </c>
      <c r="D39" s="37" t="s">
        <v>59</v>
      </c>
      <c r="E39" s="46" t="n">
        <v>1551361.21</v>
      </c>
      <c r="F39" s="46" t="n">
        <v>155136.12</v>
      </c>
      <c r="G39" s="46" t="n">
        <v>1396225.09</v>
      </c>
    </row>
    <row r="40" customFormat="false" ht="15" hidden="false" customHeight="false" outlineLevel="0" collapsed="false">
      <c r="A40" s="37" t="s">
        <v>1956</v>
      </c>
      <c r="B40" s="37" t="s">
        <v>1273</v>
      </c>
      <c r="C40" s="37" t="n">
        <v>202602</v>
      </c>
      <c r="D40" s="37" t="s">
        <v>59</v>
      </c>
      <c r="E40" s="46" t="n">
        <v>1295717.88</v>
      </c>
      <c r="F40" s="46" t="n">
        <v>129571.79</v>
      </c>
      <c r="G40" s="46" t="n">
        <v>1166146.09</v>
      </c>
    </row>
    <row r="41" customFormat="false" ht="15" hidden="false" customHeight="false" outlineLevel="0" collapsed="false">
      <c r="A41" s="37" t="s">
        <v>1957</v>
      </c>
      <c r="B41" s="37" t="s">
        <v>1358</v>
      </c>
      <c r="C41" s="37" t="n">
        <v>202603</v>
      </c>
      <c r="D41" s="37" t="s">
        <v>59</v>
      </c>
      <c r="E41" s="46" t="n">
        <v>1478782.97</v>
      </c>
      <c r="F41" s="46" t="n">
        <v>147878.3</v>
      </c>
      <c r="G41" s="46" t="n">
        <v>1330904.67</v>
      </c>
    </row>
    <row r="42" customFormat="false" ht="15" hidden="false" customHeight="false" outlineLevel="0" collapsed="false">
      <c r="A42" s="37" t="s">
        <v>1958</v>
      </c>
      <c r="B42" s="37" t="s">
        <v>1446</v>
      </c>
      <c r="C42" s="37" t="n">
        <v>202604</v>
      </c>
      <c r="D42" s="37" t="s">
        <v>59</v>
      </c>
      <c r="E42" s="46" t="n">
        <v>1534215.78</v>
      </c>
      <c r="F42" s="46" t="n">
        <v>153421.58</v>
      </c>
      <c r="G42" s="46" t="n">
        <v>1380794.2</v>
      </c>
    </row>
    <row r="43" customFormat="false" ht="15" hidden="false" customHeight="false" outlineLevel="0" collapsed="false">
      <c r="A43" s="37" t="s">
        <v>1959</v>
      </c>
      <c r="B43" s="37" t="s">
        <v>1536</v>
      </c>
      <c r="C43" s="37" t="n">
        <v>202605</v>
      </c>
      <c r="D43" s="37" t="s">
        <v>59</v>
      </c>
      <c r="E43" s="46" t="n">
        <v>1247601.63</v>
      </c>
      <c r="F43" s="46" t="n">
        <v>124760.16</v>
      </c>
      <c r="G43" s="46" t="n">
        <v>1122841.47</v>
      </c>
    </row>
    <row r="44" customFormat="false" ht="15" hidden="false" customHeight="false" outlineLevel="0" collapsed="false">
      <c r="A44" s="37" t="s">
        <v>1960</v>
      </c>
      <c r="B44" s="37" t="s">
        <v>1624</v>
      </c>
      <c r="C44" s="37" t="n">
        <v>202606</v>
      </c>
      <c r="D44" s="37" t="s">
        <v>59</v>
      </c>
      <c r="E44" s="46" t="n">
        <v>1105705.45</v>
      </c>
      <c r="F44" s="46" t="n">
        <v>110570.54</v>
      </c>
      <c r="G44" s="46" t="n">
        <v>995134.91</v>
      </c>
    </row>
    <row r="45" customFormat="false" ht="15" hidden="false" customHeight="false" outlineLevel="0" collapsed="false">
      <c r="A45" s="37" t="s">
        <v>1961</v>
      </c>
      <c r="B45" s="37" t="s">
        <v>1703</v>
      </c>
      <c r="C45" s="37" t="n">
        <v>202607</v>
      </c>
      <c r="D45" s="37" t="s">
        <v>59</v>
      </c>
      <c r="E45" s="46" t="n">
        <v>1001736.46</v>
      </c>
      <c r="F45" s="46" t="n">
        <v>100173.65</v>
      </c>
      <c r="G45" s="46" t="n">
        <v>901562.81</v>
      </c>
    </row>
    <row r="46" customFormat="false" ht="15" hidden="false" customHeight="false" outlineLevel="0" collapsed="false">
      <c r="A46" s="37" t="s">
        <v>1962</v>
      </c>
      <c r="B46" s="37" t="s">
        <v>1802</v>
      </c>
      <c r="C46" s="37" t="n">
        <v>202608</v>
      </c>
      <c r="D46" s="37" t="s">
        <v>59</v>
      </c>
      <c r="E46" s="46" t="n">
        <v>790582.12</v>
      </c>
      <c r="F46" s="46" t="n">
        <v>79058.21</v>
      </c>
      <c r="G46" s="46" t="n">
        <v>711523.91</v>
      </c>
    </row>
    <row r="47" customFormat="false" ht="15" hidden="false" customHeight="false" outlineLevel="0" collapsed="false">
      <c r="A47" s="37" t="s">
        <v>1963</v>
      </c>
      <c r="B47" s="37" t="s">
        <v>1912</v>
      </c>
      <c r="C47" s="37" t="n">
        <v>202609</v>
      </c>
      <c r="D47" s="37" t="s">
        <v>59</v>
      </c>
      <c r="E47" s="46" t="n">
        <v>122146.09</v>
      </c>
      <c r="F47" s="46" t="n">
        <v>12214.61</v>
      </c>
      <c r="G47" s="46" t="n">
        <v>109931.48</v>
      </c>
    </row>
    <row r="48" customFormat="false" ht="15" hidden="false" customHeight="false" outlineLevel="0" collapsed="false">
      <c r="A48" s="37" t="s">
        <v>1964</v>
      </c>
      <c r="B48" s="37" t="s">
        <v>653</v>
      </c>
      <c r="C48" s="37" t="n">
        <v>202505</v>
      </c>
      <c r="D48" s="37" t="s">
        <v>60</v>
      </c>
      <c r="E48" s="46" t="n">
        <v>68177.08</v>
      </c>
      <c r="F48" s="46" t="n">
        <v>6817.71</v>
      </c>
      <c r="G48" s="46" t="n">
        <v>61359.37</v>
      </c>
    </row>
    <row r="49" customFormat="false" ht="15" hidden="false" customHeight="false" outlineLevel="0" collapsed="false">
      <c r="A49" s="37" t="s">
        <v>1965</v>
      </c>
      <c r="B49" s="37" t="s">
        <v>694</v>
      </c>
      <c r="C49" s="37" t="n">
        <v>202506</v>
      </c>
      <c r="D49" s="37" t="s">
        <v>60</v>
      </c>
      <c r="E49" s="46" t="n">
        <v>167525.68</v>
      </c>
      <c r="F49" s="46" t="n">
        <v>16752.57</v>
      </c>
      <c r="G49" s="46" t="n">
        <v>150773.11</v>
      </c>
    </row>
    <row r="50" customFormat="false" ht="15" hidden="false" customHeight="false" outlineLevel="0" collapsed="false">
      <c r="A50" s="37" t="s">
        <v>1966</v>
      </c>
      <c r="B50" s="37" t="s">
        <v>746</v>
      </c>
      <c r="C50" s="37" t="n">
        <v>202507</v>
      </c>
      <c r="D50" s="37" t="s">
        <v>60</v>
      </c>
      <c r="E50" s="46" t="n">
        <v>341926.69</v>
      </c>
      <c r="F50" s="46" t="n">
        <v>34192.67</v>
      </c>
      <c r="G50" s="46" t="n">
        <v>307734.02</v>
      </c>
    </row>
    <row r="51" customFormat="false" ht="15" hidden="false" customHeight="false" outlineLevel="0" collapsed="false">
      <c r="A51" s="37" t="s">
        <v>1967</v>
      </c>
      <c r="B51" s="37" t="s">
        <v>802</v>
      </c>
      <c r="C51" s="37" t="n">
        <v>202508</v>
      </c>
      <c r="D51" s="37" t="s">
        <v>60</v>
      </c>
      <c r="E51" s="46" t="n">
        <v>459244.18</v>
      </c>
      <c r="F51" s="46" t="n">
        <v>45924.42</v>
      </c>
      <c r="G51" s="46" t="n">
        <v>413319.76</v>
      </c>
    </row>
    <row r="52" customFormat="false" ht="15" hidden="false" customHeight="false" outlineLevel="0" collapsed="false">
      <c r="A52" s="37" t="s">
        <v>1968</v>
      </c>
      <c r="B52" s="37" t="s">
        <v>863</v>
      </c>
      <c r="C52" s="37" t="n">
        <v>202509</v>
      </c>
      <c r="D52" s="37" t="s">
        <v>60</v>
      </c>
      <c r="E52" s="46" t="n">
        <v>504742.11</v>
      </c>
      <c r="F52" s="46" t="n">
        <v>50474.21</v>
      </c>
      <c r="G52" s="46" t="n">
        <v>454267.9</v>
      </c>
    </row>
    <row r="53" customFormat="false" ht="15" hidden="false" customHeight="false" outlineLevel="0" collapsed="false">
      <c r="A53" s="37" t="s">
        <v>1969</v>
      </c>
      <c r="B53" s="37" t="s">
        <v>941</v>
      </c>
      <c r="C53" s="37" t="n">
        <v>202510</v>
      </c>
      <c r="D53" s="37" t="s">
        <v>60</v>
      </c>
      <c r="E53" s="46" t="n">
        <v>695070.88</v>
      </c>
      <c r="F53" s="46" t="n">
        <v>69507.09</v>
      </c>
      <c r="G53" s="46" t="n">
        <v>625563.79</v>
      </c>
    </row>
    <row r="54" customFormat="false" ht="15" hidden="false" customHeight="false" outlineLevel="0" collapsed="false">
      <c r="A54" s="37" t="s">
        <v>1970</v>
      </c>
      <c r="B54" s="37" t="s">
        <v>1024</v>
      </c>
      <c r="C54" s="37" t="n">
        <v>202511</v>
      </c>
      <c r="D54" s="37" t="s">
        <v>60</v>
      </c>
      <c r="E54" s="46" t="n">
        <v>840523.49</v>
      </c>
      <c r="F54" s="46" t="n">
        <v>84052.35</v>
      </c>
      <c r="G54" s="46" t="n">
        <v>756471.14</v>
      </c>
    </row>
    <row r="55" customFormat="false" ht="15" hidden="false" customHeight="false" outlineLevel="0" collapsed="false">
      <c r="A55" s="37" t="s">
        <v>1971</v>
      </c>
      <c r="B55" s="37" t="s">
        <v>1108</v>
      </c>
      <c r="C55" s="37" t="n">
        <v>202512</v>
      </c>
      <c r="D55" s="37" t="s">
        <v>60</v>
      </c>
      <c r="E55" s="46" t="n">
        <v>902892.37</v>
      </c>
      <c r="F55" s="46" t="n">
        <v>90289.24</v>
      </c>
      <c r="G55" s="46" t="n">
        <v>812603.13</v>
      </c>
    </row>
    <row r="56" customFormat="false" ht="15" hidden="false" customHeight="false" outlineLevel="0" collapsed="false">
      <c r="A56" s="37" t="s">
        <v>1972</v>
      </c>
      <c r="B56" s="37" t="s">
        <v>1193</v>
      </c>
      <c r="C56" s="37" t="n">
        <v>202601</v>
      </c>
      <c r="D56" s="37" t="s">
        <v>60</v>
      </c>
      <c r="E56" s="46" t="n">
        <v>1029454.53</v>
      </c>
      <c r="F56" s="46" t="n">
        <v>102945.45</v>
      </c>
      <c r="G56" s="46" t="n">
        <v>926509.08</v>
      </c>
    </row>
    <row r="57" customFormat="false" ht="15" hidden="false" customHeight="false" outlineLevel="0" collapsed="false">
      <c r="A57" s="37" t="s">
        <v>1973</v>
      </c>
      <c r="B57" s="37" t="s">
        <v>1273</v>
      </c>
      <c r="C57" s="37" t="n">
        <v>202602</v>
      </c>
      <c r="D57" s="37" t="s">
        <v>60</v>
      </c>
      <c r="E57" s="46" t="n">
        <v>990943.08</v>
      </c>
      <c r="F57" s="46" t="n">
        <v>99094.31</v>
      </c>
      <c r="G57" s="46" t="n">
        <v>891848.77</v>
      </c>
    </row>
    <row r="58" customFormat="false" ht="15" hidden="false" customHeight="false" outlineLevel="0" collapsed="false">
      <c r="A58" s="37" t="s">
        <v>1974</v>
      </c>
      <c r="B58" s="37" t="s">
        <v>1358</v>
      </c>
      <c r="C58" s="37" t="n">
        <v>202603</v>
      </c>
      <c r="D58" s="37" t="s">
        <v>60</v>
      </c>
      <c r="E58" s="46" t="n">
        <v>1187211.46</v>
      </c>
      <c r="F58" s="46" t="n">
        <v>118721.15</v>
      </c>
      <c r="G58" s="46" t="n">
        <v>1068490.31</v>
      </c>
    </row>
    <row r="59" customFormat="false" ht="15" hidden="false" customHeight="false" outlineLevel="0" collapsed="false">
      <c r="A59" s="37" t="s">
        <v>1975</v>
      </c>
      <c r="B59" s="37" t="s">
        <v>1446</v>
      </c>
      <c r="C59" s="37" t="n">
        <v>202604</v>
      </c>
      <c r="D59" s="37" t="s">
        <v>60</v>
      </c>
      <c r="E59" s="46" t="n">
        <v>1364054.06</v>
      </c>
      <c r="F59" s="46" t="n">
        <v>136405.41</v>
      </c>
      <c r="G59" s="46" t="n">
        <v>1227648.65</v>
      </c>
    </row>
    <row r="60" customFormat="false" ht="15" hidden="false" customHeight="false" outlineLevel="0" collapsed="false">
      <c r="A60" s="37" t="s">
        <v>1976</v>
      </c>
      <c r="B60" s="37" t="s">
        <v>1536</v>
      </c>
      <c r="C60" s="37" t="n">
        <v>202605</v>
      </c>
      <c r="D60" s="37" t="s">
        <v>60</v>
      </c>
      <c r="E60" s="46" t="n">
        <v>1259195.16</v>
      </c>
      <c r="F60" s="46" t="n">
        <v>125919.52</v>
      </c>
      <c r="G60" s="46" t="n">
        <v>1133275.64</v>
      </c>
    </row>
    <row r="61" customFormat="false" ht="15" hidden="false" customHeight="false" outlineLevel="0" collapsed="false">
      <c r="A61" s="37" t="s">
        <v>1977</v>
      </c>
      <c r="B61" s="37" t="s">
        <v>1624</v>
      </c>
      <c r="C61" s="37" t="n">
        <v>202606</v>
      </c>
      <c r="D61" s="37" t="s">
        <v>60</v>
      </c>
      <c r="E61" s="46" t="n">
        <v>1226724.03</v>
      </c>
      <c r="F61" s="46" t="n">
        <v>122672.4</v>
      </c>
      <c r="G61" s="46" t="n">
        <v>1104051.63</v>
      </c>
    </row>
    <row r="62" customFormat="false" ht="15" hidden="false" customHeight="false" outlineLevel="0" collapsed="false">
      <c r="A62" s="37" t="s">
        <v>1978</v>
      </c>
      <c r="B62" s="37" t="s">
        <v>1703</v>
      </c>
      <c r="C62" s="37" t="n">
        <v>202607</v>
      </c>
      <c r="D62" s="37" t="s">
        <v>60</v>
      </c>
      <c r="E62" s="46" t="n">
        <v>1111630.49</v>
      </c>
      <c r="F62" s="46" t="n">
        <v>111163.05</v>
      </c>
      <c r="G62" s="46" t="n">
        <v>1000467.44</v>
      </c>
    </row>
    <row r="63" customFormat="false" ht="15" hidden="false" customHeight="false" outlineLevel="0" collapsed="false">
      <c r="A63" s="37" t="s">
        <v>1979</v>
      </c>
      <c r="B63" s="37" t="s">
        <v>1802</v>
      </c>
      <c r="C63" s="37" t="n">
        <v>202608</v>
      </c>
      <c r="D63" s="37" t="s">
        <v>60</v>
      </c>
      <c r="E63" s="46" t="n">
        <v>1113083.3</v>
      </c>
      <c r="F63" s="46" t="n">
        <v>111308.33</v>
      </c>
      <c r="G63" s="46" t="n">
        <v>1001774.97</v>
      </c>
    </row>
    <row r="64" customFormat="false" ht="15" hidden="false" customHeight="false" outlineLevel="0" collapsed="false">
      <c r="A64" s="37" t="s">
        <v>1980</v>
      </c>
      <c r="B64" s="37" t="s">
        <v>1912</v>
      </c>
      <c r="C64" s="37" t="n">
        <v>202609</v>
      </c>
      <c r="D64" s="37" t="s">
        <v>60</v>
      </c>
      <c r="E64" s="46" t="n">
        <v>923836.88</v>
      </c>
      <c r="F64" s="46" t="n">
        <v>92383.69</v>
      </c>
      <c r="G64" s="46" t="n">
        <v>831453.19</v>
      </c>
    </row>
    <row r="65" customFormat="false" ht="15" hidden="false" customHeight="false" outlineLevel="0" collapsed="false">
      <c r="A65" s="37" t="s">
        <v>1981</v>
      </c>
      <c r="B65" s="37" t="s">
        <v>694</v>
      </c>
      <c r="C65" s="37" t="n">
        <v>202506</v>
      </c>
      <c r="D65" s="37" t="s">
        <v>61</v>
      </c>
      <c r="E65" s="46" t="n">
        <v>119633.43</v>
      </c>
      <c r="F65" s="46" t="n">
        <v>11963.34</v>
      </c>
      <c r="G65" s="46" t="n">
        <v>107670.09</v>
      </c>
    </row>
    <row r="66" customFormat="false" ht="15" hidden="false" customHeight="false" outlineLevel="0" collapsed="false">
      <c r="A66" s="37" t="s">
        <v>1982</v>
      </c>
      <c r="B66" s="37" t="s">
        <v>746</v>
      </c>
      <c r="C66" s="37" t="n">
        <v>202507</v>
      </c>
      <c r="D66" s="37" t="s">
        <v>61</v>
      </c>
      <c r="E66" s="46" t="n">
        <v>338216.68</v>
      </c>
      <c r="F66" s="46" t="n">
        <v>33821.67</v>
      </c>
      <c r="G66" s="46" t="n">
        <v>304395.01</v>
      </c>
    </row>
    <row r="67" customFormat="false" ht="15" hidden="false" customHeight="false" outlineLevel="0" collapsed="false">
      <c r="A67" s="37" t="s">
        <v>1983</v>
      </c>
      <c r="B67" s="37" t="s">
        <v>802</v>
      </c>
      <c r="C67" s="37" t="n">
        <v>202508</v>
      </c>
      <c r="D67" s="37" t="s">
        <v>61</v>
      </c>
      <c r="E67" s="46" t="n">
        <v>562575.65</v>
      </c>
      <c r="F67" s="46" t="n">
        <v>56257.57</v>
      </c>
      <c r="G67" s="46" t="n">
        <v>506318.09</v>
      </c>
    </row>
    <row r="68" customFormat="false" ht="15" hidden="false" customHeight="false" outlineLevel="0" collapsed="false">
      <c r="A68" s="37" t="s">
        <v>1984</v>
      </c>
      <c r="B68" s="37" t="s">
        <v>863</v>
      </c>
      <c r="C68" s="37" t="n">
        <v>202509</v>
      </c>
      <c r="D68" s="37" t="s">
        <v>61</v>
      </c>
      <c r="E68" s="46" t="n">
        <v>663534.31</v>
      </c>
      <c r="F68" s="46" t="n">
        <v>66353.43</v>
      </c>
      <c r="G68" s="46" t="n">
        <v>597180.88</v>
      </c>
    </row>
    <row r="69" customFormat="false" ht="15" hidden="false" customHeight="false" outlineLevel="0" collapsed="false">
      <c r="A69" s="37" t="s">
        <v>1985</v>
      </c>
      <c r="B69" s="37" t="s">
        <v>941</v>
      </c>
      <c r="C69" s="37" t="n">
        <v>202510</v>
      </c>
      <c r="D69" s="37" t="s">
        <v>61</v>
      </c>
      <c r="E69" s="46" t="n">
        <v>824257.36</v>
      </c>
      <c r="F69" s="46" t="n">
        <v>82425.74</v>
      </c>
      <c r="G69" s="46" t="n">
        <v>741831.62</v>
      </c>
    </row>
    <row r="70" customFormat="false" ht="15" hidden="false" customHeight="false" outlineLevel="0" collapsed="false">
      <c r="A70" s="37" t="s">
        <v>1986</v>
      </c>
      <c r="B70" s="37" t="s">
        <v>1024</v>
      </c>
      <c r="C70" s="37" t="n">
        <v>202511</v>
      </c>
      <c r="D70" s="37" t="s">
        <v>61</v>
      </c>
      <c r="E70" s="46" t="n">
        <v>913405.8</v>
      </c>
      <c r="F70" s="46" t="n">
        <v>91340.58</v>
      </c>
      <c r="G70" s="46" t="n">
        <v>822065.22</v>
      </c>
    </row>
    <row r="71" customFormat="false" ht="15" hidden="false" customHeight="false" outlineLevel="0" collapsed="false">
      <c r="A71" s="37" t="s">
        <v>1987</v>
      </c>
      <c r="B71" s="37" t="s">
        <v>1108</v>
      </c>
      <c r="C71" s="37" t="n">
        <v>202512</v>
      </c>
      <c r="D71" s="37" t="s">
        <v>61</v>
      </c>
      <c r="E71" s="46" t="n">
        <v>986744.39</v>
      </c>
      <c r="F71" s="46" t="n">
        <v>98674.44</v>
      </c>
      <c r="G71" s="46" t="n">
        <v>888069.95</v>
      </c>
    </row>
    <row r="72" customFormat="false" ht="15" hidden="false" customHeight="false" outlineLevel="0" collapsed="false">
      <c r="A72" s="37" t="s">
        <v>1988</v>
      </c>
      <c r="B72" s="37" t="s">
        <v>1193</v>
      </c>
      <c r="C72" s="37" t="n">
        <v>202601</v>
      </c>
      <c r="D72" s="37" t="s">
        <v>61</v>
      </c>
      <c r="E72" s="46" t="n">
        <v>972745</v>
      </c>
      <c r="F72" s="46" t="n">
        <v>97274.5</v>
      </c>
      <c r="G72" s="46" t="n">
        <v>875470.5</v>
      </c>
    </row>
    <row r="73" customFormat="false" ht="15" hidden="false" customHeight="false" outlineLevel="0" collapsed="false">
      <c r="A73" s="37" t="s">
        <v>1989</v>
      </c>
      <c r="B73" s="37" t="s">
        <v>1273</v>
      </c>
      <c r="C73" s="37" t="n">
        <v>202602</v>
      </c>
      <c r="D73" s="37" t="s">
        <v>61</v>
      </c>
      <c r="E73" s="46" t="n">
        <v>796913.35</v>
      </c>
      <c r="F73" s="46" t="n">
        <v>79691.34</v>
      </c>
      <c r="G73" s="46" t="n">
        <v>717222.02</v>
      </c>
    </row>
    <row r="74" customFormat="false" ht="15" hidden="false" customHeight="false" outlineLevel="0" collapsed="false">
      <c r="A74" s="37" t="s">
        <v>1990</v>
      </c>
      <c r="B74" s="37" t="s">
        <v>1358</v>
      </c>
      <c r="C74" s="37" t="n">
        <v>202603</v>
      </c>
      <c r="D74" s="37" t="s">
        <v>61</v>
      </c>
      <c r="E74" s="46" t="n">
        <v>869306.3</v>
      </c>
      <c r="F74" s="46" t="n">
        <v>86930.63</v>
      </c>
      <c r="G74" s="46" t="n">
        <v>782375.67</v>
      </c>
    </row>
    <row r="75" customFormat="false" ht="15" hidden="false" customHeight="false" outlineLevel="0" collapsed="false">
      <c r="A75" s="37" t="s">
        <v>1991</v>
      </c>
      <c r="B75" s="37" t="s">
        <v>1446</v>
      </c>
      <c r="C75" s="37" t="n">
        <v>202604</v>
      </c>
      <c r="D75" s="37" t="s">
        <v>61</v>
      </c>
      <c r="E75" s="46" t="n">
        <v>857914.69</v>
      </c>
      <c r="F75" s="46" t="n">
        <v>85791.47</v>
      </c>
      <c r="G75" s="46" t="n">
        <v>772123.22</v>
      </c>
    </row>
    <row r="76" customFormat="false" ht="15" hidden="false" customHeight="false" outlineLevel="0" collapsed="false">
      <c r="A76" s="37" t="s">
        <v>1992</v>
      </c>
      <c r="B76" s="37" t="s">
        <v>1536</v>
      </c>
      <c r="C76" s="37" t="n">
        <v>202605</v>
      </c>
      <c r="D76" s="37" t="s">
        <v>61</v>
      </c>
      <c r="E76" s="46" t="n">
        <v>822029.11</v>
      </c>
      <c r="F76" s="46" t="n">
        <v>82202.91</v>
      </c>
      <c r="G76" s="46" t="n">
        <v>739826.2</v>
      </c>
    </row>
    <row r="77" customFormat="false" ht="15" hidden="false" customHeight="false" outlineLevel="0" collapsed="false">
      <c r="A77" s="37" t="s">
        <v>1993</v>
      </c>
      <c r="B77" s="37" t="s">
        <v>1624</v>
      </c>
      <c r="C77" s="37" t="n">
        <v>202606</v>
      </c>
      <c r="D77" s="37" t="s">
        <v>61</v>
      </c>
      <c r="E77" s="46" t="n">
        <v>578813.27</v>
      </c>
      <c r="F77" s="46" t="n">
        <v>57881.33</v>
      </c>
      <c r="G77" s="46" t="n">
        <v>520931.94</v>
      </c>
    </row>
    <row r="78" customFormat="false" ht="15" hidden="false" customHeight="false" outlineLevel="0" collapsed="false">
      <c r="A78" s="37" t="s">
        <v>1994</v>
      </c>
      <c r="B78" s="37" t="s">
        <v>1703</v>
      </c>
      <c r="C78" s="37" t="n">
        <v>202607</v>
      </c>
      <c r="D78" s="37" t="s">
        <v>61</v>
      </c>
      <c r="E78" s="46" t="n">
        <v>497968.03</v>
      </c>
      <c r="F78" s="46" t="n">
        <v>49796.8</v>
      </c>
      <c r="G78" s="46" t="n">
        <v>448171.23</v>
      </c>
    </row>
    <row r="79" customFormat="false" ht="15" hidden="false" customHeight="false" outlineLevel="0" collapsed="false">
      <c r="A79" s="37" t="s">
        <v>1995</v>
      </c>
      <c r="B79" s="37" t="s">
        <v>1802</v>
      </c>
      <c r="C79" s="37" t="n">
        <v>202608</v>
      </c>
      <c r="D79" s="37" t="s">
        <v>61</v>
      </c>
      <c r="E79" s="46" t="n">
        <v>285468.45</v>
      </c>
      <c r="F79" s="46" t="n">
        <v>28546.85</v>
      </c>
      <c r="G79" s="46" t="n">
        <v>256921.61</v>
      </c>
    </row>
    <row r="80" customFormat="false" ht="15" hidden="false" customHeight="false" outlineLevel="0" collapsed="false">
      <c r="A80" s="37" t="s">
        <v>1996</v>
      </c>
      <c r="B80" s="37" t="s">
        <v>1912</v>
      </c>
      <c r="C80" s="37" t="n">
        <v>202609</v>
      </c>
      <c r="D80" s="37" t="s">
        <v>61</v>
      </c>
      <c r="E80" s="46" t="n">
        <v>69815.15</v>
      </c>
      <c r="F80" s="46" t="n">
        <v>6981.51</v>
      </c>
      <c r="G80" s="46" t="n">
        <v>62833.63</v>
      </c>
    </row>
    <row r="81" customFormat="false" ht="15" hidden="false" customHeight="false" outlineLevel="0" collapsed="false">
      <c r="A81" s="37" t="s">
        <v>1997</v>
      </c>
      <c r="B81" s="37" t="s">
        <v>802</v>
      </c>
      <c r="C81" s="37" t="n">
        <v>202508</v>
      </c>
      <c r="D81" s="37" t="s">
        <v>62</v>
      </c>
      <c r="E81" s="46" t="n">
        <v>116795.53</v>
      </c>
      <c r="F81" s="46" t="n">
        <v>11679.55</v>
      </c>
      <c r="G81" s="46" t="n">
        <v>105115.98</v>
      </c>
    </row>
    <row r="82" customFormat="false" ht="15" hidden="false" customHeight="false" outlineLevel="0" collapsed="false">
      <c r="A82" s="37" t="s">
        <v>1998</v>
      </c>
      <c r="B82" s="37" t="s">
        <v>863</v>
      </c>
      <c r="C82" s="37" t="n">
        <v>202509</v>
      </c>
      <c r="D82" s="37" t="s">
        <v>62</v>
      </c>
      <c r="E82" s="46" t="n">
        <v>270888.34</v>
      </c>
      <c r="F82" s="46" t="n">
        <v>27088.83</v>
      </c>
      <c r="G82" s="46" t="n">
        <v>243799.51</v>
      </c>
    </row>
    <row r="83" customFormat="false" ht="15" hidden="false" customHeight="false" outlineLevel="0" collapsed="false">
      <c r="A83" s="37" t="s">
        <v>1999</v>
      </c>
      <c r="B83" s="37" t="s">
        <v>941</v>
      </c>
      <c r="C83" s="37" t="n">
        <v>202510</v>
      </c>
      <c r="D83" s="37" t="s">
        <v>62</v>
      </c>
      <c r="E83" s="46" t="n">
        <v>643296.48</v>
      </c>
      <c r="F83" s="46" t="n">
        <v>64329.65</v>
      </c>
      <c r="G83" s="46" t="n">
        <v>578966.83</v>
      </c>
    </row>
    <row r="84" customFormat="false" ht="15" hidden="false" customHeight="false" outlineLevel="0" collapsed="false">
      <c r="A84" s="37" t="s">
        <v>2000</v>
      </c>
      <c r="B84" s="37" t="s">
        <v>1024</v>
      </c>
      <c r="C84" s="37" t="n">
        <v>202511</v>
      </c>
      <c r="D84" s="37" t="s">
        <v>62</v>
      </c>
      <c r="E84" s="46" t="n">
        <v>809862.34</v>
      </c>
      <c r="F84" s="46" t="n">
        <v>80986.23</v>
      </c>
      <c r="G84" s="46" t="n">
        <v>728876.11</v>
      </c>
    </row>
    <row r="85" customFormat="false" ht="15" hidden="false" customHeight="false" outlineLevel="0" collapsed="false">
      <c r="A85" s="37" t="s">
        <v>2001</v>
      </c>
      <c r="B85" s="37" t="s">
        <v>1108</v>
      </c>
      <c r="C85" s="37" t="n">
        <v>202512</v>
      </c>
      <c r="D85" s="37" t="s">
        <v>62</v>
      </c>
      <c r="E85" s="46" t="n">
        <v>1054119.9</v>
      </c>
      <c r="F85" s="46" t="n">
        <v>105411.99</v>
      </c>
      <c r="G85" s="46" t="n">
        <v>948707.91</v>
      </c>
    </row>
    <row r="86" customFormat="false" ht="15" hidden="false" customHeight="false" outlineLevel="0" collapsed="false">
      <c r="A86" s="37" t="s">
        <v>2002</v>
      </c>
      <c r="B86" s="37" t="s">
        <v>1193</v>
      </c>
      <c r="C86" s="37" t="n">
        <v>202601</v>
      </c>
      <c r="D86" s="37" t="s">
        <v>62</v>
      </c>
      <c r="E86" s="46" t="n">
        <v>1195993.54</v>
      </c>
      <c r="F86" s="46" t="n">
        <v>119599.35</v>
      </c>
      <c r="G86" s="46" t="n">
        <v>1076394.19</v>
      </c>
    </row>
    <row r="87" customFormat="false" ht="15" hidden="false" customHeight="false" outlineLevel="0" collapsed="false">
      <c r="A87" s="37" t="s">
        <v>2003</v>
      </c>
      <c r="B87" s="37" t="s">
        <v>1273</v>
      </c>
      <c r="C87" s="37" t="n">
        <v>202602</v>
      </c>
      <c r="D87" s="37" t="s">
        <v>62</v>
      </c>
      <c r="E87" s="46" t="n">
        <v>1378605.55</v>
      </c>
      <c r="F87" s="46" t="n">
        <v>137860.56</v>
      </c>
      <c r="G87" s="46" t="n">
        <v>1240745</v>
      </c>
    </row>
    <row r="88" customFormat="false" ht="15" hidden="false" customHeight="false" outlineLevel="0" collapsed="false">
      <c r="A88" s="37" t="s">
        <v>2004</v>
      </c>
      <c r="B88" s="37" t="s">
        <v>1358</v>
      </c>
      <c r="C88" s="37" t="n">
        <v>202603</v>
      </c>
      <c r="D88" s="37" t="s">
        <v>62</v>
      </c>
      <c r="E88" s="46" t="n">
        <v>1752909.8</v>
      </c>
      <c r="F88" s="46" t="n">
        <v>175290.98</v>
      </c>
      <c r="G88" s="46" t="n">
        <v>1577618.82</v>
      </c>
    </row>
    <row r="89" customFormat="false" ht="15" hidden="false" customHeight="false" outlineLevel="0" collapsed="false">
      <c r="A89" s="37" t="s">
        <v>2005</v>
      </c>
      <c r="B89" s="37" t="s">
        <v>1446</v>
      </c>
      <c r="C89" s="37" t="n">
        <v>202604</v>
      </c>
      <c r="D89" s="37" t="s">
        <v>62</v>
      </c>
      <c r="E89" s="46" t="n">
        <v>1858649.16</v>
      </c>
      <c r="F89" s="46" t="n">
        <v>185864.92</v>
      </c>
      <c r="G89" s="46" t="n">
        <v>1672784.24</v>
      </c>
    </row>
    <row r="90" customFormat="false" ht="15" hidden="false" customHeight="false" outlineLevel="0" collapsed="false">
      <c r="A90" s="37" t="s">
        <v>2006</v>
      </c>
      <c r="B90" s="37" t="s">
        <v>1536</v>
      </c>
      <c r="C90" s="37" t="n">
        <v>202605</v>
      </c>
      <c r="D90" s="37" t="s">
        <v>62</v>
      </c>
      <c r="E90" s="46" t="n">
        <v>1890897.71</v>
      </c>
      <c r="F90" s="46" t="n">
        <v>189089.77</v>
      </c>
      <c r="G90" s="46" t="n">
        <v>1701807.94</v>
      </c>
    </row>
    <row r="91" customFormat="false" ht="15" hidden="false" customHeight="false" outlineLevel="0" collapsed="false">
      <c r="A91" s="37" t="s">
        <v>2007</v>
      </c>
      <c r="B91" s="37" t="s">
        <v>1624</v>
      </c>
      <c r="C91" s="37" t="n">
        <v>202606</v>
      </c>
      <c r="D91" s="37" t="s">
        <v>62</v>
      </c>
      <c r="E91" s="46" t="n">
        <v>1860549.03</v>
      </c>
      <c r="F91" s="46" t="n">
        <v>186054.9</v>
      </c>
      <c r="G91" s="46" t="n">
        <v>1674494.13</v>
      </c>
    </row>
    <row r="92" customFormat="false" ht="15" hidden="false" customHeight="false" outlineLevel="0" collapsed="false">
      <c r="A92" s="37" t="s">
        <v>2008</v>
      </c>
      <c r="B92" s="37" t="s">
        <v>1703</v>
      </c>
      <c r="C92" s="37" t="n">
        <v>202607</v>
      </c>
      <c r="D92" s="37" t="s">
        <v>62</v>
      </c>
      <c r="E92" s="46" t="n">
        <v>1954836.61</v>
      </c>
      <c r="F92" s="46" t="n">
        <v>195483.66</v>
      </c>
      <c r="G92" s="46" t="n">
        <v>1759352.95</v>
      </c>
    </row>
    <row r="93" customFormat="false" ht="15" hidden="false" customHeight="false" outlineLevel="0" collapsed="false">
      <c r="A93" s="37" t="s">
        <v>2009</v>
      </c>
      <c r="B93" s="37" t="s">
        <v>1802</v>
      </c>
      <c r="C93" s="37" t="n">
        <v>202608</v>
      </c>
      <c r="D93" s="37" t="s">
        <v>62</v>
      </c>
      <c r="E93" s="46" t="n">
        <v>1735765.36</v>
      </c>
      <c r="F93" s="46" t="n">
        <v>173576.54</v>
      </c>
      <c r="G93" s="46" t="n">
        <v>1562188.82</v>
      </c>
    </row>
    <row r="94" customFormat="false" ht="15" hidden="false" customHeight="false" outlineLevel="0" collapsed="false">
      <c r="A94" s="37" t="s">
        <v>2010</v>
      </c>
      <c r="B94" s="37" t="s">
        <v>1912</v>
      </c>
      <c r="C94" s="37" t="n">
        <v>202609</v>
      </c>
      <c r="D94" s="37" t="s">
        <v>62</v>
      </c>
      <c r="E94" s="46" t="n">
        <v>1987968.18</v>
      </c>
      <c r="F94" s="46" t="n">
        <v>198796.82</v>
      </c>
      <c r="G94" s="46" t="n">
        <v>1789171.36</v>
      </c>
    </row>
    <row r="95" customFormat="false" ht="15" hidden="false" customHeight="false" outlineLevel="0" collapsed="false">
      <c r="A95" s="37" t="s">
        <v>2011</v>
      </c>
      <c r="B95" s="37" t="s">
        <v>863</v>
      </c>
      <c r="C95" s="37" t="n">
        <v>202509</v>
      </c>
      <c r="D95" s="37" t="s">
        <v>63</v>
      </c>
      <c r="E95" s="46" t="n">
        <v>48340.7</v>
      </c>
      <c r="F95" s="46" t="n">
        <v>4834.07</v>
      </c>
      <c r="G95" s="46" t="n">
        <v>43506.63</v>
      </c>
    </row>
    <row r="96" customFormat="false" ht="15" hidden="false" customHeight="false" outlineLevel="0" collapsed="false">
      <c r="A96" s="37" t="s">
        <v>2012</v>
      </c>
      <c r="B96" s="37" t="s">
        <v>941</v>
      </c>
      <c r="C96" s="37" t="n">
        <v>202510</v>
      </c>
      <c r="D96" s="37" t="s">
        <v>63</v>
      </c>
      <c r="E96" s="46" t="n">
        <v>194220.53</v>
      </c>
      <c r="F96" s="46" t="n">
        <v>19422.05</v>
      </c>
      <c r="G96" s="46" t="n">
        <v>174798.48</v>
      </c>
    </row>
    <row r="97" customFormat="false" ht="15" hidden="false" customHeight="false" outlineLevel="0" collapsed="false">
      <c r="A97" s="37" t="s">
        <v>2013</v>
      </c>
      <c r="B97" s="37" t="s">
        <v>1024</v>
      </c>
      <c r="C97" s="37" t="n">
        <v>202511</v>
      </c>
      <c r="D97" s="37" t="s">
        <v>63</v>
      </c>
      <c r="E97" s="46" t="n">
        <v>337395.94</v>
      </c>
      <c r="F97" s="46" t="n">
        <v>33739.59</v>
      </c>
      <c r="G97" s="46" t="n">
        <v>303656.35</v>
      </c>
    </row>
    <row r="98" customFormat="false" ht="15" hidden="false" customHeight="false" outlineLevel="0" collapsed="false">
      <c r="A98" s="37" t="s">
        <v>2014</v>
      </c>
      <c r="B98" s="37" t="s">
        <v>1108</v>
      </c>
      <c r="C98" s="37" t="n">
        <v>202512</v>
      </c>
      <c r="D98" s="37" t="s">
        <v>63</v>
      </c>
      <c r="E98" s="46" t="n">
        <v>525261.69</v>
      </c>
      <c r="F98" s="46" t="n">
        <v>52526.17</v>
      </c>
      <c r="G98" s="46" t="n">
        <v>472735.52</v>
      </c>
    </row>
    <row r="99" customFormat="false" ht="15" hidden="false" customHeight="false" outlineLevel="0" collapsed="false">
      <c r="A99" s="37" t="s">
        <v>2015</v>
      </c>
      <c r="B99" s="37" t="s">
        <v>1193</v>
      </c>
      <c r="C99" s="37" t="n">
        <v>202601</v>
      </c>
      <c r="D99" s="37" t="s">
        <v>63</v>
      </c>
      <c r="E99" s="46" t="n">
        <v>649977.09</v>
      </c>
      <c r="F99" s="46" t="n">
        <v>64997.71</v>
      </c>
      <c r="G99" s="46" t="n">
        <v>584979.38</v>
      </c>
    </row>
    <row r="100" customFormat="false" ht="15" hidden="false" customHeight="false" outlineLevel="0" collapsed="false">
      <c r="A100" s="37" t="s">
        <v>2016</v>
      </c>
      <c r="B100" s="37" t="s">
        <v>1273</v>
      </c>
      <c r="C100" s="37" t="n">
        <v>202602</v>
      </c>
      <c r="D100" s="37" t="s">
        <v>63</v>
      </c>
      <c r="E100" s="46" t="n">
        <v>649008.28</v>
      </c>
      <c r="F100" s="46" t="n">
        <v>64900.83</v>
      </c>
      <c r="G100" s="46" t="n">
        <v>584107.45</v>
      </c>
    </row>
    <row r="101" customFormat="false" ht="15" hidden="false" customHeight="false" outlineLevel="0" collapsed="false">
      <c r="A101" s="37" t="s">
        <v>2017</v>
      </c>
      <c r="B101" s="37" t="s">
        <v>1358</v>
      </c>
      <c r="C101" s="37" t="n">
        <v>202603</v>
      </c>
      <c r="D101" s="37" t="s">
        <v>63</v>
      </c>
      <c r="E101" s="46" t="n">
        <v>838671.62</v>
      </c>
      <c r="F101" s="46" t="n">
        <v>83867.16</v>
      </c>
      <c r="G101" s="46" t="n">
        <v>754804.46</v>
      </c>
    </row>
    <row r="102" customFormat="false" ht="15" hidden="false" customHeight="false" outlineLevel="0" collapsed="false">
      <c r="A102" s="37" t="s">
        <v>2018</v>
      </c>
      <c r="B102" s="37" t="s">
        <v>1446</v>
      </c>
      <c r="C102" s="37" t="n">
        <v>202604</v>
      </c>
      <c r="D102" s="37" t="s">
        <v>63</v>
      </c>
      <c r="E102" s="46" t="n">
        <v>949905.68</v>
      </c>
      <c r="F102" s="46" t="n">
        <v>94990.57</v>
      </c>
      <c r="G102" s="46" t="n">
        <v>854915.11</v>
      </c>
    </row>
    <row r="103" customFormat="false" ht="15" hidden="false" customHeight="false" outlineLevel="0" collapsed="false">
      <c r="A103" s="37" t="s">
        <v>2019</v>
      </c>
      <c r="B103" s="37" t="s">
        <v>1536</v>
      </c>
      <c r="C103" s="37" t="n">
        <v>202605</v>
      </c>
      <c r="D103" s="37" t="s">
        <v>63</v>
      </c>
      <c r="E103" s="46" t="n">
        <v>974198.34</v>
      </c>
      <c r="F103" s="46" t="n">
        <v>97419.83</v>
      </c>
      <c r="G103" s="46" t="n">
        <v>876778.51</v>
      </c>
    </row>
    <row r="104" customFormat="false" ht="15" hidden="false" customHeight="false" outlineLevel="0" collapsed="false">
      <c r="A104" s="37" t="s">
        <v>2020</v>
      </c>
      <c r="B104" s="37" t="s">
        <v>1624</v>
      </c>
      <c r="C104" s="37" t="n">
        <v>202606</v>
      </c>
      <c r="D104" s="37" t="s">
        <v>63</v>
      </c>
      <c r="E104" s="46" t="n">
        <v>938586.63</v>
      </c>
      <c r="F104" s="46" t="n">
        <v>93858.66</v>
      </c>
      <c r="G104" s="46" t="n">
        <v>844727.97</v>
      </c>
    </row>
    <row r="105" customFormat="false" ht="15" hidden="false" customHeight="false" outlineLevel="0" collapsed="false">
      <c r="A105" s="37" t="s">
        <v>2021</v>
      </c>
      <c r="B105" s="37" t="s">
        <v>1703</v>
      </c>
      <c r="C105" s="37" t="n">
        <v>202607</v>
      </c>
      <c r="D105" s="37" t="s">
        <v>63</v>
      </c>
      <c r="E105" s="46" t="n">
        <v>888334.27</v>
      </c>
      <c r="F105" s="46" t="n">
        <v>88833.43</v>
      </c>
      <c r="G105" s="46" t="n">
        <v>799500.84</v>
      </c>
    </row>
    <row r="106" customFormat="false" ht="15" hidden="false" customHeight="false" outlineLevel="0" collapsed="false">
      <c r="A106" s="37" t="s">
        <v>2022</v>
      </c>
      <c r="B106" s="37" t="s">
        <v>1802</v>
      </c>
      <c r="C106" s="37" t="n">
        <v>202608</v>
      </c>
      <c r="D106" s="37" t="s">
        <v>63</v>
      </c>
      <c r="E106" s="46" t="n">
        <v>808536.55</v>
      </c>
      <c r="F106" s="46" t="n">
        <v>80853.66</v>
      </c>
      <c r="G106" s="46" t="n">
        <v>727682.9</v>
      </c>
    </row>
    <row r="107" customFormat="false" ht="15" hidden="false" customHeight="false" outlineLevel="0" collapsed="false">
      <c r="A107" s="37" t="s">
        <v>2023</v>
      </c>
      <c r="B107" s="37" t="s">
        <v>1912</v>
      </c>
      <c r="C107" s="37" t="n">
        <v>202609</v>
      </c>
      <c r="D107" s="37" t="s">
        <v>63</v>
      </c>
      <c r="E107" s="46" t="n">
        <v>557352.53</v>
      </c>
      <c r="F107" s="46" t="n">
        <v>55735.25</v>
      </c>
      <c r="G107" s="46" t="n">
        <v>501617.28</v>
      </c>
    </row>
    <row r="108" customFormat="false" ht="15" hidden="false" customHeight="false" outlineLevel="0" collapsed="false">
      <c r="A108" s="37" t="s">
        <v>2024</v>
      </c>
      <c r="B108" s="37" t="s">
        <v>941</v>
      </c>
      <c r="C108" s="37" t="n">
        <v>202510</v>
      </c>
      <c r="D108" s="37" t="s">
        <v>64</v>
      </c>
      <c r="E108" s="46" t="n">
        <v>53059.85</v>
      </c>
      <c r="F108" s="46" t="n">
        <v>5305.99</v>
      </c>
      <c r="G108" s="46" t="n">
        <v>47753.86</v>
      </c>
    </row>
    <row r="109" customFormat="false" ht="15" hidden="false" customHeight="false" outlineLevel="0" collapsed="false">
      <c r="A109" s="37" t="s">
        <v>2025</v>
      </c>
      <c r="B109" s="37" t="s">
        <v>1024</v>
      </c>
      <c r="C109" s="37" t="n">
        <v>202511</v>
      </c>
      <c r="D109" s="37" t="s">
        <v>64</v>
      </c>
      <c r="E109" s="46" t="n">
        <v>169539.87</v>
      </c>
      <c r="F109" s="46" t="n">
        <v>16953.99</v>
      </c>
      <c r="G109" s="46" t="n">
        <v>152585.88</v>
      </c>
    </row>
    <row r="110" customFormat="false" ht="15" hidden="false" customHeight="false" outlineLevel="0" collapsed="false">
      <c r="A110" s="37" t="s">
        <v>2026</v>
      </c>
      <c r="B110" s="37" t="s">
        <v>1108</v>
      </c>
      <c r="C110" s="37" t="n">
        <v>202512</v>
      </c>
      <c r="D110" s="37" t="s">
        <v>64</v>
      </c>
      <c r="E110" s="46" t="n">
        <v>392084.18</v>
      </c>
      <c r="F110" s="46" t="n">
        <v>39208.42</v>
      </c>
      <c r="G110" s="46" t="n">
        <v>352875.76</v>
      </c>
    </row>
    <row r="111" customFormat="false" ht="15" hidden="false" customHeight="false" outlineLevel="0" collapsed="false">
      <c r="A111" s="37" t="s">
        <v>2027</v>
      </c>
      <c r="B111" s="37" t="s">
        <v>1193</v>
      </c>
      <c r="C111" s="37" t="n">
        <v>202601</v>
      </c>
      <c r="D111" s="37" t="s">
        <v>64</v>
      </c>
      <c r="E111" s="46" t="n">
        <v>529238.3</v>
      </c>
      <c r="F111" s="46" t="n">
        <v>52923.83</v>
      </c>
      <c r="G111" s="46" t="n">
        <v>476314.47</v>
      </c>
    </row>
    <row r="112" customFormat="false" ht="15" hidden="false" customHeight="false" outlineLevel="0" collapsed="false">
      <c r="A112" s="37" t="s">
        <v>2028</v>
      </c>
      <c r="B112" s="37" t="s">
        <v>1273</v>
      </c>
      <c r="C112" s="37" t="n">
        <v>202602</v>
      </c>
      <c r="D112" s="37" t="s">
        <v>64</v>
      </c>
      <c r="E112" s="46" t="n">
        <v>643746.15</v>
      </c>
      <c r="F112" s="46" t="n">
        <v>64374.62</v>
      </c>
      <c r="G112" s="46" t="n">
        <v>579371.54</v>
      </c>
    </row>
    <row r="113" customFormat="false" ht="15" hidden="false" customHeight="false" outlineLevel="0" collapsed="false">
      <c r="A113" s="37" t="s">
        <v>2029</v>
      </c>
      <c r="B113" s="37" t="s">
        <v>1358</v>
      </c>
      <c r="C113" s="37" t="n">
        <v>202603</v>
      </c>
      <c r="D113" s="37" t="s">
        <v>64</v>
      </c>
      <c r="E113" s="46" t="n">
        <v>864627.61</v>
      </c>
      <c r="F113" s="46" t="n">
        <v>86462.76</v>
      </c>
      <c r="G113" s="46" t="n">
        <v>778164.85</v>
      </c>
    </row>
    <row r="114" customFormat="false" ht="15" hidden="false" customHeight="false" outlineLevel="0" collapsed="false">
      <c r="A114" s="37" t="s">
        <v>2030</v>
      </c>
      <c r="B114" s="37" t="s">
        <v>1446</v>
      </c>
      <c r="C114" s="37" t="n">
        <v>202604</v>
      </c>
      <c r="D114" s="37" t="s">
        <v>64</v>
      </c>
      <c r="E114" s="46" t="n">
        <v>821488.78</v>
      </c>
      <c r="F114" s="46" t="n">
        <v>82148.88</v>
      </c>
      <c r="G114" s="46" t="n">
        <v>739339.9</v>
      </c>
    </row>
    <row r="115" customFormat="false" ht="15" hidden="false" customHeight="false" outlineLevel="0" collapsed="false">
      <c r="A115" s="37" t="s">
        <v>2031</v>
      </c>
      <c r="B115" s="37" t="s">
        <v>1536</v>
      </c>
      <c r="C115" s="37" t="n">
        <v>202605</v>
      </c>
      <c r="D115" s="37" t="s">
        <v>64</v>
      </c>
      <c r="E115" s="46" t="n">
        <v>864017.34</v>
      </c>
      <c r="F115" s="46" t="n">
        <v>86401.73</v>
      </c>
      <c r="G115" s="46" t="n">
        <v>777615.61</v>
      </c>
    </row>
    <row r="116" customFormat="false" ht="15" hidden="false" customHeight="false" outlineLevel="0" collapsed="false">
      <c r="A116" s="37" t="s">
        <v>2032</v>
      </c>
      <c r="B116" s="37" t="s">
        <v>1624</v>
      </c>
      <c r="C116" s="37" t="n">
        <v>202606</v>
      </c>
      <c r="D116" s="37" t="s">
        <v>64</v>
      </c>
      <c r="E116" s="46" t="n">
        <v>856140.09</v>
      </c>
      <c r="F116" s="46" t="n">
        <v>85614.01</v>
      </c>
      <c r="G116" s="46" t="n">
        <v>770526.08</v>
      </c>
    </row>
    <row r="117" customFormat="false" ht="15" hidden="false" customHeight="false" outlineLevel="0" collapsed="false">
      <c r="A117" s="37" t="s">
        <v>2033</v>
      </c>
      <c r="B117" s="37" t="s">
        <v>1703</v>
      </c>
      <c r="C117" s="37" t="n">
        <v>202607</v>
      </c>
      <c r="D117" s="37" t="s">
        <v>64</v>
      </c>
      <c r="E117" s="46" t="n">
        <v>1093811.21</v>
      </c>
      <c r="F117" s="46" t="n">
        <v>109381.12</v>
      </c>
      <c r="G117" s="46" t="n">
        <v>984430.09</v>
      </c>
    </row>
    <row r="118" customFormat="false" ht="15" hidden="false" customHeight="false" outlineLevel="0" collapsed="false">
      <c r="A118" s="37" t="s">
        <v>2034</v>
      </c>
      <c r="B118" s="37" t="s">
        <v>1802</v>
      </c>
      <c r="C118" s="37" t="n">
        <v>202608</v>
      </c>
      <c r="D118" s="37" t="s">
        <v>64</v>
      </c>
      <c r="E118" s="46" t="n">
        <v>1087247.04</v>
      </c>
      <c r="F118" s="46" t="n">
        <v>108724.7</v>
      </c>
      <c r="G118" s="46" t="n">
        <v>978522.34</v>
      </c>
    </row>
    <row r="119" customFormat="false" ht="15" hidden="false" customHeight="false" outlineLevel="0" collapsed="false">
      <c r="A119" s="37" t="s">
        <v>2035</v>
      </c>
      <c r="B119" s="37" t="s">
        <v>1912</v>
      </c>
      <c r="C119" s="37" t="n">
        <v>202609</v>
      </c>
      <c r="D119" s="37" t="s">
        <v>64</v>
      </c>
      <c r="E119" s="46" t="n">
        <v>919925.6</v>
      </c>
      <c r="F119" s="46" t="n">
        <v>91992.56</v>
      </c>
      <c r="G119" s="46" t="n">
        <v>827933.04</v>
      </c>
    </row>
    <row r="120" customFormat="false" ht="15" hidden="false" customHeight="false" outlineLevel="0" collapsed="false">
      <c r="A120" s="37" t="s">
        <v>2036</v>
      </c>
      <c r="B120" s="37" t="s">
        <v>1024</v>
      </c>
      <c r="C120" s="37" t="n">
        <v>202511</v>
      </c>
      <c r="D120" s="37" t="s">
        <v>65</v>
      </c>
      <c r="E120" s="46" t="n">
        <v>234536.68</v>
      </c>
      <c r="F120" s="46" t="n">
        <v>23453.67</v>
      </c>
      <c r="G120" s="46" t="n">
        <v>211083.01</v>
      </c>
    </row>
    <row r="121" customFormat="false" ht="15" hidden="false" customHeight="false" outlineLevel="0" collapsed="false">
      <c r="A121" s="37" t="s">
        <v>2037</v>
      </c>
      <c r="B121" s="37" t="s">
        <v>1108</v>
      </c>
      <c r="C121" s="37" t="n">
        <v>202512</v>
      </c>
      <c r="D121" s="37" t="s">
        <v>65</v>
      </c>
      <c r="E121" s="46" t="n">
        <v>763402.33</v>
      </c>
      <c r="F121" s="46" t="n">
        <v>76340.23</v>
      </c>
      <c r="G121" s="46" t="n">
        <v>687062.1</v>
      </c>
    </row>
    <row r="122" customFormat="false" ht="15" hidden="false" customHeight="false" outlineLevel="0" collapsed="false">
      <c r="A122" s="37" t="s">
        <v>2038</v>
      </c>
      <c r="B122" s="37" t="s">
        <v>1193</v>
      </c>
      <c r="C122" s="37" t="n">
        <v>202601</v>
      </c>
      <c r="D122" s="37" t="s">
        <v>65</v>
      </c>
      <c r="E122" s="46" t="n">
        <v>1076078.18</v>
      </c>
      <c r="F122" s="46" t="n">
        <v>107607.82</v>
      </c>
      <c r="G122" s="46" t="n">
        <v>968470.36</v>
      </c>
    </row>
    <row r="123" customFormat="false" ht="15" hidden="false" customHeight="false" outlineLevel="0" collapsed="false">
      <c r="A123" s="37" t="s">
        <v>2039</v>
      </c>
      <c r="B123" s="37" t="s">
        <v>1273</v>
      </c>
      <c r="C123" s="37" t="n">
        <v>202602</v>
      </c>
      <c r="D123" s="37" t="s">
        <v>65</v>
      </c>
      <c r="E123" s="46" t="n">
        <v>1081308.28</v>
      </c>
      <c r="F123" s="46" t="n">
        <v>108130.83</v>
      </c>
      <c r="G123" s="46" t="n">
        <v>973177.45</v>
      </c>
    </row>
    <row r="124" customFormat="false" ht="15" hidden="false" customHeight="false" outlineLevel="0" collapsed="false">
      <c r="A124" s="37" t="s">
        <v>2040</v>
      </c>
      <c r="B124" s="37" t="s">
        <v>1358</v>
      </c>
      <c r="C124" s="37" t="n">
        <v>202603</v>
      </c>
      <c r="D124" s="37" t="s">
        <v>65</v>
      </c>
      <c r="E124" s="46" t="n">
        <v>1525934.17</v>
      </c>
      <c r="F124" s="46" t="n">
        <v>152593.42</v>
      </c>
      <c r="G124" s="46" t="n">
        <v>1373340.75</v>
      </c>
    </row>
    <row r="125" customFormat="false" ht="15" hidden="false" customHeight="false" outlineLevel="0" collapsed="false">
      <c r="A125" s="37" t="s">
        <v>2041</v>
      </c>
      <c r="B125" s="37" t="s">
        <v>1446</v>
      </c>
      <c r="C125" s="37" t="n">
        <v>202604</v>
      </c>
      <c r="D125" s="37" t="s">
        <v>65</v>
      </c>
      <c r="E125" s="46" t="n">
        <v>2035305.02</v>
      </c>
      <c r="F125" s="46" t="n">
        <v>203530.5</v>
      </c>
      <c r="G125" s="46" t="n">
        <v>1831774.52</v>
      </c>
    </row>
    <row r="126" customFormat="false" ht="15" hidden="false" customHeight="false" outlineLevel="0" collapsed="false">
      <c r="A126" s="37" t="s">
        <v>2042</v>
      </c>
      <c r="B126" s="37" t="s">
        <v>1536</v>
      </c>
      <c r="C126" s="37" t="n">
        <v>202605</v>
      </c>
      <c r="D126" s="37" t="s">
        <v>65</v>
      </c>
      <c r="E126" s="46" t="n">
        <v>2055692.85</v>
      </c>
      <c r="F126" s="46" t="n">
        <v>205569.29</v>
      </c>
      <c r="G126" s="46" t="n">
        <v>1850123.57</v>
      </c>
    </row>
    <row r="127" customFormat="false" ht="15" hidden="false" customHeight="false" outlineLevel="0" collapsed="false">
      <c r="A127" s="37" t="s">
        <v>2043</v>
      </c>
      <c r="B127" s="37" t="s">
        <v>1624</v>
      </c>
      <c r="C127" s="37" t="n">
        <v>202606</v>
      </c>
      <c r="D127" s="37" t="s">
        <v>65</v>
      </c>
      <c r="E127" s="46" t="n">
        <v>1581883.03</v>
      </c>
      <c r="F127" s="46" t="n">
        <v>158188.3</v>
      </c>
      <c r="G127" s="46" t="n">
        <v>1423694.73</v>
      </c>
    </row>
    <row r="128" customFormat="false" ht="15" hidden="false" customHeight="false" outlineLevel="0" collapsed="false">
      <c r="A128" s="37" t="s">
        <v>2044</v>
      </c>
      <c r="B128" s="37" t="s">
        <v>1703</v>
      </c>
      <c r="C128" s="37" t="n">
        <v>202607</v>
      </c>
      <c r="D128" s="37" t="s">
        <v>65</v>
      </c>
      <c r="E128" s="46" t="n">
        <v>1714446.4</v>
      </c>
      <c r="F128" s="46" t="n">
        <v>171444.64</v>
      </c>
      <c r="G128" s="46" t="n">
        <v>1543001.76</v>
      </c>
    </row>
    <row r="129" customFormat="false" ht="15" hidden="false" customHeight="false" outlineLevel="0" collapsed="false">
      <c r="A129" s="37" t="s">
        <v>2045</v>
      </c>
      <c r="B129" s="37" t="s">
        <v>1802</v>
      </c>
      <c r="C129" s="37" t="n">
        <v>202608</v>
      </c>
      <c r="D129" s="37" t="s">
        <v>65</v>
      </c>
      <c r="E129" s="46" t="n">
        <v>1760606.88</v>
      </c>
      <c r="F129" s="46" t="n">
        <v>176060.69</v>
      </c>
      <c r="G129" s="46" t="n">
        <v>1584546.19</v>
      </c>
    </row>
    <row r="130" customFormat="false" ht="15" hidden="false" customHeight="false" outlineLevel="0" collapsed="false">
      <c r="A130" s="37" t="s">
        <v>2046</v>
      </c>
      <c r="B130" s="37" t="s">
        <v>1912</v>
      </c>
      <c r="C130" s="37" t="n">
        <v>202609</v>
      </c>
      <c r="D130" s="37" t="s">
        <v>65</v>
      </c>
      <c r="E130" s="46" t="n">
        <v>1492924.44</v>
      </c>
      <c r="F130" s="46" t="n">
        <v>149292.44</v>
      </c>
      <c r="G130" s="46" t="n">
        <v>1343632</v>
      </c>
    </row>
    <row r="131" customFormat="false" ht="15" hidden="false" customHeight="false" outlineLevel="0" collapsed="false">
      <c r="A131" s="37" t="s">
        <v>2047</v>
      </c>
      <c r="B131" s="37" t="s">
        <v>1193</v>
      </c>
      <c r="C131" s="37" t="n">
        <v>202601</v>
      </c>
      <c r="D131" s="37" t="s">
        <v>66</v>
      </c>
      <c r="E131" s="46" t="n">
        <v>62886.15</v>
      </c>
      <c r="F131" s="46" t="n">
        <v>6288.62</v>
      </c>
      <c r="G131" s="46" t="n">
        <v>56597.54</v>
      </c>
    </row>
    <row r="132" customFormat="false" ht="15" hidden="false" customHeight="false" outlineLevel="0" collapsed="false">
      <c r="A132" s="37" t="s">
        <v>2048</v>
      </c>
      <c r="B132" s="37" t="s">
        <v>1273</v>
      </c>
      <c r="C132" s="37" t="n">
        <v>202602</v>
      </c>
      <c r="D132" s="37" t="s">
        <v>66</v>
      </c>
      <c r="E132" s="46" t="n">
        <v>178227.45</v>
      </c>
      <c r="F132" s="46" t="n">
        <v>17822.75</v>
      </c>
      <c r="G132" s="46" t="n">
        <v>160404.71</v>
      </c>
    </row>
    <row r="133" customFormat="false" ht="15" hidden="false" customHeight="false" outlineLevel="0" collapsed="false">
      <c r="A133" s="37" t="s">
        <v>2049</v>
      </c>
      <c r="B133" s="37" t="s">
        <v>1358</v>
      </c>
      <c r="C133" s="37" t="n">
        <v>202603</v>
      </c>
      <c r="D133" s="37" t="s">
        <v>66</v>
      </c>
      <c r="E133" s="46" t="n">
        <v>435022.16</v>
      </c>
      <c r="F133" s="46" t="n">
        <v>43502.22</v>
      </c>
      <c r="G133" s="46" t="n">
        <v>391519.94</v>
      </c>
    </row>
    <row r="134" customFormat="false" ht="15" hidden="false" customHeight="false" outlineLevel="0" collapsed="false">
      <c r="A134" s="37" t="s">
        <v>2050</v>
      </c>
      <c r="B134" s="37" t="s">
        <v>1446</v>
      </c>
      <c r="C134" s="37" t="n">
        <v>202604</v>
      </c>
      <c r="D134" s="37" t="s">
        <v>66</v>
      </c>
      <c r="E134" s="46" t="n">
        <v>630073.44</v>
      </c>
      <c r="F134" s="46" t="n">
        <v>63007.34</v>
      </c>
      <c r="G134" s="46" t="n">
        <v>567066.1</v>
      </c>
    </row>
    <row r="135" customFormat="false" ht="15" hidden="false" customHeight="false" outlineLevel="0" collapsed="false">
      <c r="A135" s="37" t="s">
        <v>2051</v>
      </c>
      <c r="B135" s="37" t="s">
        <v>1536</v>
      </c>
      <c r="C135" s="37" t="n">
        <v>202605</v>
      </c>
      <c r="D135" s="37" t="s">
        <v>66</v>
      </c>
      <c r="E135" s="46" t="n">
        <v>688592.53</v>
      </c>
      <c r="F135" s="46" t="n">
        <v>68859.25</v>
      </c>
      <c r="G135" s="46" t="n">
        <v>619733.28</v>
      </c>
    </row>
    <row r="136" customFormat="false" ht="15" hidden="false" customHeight="false" outlineLevel="0" collapsed="false">
      <c r="A136" s="37" t="s">
        <v>2052</v>
      </c>
      <c r="B136" s="37" t="s">
        <v>1624</v>
      </c>
      <c r="C136" s="37" t="n">
        <v>202606</v>
      </c>
      <c r="D136" s="37" t="s">
        <v>66</v>
      </c>
      <c r="E136" s="46" t="n">
        <v>806601.05</v>
      </c>
      <c r="F136" s="46" t="n">
        <v>80660.11</v>
      </c>
      <c r="G136" s="46" t="n">
        <v>725940.95</v>
      </c>
    </row>
    <row r="137" customFormat="false" ht="15" hidden="false" customHeight="false" outlineLevel="0" collapsed="false">
      <c r="A137" s="37" t="s">
        <v>2053</v>
      </c>
      <c r="B137" s="37" t="s">
        <v>1703</v>
      </c>
      <c r="C137" s="37" t="n">
        <v>202607</v>
      </c>
      <c r="D137" s="37" t="s">
        <v>66</v>
      </c>
      <c r="E137" s="46" t="n">
        <v>934345.89</v>
      </c>
      <c r="F137" s="46" t="n">
        <v>93434.59</v>
      </c>
      <c r="G137" s="46" t="n">
        <v>840911.3</v>
      </c>
    </row>
    <row r="138" customFormat="false" ht="15" hidden="false" customHeight="false" outlineLevel="0" collapsed="false">
      <c r="A138" s="37" t="s">
        <v>2054</v>
      </c>
      <c r="B138" s="37" t="s">
        <v>1802</v>
      </c>
      <c r="C138" s="37" t="n">
        <v>202608</v>
      </c>
      <c r="D138" s="37" t="s">
        <v>66</v>
      </c>
      <c r="E138" s="46" t="n">
        <v>1127333.89</v>
      </c>
      <c r="F138" s="46" t="n">
        <v>112733.39</v>
      </c>
      <c r="G138" s="46" t="n">
        <v>1014600.5</v>
      </c>
    </row>
    <row r="139" customFormat="false" ht="15" hidden="false" customHeight="false" outlineLevel="0" collapsed="false">
      <c r="A139" s="37" t="s">
        <v>2055</v>
      </c>
      <c r="B139" s="37" t="s">
        <v>1912</v>
      </c>
      <c r="C139" s="37" t="n">
        <v>202609</v>
      </c>
      <c r="D139" s="37" t="s">
        <v>66</v>
      </c>
      <c r="E139" s="46" t="n">
        <v>1138480.25</v>
      </c>
      <c r="F139" s="46" t="n">
        <v>113848.03</v>
      </c>
      <c r="G139" s="46" t="n">
        <v>1024632.22</v>
      </c>
    </row>
    <row r="140" customFormat="false" ht="15" hidden="false" customHeight="false" outlineLevel="0" collapsed="false">
      <c r="A140" s="37" t="s">
        <v>2056</v>
      </c>
      <c r="B140" s="37" t="s">
        <v>1358</v>
      </c>
      <c r="C140" s="37" t="n">
        <v>202603</v>
      </c>
      <c r="D140" s="37" t="s">
        <v>67</v>
      </c>
      <c r="E140" s="46" t="n">
        <v>191145.8</v>
      </c>
      <c r="F140" s="46" t="n">
        <v>19114.58</v>
      </c>
      <c r="G140" s="46" t="n">
        <v>172031.22</v>
      </c>
    </row>
    <row r="141" customFormat="false" ht="15" hidden="false" customHeight="false" outlineLevel="0" collapsed="false">
      <c r="A141" s="37" t="s">
        <v>2057</v>
      </c>
      <c r="B141" s="37" t="s">
        <v>1446</v>
      </c>
      <c r="C141" s="37" t="n">
        <v>202604</v>
      </c>
      <c r="D141" s="37" t="s">
        <v>67</v>
      </c>
      <c r="E141" s="46" t="n">
        <v>529464.58</v>
      </c>
      <c r="F141" s="46" t="n">
        <v>52946.46</v>
      </c>
      <c r="G141" s="46" t="n">
        <v>476518.12</v>
      </c>
    </row>
    <row r="142" customFormat="false" ht="15" hidden="false" customHeight="false" outlineLevel="0" collapsed="false">
      <c r="A142" s="37" t="s">
        <v>2058</v>
      </c>
      <c r="B142" s="37" t="s">
        <v>1536</v>
      </c>
      <c r="C142" s="37" t="n">
        <v>202605</v>
      </c>
      <c r="D142" s="37" t="s">
        <v>67</v>
      </c>
      <c r="E142" s="46" t="n">
        <v>843573.57</v>
      </c>
      <c r="F142" s="46" t="n">
        <v>84357.36</v>
      </c>
      <c r="G142" s="46" t="n">
        <v>759216.21</v>
      </c>
    </row>
    <row r="143" customFormat="false" ht="15" hidden="false" customHeight="false" outlineLevel="0" collapsed="false">
      <c r="A143" s="37" t="s">
        <v>2059</v>
      </c>
      <c r="B143" s="37" t="s">
        <v>1624</v>
      </c>
      <c r="C143" s="37" t="n">
        <v>202606</v>
      </c>
      <c r="D143" s="37" t="s">
        <v>67</v>
      </c>
      <c r="E143" s="46" t="n">
        <v>955247.36</v>
      </c>
      <c r="F143" s="46" t="n">
        <v>95524.74</v>
      </c>
      <c r="G143" s="46" t="n">
        <v>859722.62</v>
      </c>
    </row>
    <row r="144" customFormat="false" ht="15" hidden="false" customHeight="false" outlineLevel="0" collapsed="false">
      <c r="A144" s="37" t="s">
        <v>2060</v>
      </c>
      <c r="B144" s="37" t="s">
        <v>1703</v>
      </c>
      <c r="C144" s="37" t="n">
        <v>202607</v>
      </c>
      <c r="D144" s="37" t="s">
        <v>67</v>
      </c>
      <c r="E144" s="46" t="n">
        <v>1213490.52</v>
      </c>
      <c r="F144" s="46" t="n">
        <v>121349.05</v>
      </c>
      <c r="G144" s="46" t="n">
        <v>1092141.47</v>
      </c>
    </row>
    <row r="145" customFormat="false" ht="15" hidden="false" customHeight="false" outlineLevel="0" collapsed="false">
      <c r="A145" s="37" t="s">
        <v>2061</v>
      </c>
      <c r="B145" s="37" t="s">
        <v>1802</v>
      </c>
      <c r="C145" s="37" t="n">
        <v>202608</v>
      </c>
      <c r="D145" s="37" t="s">
        <v>67</v>
      </c>
      <c r="E145" s="46" t="n">
        <v>1469329.65</v>
      </c>
      <c r="F145" s="46" t="n">
        <v>146932.96</v>
      </c>
      <c r="G145" s="46" t="n">
        <v>1322396.69</v>
      </c>
    </row>
    <row r="146" customFormat="false" ht="15" hidden="false" customHeight="false" outlineLevel="0" collapsed="false">
      <c r="A146" s="37" t="s">
        <v>2062</v>
      </c>
      <c r="B146" s="37" t="s">
        <v>1912</v>
      </c>
      <c r="C146" s="37" t="n">
        <v>202609</v>
      </c>
      <c r="D146" s="37" t="s">
        <v>67</v>
      </c>
      <c r="E146" s="46" t="n">
        <v>1409275.1</v>
      </c>
      <c r="F146" s="46" t="n">
        <v>140927.51</v>
      </c>
      <c r="G146" s="46" t="n">
        <v>1268347.59</v>
      </c>
    </row>
    <row r="147" customFormat="false" ht="15" hidden="false" customHeight="false" outlineLevel="0" collapsed="false">
      <c r="A147" s="37" t="s">
        <v>2063</v>
      </c>
      <c r="B147" s="37" t="s">
        <v>1536</v>
      </c>
      <c r="C147" s="37" t="n">
        <v>202605</v>
      </c>
      <c r="D147" s="37" t="s">
        <v>68</v>
      </c>
      <c r="E147" s="46" t="n">
        <v>109563.97</v>
      </c>
      <c r="F147" s="46" t="n">
        <v>10956.4</v>
      </c>
      <c r="G147" s="46" t="n">
        <v>98607.57</v>
      </c>
    </row>
    <row r="148" customFormat="false" ht="15" hidden="false" customHeight="false" outlineLevel="0" collapsed="false">
      <c r="A148" s="37" t="s">
        <v>2064</v>
      </c>
      <c r="B148" s="37" t="s">
        <v>1624</v>
      </c>
      <c r="C148" s="37" t="n">
        <v>202606</v>
      </c>
      <c r="D148" s="37" t="s">
        <v>68</v>
      </c>
      <c r="E148" s="46" t="n">
        <v>370045.52</v>
      </c>
      <c r="F148" s="46" t="n">
        <v>37004.55</v>
      </c>
      <c r="G148" s="46" t="n">
        <v>333040.97</v>
      </c>
    </row>
    <row r="149" customFormat="false" ht="15" hidden="false" customHeight="false" outlineLevel="0" collapsed="false">
      <c r="A149" s="37" t="s">
        <v>2065</v>
      </c>
      <c r="B149" s="37" t="s">
        <v>1703</v>
      </c>
      <c r="C149" s="37" t="n">
        <v>202607</v>
      </c>
      <c r="D149" s="37" t="s">
        <v>68</v>
      </c>
      <c r="E149" s="46" t="n">
        <v>561761.3</v>
      </c>
      <c r="F149" s="46" t="n">
        <v>56176.13</v>
      </c>
      <c r="G149" s="46" t="n">
        <v>505585.17</v>
      </c>
    </row>
    <row r="150" customFormat="false" ht="15" hidden="false" customHeight="false" outlineLevel="0" collapsed="false">
      <c r="A150" s="37" t="s">
        <v>2066</v>
      </c>
      <c r="B150" s="37" t="s">
        <v>1802</v>
      </c>
      <c r="C150" s="37" t="n">
        <v>202608</v>
      </c>
      <c r="D150" s="37" t="s">
        <v>68</v>
      </c>
      <c r="E150" s="46" t="n">
        <v>742232.29</v>
      </c>
      <c r="F150" s="46" t="n">
        <v>74223.23</v>
      </c>
      <c r="G150" s="46" t="n">
        <v>668009.06</v>
      </c>
    </row>
    <row r="151" customFormat="false" ht="15" hidden="false" customHeight="false" outlineLevel="0" collapsed="false">
      <c r="A151" s="37" t="s">
        <v>2067</v>
      </c>
      <c r="B151" s="37" t="s">
        <v>1912</v>
      </c>
      <c r="C151" s="37" t="n">
        <v>202609</v>
      </c>
      <c r="D151" s="37" t="s">
        <v>68</v>
      </c>
      <c r="E151" s="46" t="n">
        <v>843906.18</v>
      </c>
      <c r="F151" s="46" t="n">
        <v>84390.62</v>
      </c>
      <c r="G151" s="46" t="n">
        <v>759515.56</v>
      </c>
    </row>
    <row r="152" customFormat="false" ht="15" hidden="false" customHeight="false" outlineLevel="0" collapsed="false">
      <c r="A152" s="37" t="s">
        <v>2068</v>
      </c>
      <c r="B152" s="37" t="s">
        <v>1703</v>
      </c>
      <c r="C152" s="37" t="n">
        <v>202607</v>
      </c>
      <c r="D152" s="37" t="s">
        <v>69</v>
      </c>
      <c r="E152" s="46" t="n">
        <v>48214.14</v>
      </c>
      <c r="F152" s="46" t="n">
        <v>4821.41</v>
      </c>
      <c r="G152" s="46" t="n">
        <v>43392.73</v>
      </c>
    </row>
    <row r="153" customFormat="false" ht="15" hidden="false" customHeight="false" outlineLevel="0" collapsed="false">
      <c r="A153" s="37" t="s">
        <v>2069</v>
      </c>
      <c r="B153" s="37" t="s">
        <v>1802</v>
      </c>
      <c r="C153" s="37" t="n">
        <v>202608</v>
      </c>
      <c r="D153" s="37" t="s">
        <v>69</v>
      </c>
      <c r="E153" s="46" t="n">
        <v>224231.03</v>
      </c>
      <c r="F153" s="46" t="n">
        <v>22423.1</v>
      </c>
      <c r="G153" s="46" t="n">
        <v>201807.93</v>
      </c>
    </row>
    <row r="154" customFormat="false" ht="15" hidden="false" customHeight="false" outlineLevel="0" collapsed="false">
      <c r="A154" s="37" t="s">
        <v>2070</v>
      </c>
      <c r="B154" s="37" t="s">
        <v>1912</v>
      </c>
      <c r="C154" s="37" t="n">
        <v>202609</v>
      </c>
      <c r="D154" s="37" t="s">
        <v>69</v>
      </c>
      <c r="E154" s="46" t="n">
        <v>342370.23</v>
      </c>
      <c r="F154" s="46" t="n">
        <v>34237.02</v>
      </c>
      <c r="G154" s="46" t="n">
        <v>308133.21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2026-10-26T20:51:15Z</dcterms:created>
  <dc:creator>openpyxl</dc:creator>
  <dc:description/>
  <dc:language>en-US</dc:language>
  <cp:lastModifiedBy/>
  <dcterms:modified xsi:type="dcterms:W3CDTF">2026-10-26T14:51:18Z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